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fbff0e6e7084087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33-Proyectos-Fiverr\Portafolio\Informe-Financiero-Automatizados\"/>
    </mc:Choice>
  </mc:AlternateContent>
  <xr:revisionPtr revIDLastSave="0" documentId="13_ncr:1_{2F505B6B-1982-4E6F-A5FD-E25F65A96146}" xr6:coauthVersionLast="47" xr6:coauthVersionMax="47" xr10:uidLastSave="{00000000-0000-0000-0000-000000000000}"/>
  <bookViews>
    <workbookView xWindow="-110" yWindow="-110" windowWidth="19420" windowHeight="10300" firstSheet="1" activeTab="2" xr2:uid="{516E00C2-181F-4AB5-9E1B-E2C076C26CEA}"/>
  </bookViews>
  <sheets>
    <sheet name="Puc" sheetId="4" state="hidden" r:id="rId1"/>
    <sheet name="Datos" sheetId="5" r:id="rId2"/>
    <sheet name="Informe" sheetId="1" r:id="rId3"/>
    <sheet name="Diario" sheetId="3" r:id="rId4"/>
  </sheets>
  <definedNames>
    <definedName name="_xlnm.Print_Area" localSheetId="2">Informe!$A$1:$G$98</definedName>
    <definedName name="DatosExternos_1" localSheetId="3" hidden="1">Diario!$A$1:$I$4160</definedName>
    <definedName name="rngAux_cuentas">tblUsr_Cuentas[]</definedName>
    <definedName name="RngAux_Diario">TblUsr_Diario[]</definedName>
    <definedName name="rngAux_DigitoCuenta">Datos!$B$8:$B$13</definedName>
    <definedName name="rngUsr_adjunto">Datos!$B$18</definedName>
    <definedName name="rngUsr_clave">Datos!$B$16</definedName>
    <definedName name="rngUsr_destinatario">Datos!$A$21:$B$40</definedName>
    <definedName name="rngUsr_email">Datos!$B$15</definedName>
    <definedName name="rngUsr_FinPeriodo">Datos!$B$4</definedName>
    <definedName name="rngUsr_InicioPeriodo">Datos!$B$3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61" i="3" l="1"/>
  <c r="G4161" i="3"/>
  <c r="H4161" i="3"/>
  <c r="I4161" i="3"/>
  <c r="B74" i="1" l="1"/>
  <c r="G46" i="1"/>
  <c r="B53" i="1"/>
  <c r="G69" i="1"/>
  <c r="B36" i="1"/>
  <c r="G18" i="1"/>
  <c r="G17" i="1"/>
  <c r="G16" i="1"/>
  <c r="B13" i="5"/>
  <c r="G48" i="1" l="1"/>
  <c r="G45" i="1"/>
  <c r="G44" i="1"/>
  <c r="G42" i="1"/>
  <c r="G41" i="1"/>
  <c r="G40" i="1"/>
  <c r="G39" i="1"/>
  <c r="G38" i="1"/>
  <c r="G29" i="1"/>
  <c r="G28" i="1"/>
  <c r="G27" i="1"/>
  <c r="G24" i="1"/>
  <c r="G23" i="1"/>
  <c r="G22" i="1"/>
  <c r="G21" i="1"/>
  <c r="G20" i="1"/>
  <c r="G19" i="1"/>
  <c r="G12" i="1"/>
  <c r="G57" i="1" s="1"/>
  <c r="G11" i="1"/>
  <c r="G62" i="1" s="1"/>
  <c r="G10" i="1"/>
  <c r="G9" i="1"/>
  <c r="G8" i="1"/>
  <c r="G7" i="1"/>
  <c r="G6" i="1"/>
  <c r="G5" i="1"/>
  <c r="G13" i="1" l="1"/>
  <c r="G76" i="1"/>
  <c r="G77" i="1"/>
  <c r="G43" i="1"/>
  <c r="G81" i="1" s="1"/>
  <c r="G59" i="1"/>
  <c r="G66" i="1"/>
  <c r="G67" i="1" s="1"/>
  <c r="G58" i="1"/>
  <c r="G25" i="1"/>
  <c r="G63" i="1"/>
  <c r="G64" i="1" s="1"/>
  <c r="G80" i="1" l="1"/>
  <c r="G78" i="1"/>
  <c r="G47" i="1"/>
  <c r="G49" i="1" s="1"/>
  <c r="G84" i="1"/>
  <c r="G30" i="1" l="1"/>
  <c r="G85" i="1"/>
  <c r="G82" i="1"/>
  <c r="G56" i="1"/>
  <c r="G60" i="1" s="1"/>
  <c r="G68" i="1" l="1"/>
  <c r="G70" i="1" s="1"/>
  <c r="G31" i="1"/>
  <c r="G83" i="1" s="1"/>
  <c r="G32" i="1" l="1"/>
  <c r="G7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D1A55E-A6E0-41F0-8BE0-80C67AFC78B2}" keepAlive="1" name="Consulta - TblUsr_Diario" description="Conexión a la consulta 'TblUsr_Diario' en el libro." type="5" refreshedVersion="8" background="1" saveData="1">
    <dbPr connection="Provider=Microsoft.Mashup.OleDb.1;Data Source=$Workbook$;Location=TblUsr_Diario;Extended Properties=&quot;&quot;" command="SELECT * FROM [TblUsr_Diario]"/>
  </connection>
</connections>
</file>

<file path=xl/sharedStrings.xml><?xml version="1.0" encoding="utf-8"?>
<sst xmlns="http://schemas.openxmlformats.org/spreadsheetml/2006/main" count="13491" uniqueCount="1826">
  <si>
    <t>CUENTA</t>
  </si>
  <si>
    <t>ACTIVO</t>
  </si>
  <si>
    <t>PASIVO</t>
  </si>
  <si>
    <t>PATRIMONIO</t>
  </si>
  <si>
    <t>INGRESOS</t>
  </si>
  <si>
    <t>COSTOS</t>
  </si>
  <si>
    <t>GASTOS</t>
  </si>
  <si>
    <t xml:space="preserve">Estacionamiento XYZ, C.a. </t>
  </si>
  <si>
    <t>FECHA</t>
  </si>
  <si>
    <t>COMP.</t>
  </si>
  <si>
    <t>CODIGO</t>
  </si>
  <si>
    <t>CONCEPTO</t>
  </si>
  <si>
    <t xml:space="preserve"> DEBE </t>
  </si>
  <si>
    <t xml:space="preserve"> HABER </t>
  </si>
  <si>
    <t>Movimiento</t>
  </si>
  <si>
    <t>REFERENCIA</t>
  </si>
  <si>
    <t>Caja Principal</t>
  </si>
  <si>
    <t>SALDO INICIALES</t>
  </si>
  <si>
    <t>SALDO INICIAL</t>
  </si>
  <si>
    <t>Caja en Moneda Extranjera</t>
  </si>
  <si>
    <t>Banco Banesco</t>
  </si>
  <si>
    <t>Banco BancaAmiga</t>
  </si>
  <si>
    <t>Banco de Venezuela</t>
  </si>
  <si>
    <t>Retención 75% IVA Clientes</t>
  </si>
  <si>
    <t>ISLR Declaración Sustitutiva</t>
  </si>
  <si>
    <t>API Activos Fijos</t>
  </si>
  <si>
    <t>API Depreciación Acum. Activos Fijos</t>
  </si>
  <si>
    <t>Débito Fiscal IVA</t>
  </si>
  <si>
    <t>IVA por Pagar</t>
  </si>
  <si>
    <t>Islr 1% por pagar</t>
  </si>
  <si>
    <t>IGTF Percibido de clientes</t>
  </si>
  <si>
    <t>Retenciones IVSS Empleados</t>
  </si>
  <si>
    <t>Retenciones SPF Empleados</t>
  </si>
  <si>
    <t>Retenciones FAOV Empleados</t>
  </si>
  <si>
    <t>Retenciones INCES Empleados</t>
  </si>
  <si>
    <t xml:space="preserve">Aportes IVSS Y SPF </t>
  </si>
  <si>
    <t xml:space="preserve">Aportes FAOV </t>
  </si>
  <si>
    <t xml:space="preserve">Aportes INCES </t>
  </si>
  <si>
    <t>Vacaciones por pagar</t>
  </si>
  <si>
    <t>Utilidades por pagar</t>
  </si>
  <si>
    <t>Prestaciones Sociales por Pagar</t>
  </si>
  <si>
    <t>API Actualización Capital Social</t>
  </si>
  <si>
    <t>Utilidadades Acumuladas</t>
  </si>
  <si>
    <t>API Actualización de resultados</t>
  </si>
  <si>
    <t>API Actualización Reservas de Capital</t>
  </si>
  <si>
    <t>Gastos Medicos</t>
  </si>
  <si>
    <t xml:space="preserve">FARMACIA VIZCAYA 26, C.A. </t>
  </si>
  <si>
    <t>23258</t>
  </si>
  <si>
    <t xml:space="preserve">Otras Cuentas por Pagar </t>
  </si>
  <si>
    <t xml:space="preserve">Comidas, Viajes y Traslados                       </t>
  </si>
  <si>
    <t xml:space="preserve">DISTRIBUIDORA 100XCIENTO VENEZUELA, C.A. </t>
  </si>
  <si>
    <t>16742</t>
  </si>
  <si>
    <t xml:space="preserve">EXCELSIOR GAMA SUPERMERCADOS, C.A. </t>
  </si>
  <si>
    <t>36253</t>
  </si>
  <si>
    <t>44951</t>
  </si>
  <si>
    <t>45381</t>
  </si>
  <si>
    <t>36327</t>
  </si>
  <si>
    <t>45070</t>
  </si>
  <si>
    <t>Ingresos por Servicios Sector Privado Ptos. Variables</t>
  </si>
  <si>
    <t>RESUMEN DEL DIA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</si>
  <si>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</si>
  <si>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</si>
  <si>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</si>
  <si>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</si>
  <si>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</si>
  <si>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</si>
  <si>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</si>
  <si>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</si>
  <si>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</si>
  <si>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</si>
  <si>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</si>
  <si>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</si>
  <si>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</si>
  <si>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</si>
  <si>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Ingresos por Servicios Sector Privado Ptos. Fijos</t>
  </si>
  <si>
    <t>PAUL EDUARDO MEDINA VILLALOBOS</t>
  </si>
  <si>
    <t>22701</t>
  </si>
  <si>
    <t>22702</t>
  </si>
  <si>
    <t>22703</t>
  </si>
  <si>
    <t>CLUB GASTRONOMICO DEPICAR CCS, C.A.</t>
  </si>
  <si>
    <t>22704</t>
  </si>
  <si>
    <t xml:space="preserve">DECLARACION DE IVA </t>
  </si>
  <si>
    <t>IVA</t>
  </si>
  <si>
    <t>ISLR Otros</t>
  </si>
  <si>
    <t>ISLR 1%</t>
  </si>
  <si>
    <t>ISLR</t>
  </si>
  <si>
    <t xml:space="preserve">Sueldos Empleados                                </t>
  </si>
  <si>
    <t>1ERA QUINCENA MES 01-2024</t>
  </si>
  <si>
    <t>NOM</t>
  </si>
  <si>
    <t xml:space="preserve">Prestaciones Sociales-Antiguedad               </t>
  </si>
  <si>
    <t xml:space="preserve">Vacaciones                                        </t>
  </si>
  <si>
    <t>Utilidades</t>
  </si>
  <si>
    <t xml:space="preserve">Aporte I.N.C.E                                    </t>
  </si>
  <si>
    <t>Nomina por Pagar</t>
  </si>
  <si>
    <t xml:space="preserve">IGTF Moneda Nacional       </t>
  </si>
  <si>
    <t>ITF</t>
  </si>
  <si>
    <t>BANESCO</t>
  </si>
  <si>
    <t>Cuentas por Pagar Directivos</t>
  </si>
  <si>
    <t xml:space="preserve">Gastos de Bancarios y Pasarelas de pago                    </t>
  </si>
  <si>
    <t>COM</t>
  </si>
  <si>
    <t xml:space="preserve">Teléfono - Celulares                              </t>
  </si>
  <si>
    <t>CANTV</t>
  </si>
  <si>
    <t xml:space="preserve">Consumo de Electricidad                               </t>
  </si>
  <si>
    <t>TRANSF A BCO VZLA IVA /15%</t>
  </si>
  <si>
    <t>RECARGA TELEFONICA</t>
  </si>
  <si>
    <t>PAGO FOSPUCA</t>
  </si>
  <si>
    <t>RECARGA</t>
  </si>
  <si>
    <t>TRANSFERENCIAS REALIZADAS</t>
  </si>
  <si>
    <t>TRANSFERENCIAS RECIBIDAS</t>
  </si>
  <si>
    <t>TRANSF DEDE VZLA</t>
  </si>
  <si>
    <t>TRANSF DESDE VZLA (PERSO)</t>
  </si>
  <si>
    <t>TRANSF DESDE BANCAMIGA</t>
  </si>
  <si>
    <t>TICKET</t>
  </si>
  <si>
    <t>TRANS DESDE BANCAMIGA</t>
  </si>
  <si>
    <t>BDV</t>
  </si>
  <si>
    <t>Arrendamiento</t>
  </si>
  <si>
    <t>2do  Y ULTIMO PAGO/CONCESION OCTUB 2023</t>
  </si>
  <si>
    <t>TRANSF A BANESCO</t>
  </si>
  <si>
    <t>TRANSF BANCAMIGA</t>
  </si>
  <si>
    <t>PLANILLA 99044</t>
  </si>
  <si>
    <t>PAGO IVSS</t>
  </si>
  <si>
    <t>PAGO BANAVIH</t>
  </si>
  <si>
    <t>INCES</t>
  </si>
  <si>
    <t>TRANSFER DESDE BANESCO</t>
  </si>
  <si>
    <t>BANCAAMIGA</t>
  </si>
  <si>
    <t xml:space="preserve">Bonificaciones Contractuales             </t>
  </si>
  <si>
    <t>TRANSF A BANESCO PARA PAGO CANTV</t>
  </si>
  <si>
    <t>1ER PAGO CONCESION OCTUBRE</t>
  </si>
  <si>
    <t xml:space="preserve">TRANSF A BANESCO PAGO DE ELECTR. </t>
  </si>
  <si>
    <t>Internet</t>
  </si>
  <si>
    <t>pago inter</t>
  </si>
  <si>
    <t>COMPRA DIV</t>
  </si>
  <si>
    <t>TRANSF A BCO VZLA</t>
  </si>
  <si>
    <t>TRANF BCO DE VENEZUELA</t>
  </si>
  <si>
    <t xml:space="preserve">Impuestos Municipales                       </t>
  </si>
  <si>
    <t>PAGO ALCADIA DE BARUTA</t>
  </si>
  <si>
    <t>PAGO PLANILLA 99021</t>
  </si>
  <si>
    <t>LIQUIDACION DE PUNTO</t>
  </si>
  <si>
    <t>TRANSF DESDE BCO VZLA</t>
  </si>
  <si>
    <t>PAGO DIRECTO</t>
  </si>
  <si>
    <t>VENTA DIV</t>
  </si>
  <si>
    <t>Ingresos Otros</t>
  </si>
  <si>
    <t>INT</t>
  </si>
  <si>
    <t>Pago facturas varias excelsior, farmacia vizcaya</t>
  </si>
  <si>
    <t>pago</t>
  </si>
  <si>
    <t>REVERSO API FINANCIERO</t>
  </si>
  <si>
    <t>REVERSO API</t>
  </si>
  <si>
    <t>reclasificacion van 1111003</t>
  </si>
  <si>
    <t>recl</t>
  </si>
  <si>
    <t>reclasificacion van 1111001</t>
  </si>
  <si>
    <t xml:space="preserve">Aseo Urbano                      </t>
  </si>
  <si>
    <t xml:space="preserve">INVERSIONES FOSPUCA BARUTA, C.A. </t>
  </si>
  <si>
    <t>1000247356</t>
  </si>
  <si>
    <t>Crédito Fiscal IVA Compras</t>
  </si>
  <si>
    <t>IVA Retenido a Proveedores</t>
  </si>
  <si>
    <t>1000247371</t>
  </si>
  <si>
    <t>Papeleria</t>
  </si>
  <si>
    <t>BAZAR Y LIBRERÍA ARAIRA JF, C.A.</t>
  </si>
  <si>
    <t>38856</t>
  </si>
  <si>
    <t xml:space="preserve">PAULAS BAKERY, C.A. </t>
  </si>
  <si>
    <t>38545</t>
  </si>
  <si>
    <t xml:space="preserve">AUTOMERCADOS PLAZA'S, C.A. </t>
  </si>
  <si>
    <t>46780</t>
  </si>
  <si>
    <t>45921</t>
  </si>
  <si>
    <t>45749</t>
  </si>
  <si>
    <t>36893</t>
  </si>
  <si>
    <t xml:space="preserve">FARMATODO, C.A. </t>
  </si>
  <si>
    <t>14003</t>
  </si>
  <si>
    <t>77158</t>
  </si>
  <si>
    <t>37464</t>
  </si>
  <si>
    <t>58450</t>
  </si>
  <si>
    <t>65666</t>
  </si>
  <si>
    <t xml:space="preserve">PANADERIA PASTELERIA SAMI PAN I.G., C.A. </t>
  </si>
  <si>
    <t>DnF0072</t>
  </si>
  <si>
    <t>111907</t>
  </si>
  <si>
    <t>DnF0073</t>
  </si>
  <si>
    <t>Gastos Eventuales</t>
  </si>
  <si>
    <t xml:space="preserve">CALORE RANCING, C.A. </t>
  </si>
  <si>
    <t>DnF0074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</si>
  <si>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</si>
  <si>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</si>
  <si>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</si>
  <si>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</si>
  <si>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</si>
  <si>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</si>
  <si>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</si>
  <si>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</si>
  <si>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</si>
  <si>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</si>
  <si>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</si>
  <si>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</si>
  <si>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</si>
  <si>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</si>
  <si>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</si>
  <si>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</si>
  <si>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INVERSIONES DAS 2022,C.A.</t>
  </si>
  <si>
    <t>22706</t>
  </si>
  <si>
    <t>CORPORACION PAYTECH C.A.</t>
  </si>
  <si>
    <t>22707</t>
  </si>
  <si>
    <t>ISLR Retenido por Clientes</t>
  </si>
  <si>
    <t>FACTOR 650, C.A</t>
  </si>
  <si>
    <t>22708</t>
  </si>
  <si>
    <t>EDEN BOLIVAR ESCUELA DE BAILE Y MUSICA, C.A.</t>
  </si>
  <si>
    <t>22709</t>
  </si>
  <si>
    <t>2da QUINCENA MES 01-2024</t>
  </si>
  <si>
    <t xml:space="preserve">Bono de Alimentación                     </t>
  </si>
  <si>
    <t>Aporte IVSS</t>
  </si>
  <si>
    <t xml:space="preserve">Aporte FAOV                                     </t>
  </si>
  <si>
    <t>TRANSF BCO VZLA PERS</t>
  </si>
  <si>
    <t>Honorarios Profesionales</t>
  </si>
  <si>
    <t>HONORARIOS FREDDY MES DE DIC</t>
  </si>
  <si>
    <t>mantenimiento equipos control de acceso vehicular</t>
  </si>
  <si>
    <t xml:space="preserve">PAGO LUIS ESPINOZA TECNICO </t>
  </si>
  <si>
    <t>TRANSF BCO VZLA</t>
  </si>
  <si>
    <t>PLANILLA 99021</t>
  </si>
  <si>
    <t>REINTEGRO EL 24/01</t>
  </si>
  <si>
    <t>MIREYA MACIAS ALQUILER DE EQUIPOS</t>
  </si>
  <si>
    <t>Mantenimiento y Reparaciones</t>
  </si>
  <si>
    <t>MATERIAL DE LIMPIEZA C.I.V 13,713,265</t>
  </si>
  <si>
    <t>MONTO REINTEGRADO EL 26/01</t>
  </si>
  <si>
    <t>PAGO CONCESION NOVIEM 2023</t>
  </si>
  <si>
    <t>PAGO PLANILLA 99030</t>
  </si>
  <si>
    <t>TRANSFE DESDE BANESCO</t>
  </si>
  <si>
    <t xml:space="preserve">REINTEGRO </t>
  </si>
  <si>
    <t>REVERSO DEL 25/01</t>
  </si>
  <si>
    <t>REVERSO DEL 23/012</t>
  </si>
  <si>
    <t>PUESTO FIJO  FACTOR 650C.A.</t>
  </si>
  <si>
    <t>MONTO REVERSADO</t>
  </si>
  <si>
    <t>PAGO ELECTRICIDAD APTO</t>
  </si>
  <si>
    <t>COMPRA DE MATERIAL DE OFICINA FACT 38856</t>
  </si>
  <si>
    <t>TRANSF  A BANCAMIGA</t>
  </si>
  <si>
    <t>TICKET PRODELLI</t>
  </si>
  <si>
    <t>PUESTO FIJO  GONCONSULT</t>
  </si>
  <si>
    <t xml:space="preserve">REVERSO </t>
  </si>
  <si>
    <t>PAGO DE IVA 99030</t>
  </si>
  <si>
    <t>TRABAJOS DE LIMPIEZA ESTAC.</t>
  </si>
  <si>
    <t xml:space="preserve">TRABAJOS DE JADINERIA </t>
  </si>
  <si>
    <t>COMPLEMENTO CONCESION. NOVIEM 2023</t>
  </si>
  <si>
    <t>Trabajos a Destajo</t>
  </si>
  <si>
    <t>MIGUELINA TORRES</t>
  </si>
  <si>
    <t>PASAJES DE EMPLEADAS  SEMANAS DEL 19 Y 26 DE ENERO</t>
  </si>
  <si>
    <t>pago facturas varias farmatodo, excelsior, sami pan</t>
  </si>
  <si>
    <t xml:space="preserve">pago nomina </t>
  </si>
  <si>
    <t>38929</t>
  </si>
  <si>
    <t>39049</t>
  </si>
  <si>
    <t>113302</t>
  </si>
  <si>
    <t>74288</t>
  </si>
  <si>
    <t>40637</t>
  </si>
  <si>
    <t>113766</t>
  </si>
  <si>
    <t xml:space="preserve">INVERSIONES DOMI ZONA I, C.A. </t>
  </si>
  <si>
    <t>52857</t>
  </si>
  <si>
    <t>38194</t>
  </si>
  <si>
    <t>59151</t>
  </si>
  <si>
    <t>47869</t>
  </si>
  <si>
    <t>46072</t>
  </si>
  <si>
    <t>39675</t>
  </si>
  <si>
    <t>47805</t>
  </si>
  <si>
    <t xml:space="preserve">FARMACIA TRIALCA, C.A. </t>
  </si>
  <si>
    <t>15814</t>
  </si>
  <si>
    <t>74287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</si>
  <si>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</si>
  <si>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</si>
  <si>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</si>
  <si>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</si>
  <si>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</si>
  <si>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</si>
  <si>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</si>
  <si>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</si>
  <si>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</si>
  <si>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</si>
  <si>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</si>
  <si>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</si>
  <si>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</si>
  <si>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</si>
  <si>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</si>
  <si>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INVERSIONES GONCONSULT 247, C.A.</t>
  </si>
  <si>
    <t>22710</t>
  </si>
  <si>
    <t>22711</t>
  </si>
  <si>
    <t>22712</t>
  </si>
  <si>
    <t>DECLARACION IVA</t>
  </si>
  <si>
    <t>1ra QUINCENA MES 02-2024</t>
  </si>
  <si>
    <t>PUESTO FACTOR 650</t>
  </si>
  <si>
    <t>TRANSF BCO VZLA P</t>
  </si>
  <si>
    <t>PAGO INTER</t>
  </si>
  <si>
    <t>SAIME</t>
  </si>
  <si>
    <t>TRANSF KIOSCO</t>
  </si>
  <si>
    <t>MATERIAL DE OFICINA FACT 038929</t>
  </si>
  <si>
    <t>PAGO FOSPUCA RIF 407122401</t>
  </si>
  <si>
    <t xml:space="preserve">ITF </t>
  </si>
  <si>
    <t>REINTEGRADO</t>
  </si>
  <si>
    <t>PAGO A TRABAJADORES</t>
  </si>
  <si>
    <t>RECL</t>
  </si>
  <si>
    <t>TRANSF ALEJANDRA</t>
  </si>
  <si>
    <t>PAGO SENIAT PLANILLA 99030</t>
  </si>
  <si>
    <t>TRANSF BCO VZLA YOS</t>
  </si>
  <si>
    <t>PAGO MIGUELINA TORRES C.I.V.8515636</t>
  </si>
  <si>
    <t>PLANILLA 99035</t>
  </si>
  <si>
    <t>PLANILLA 99030</t>
  </si>
  <si>
    <t>TRANSFERENCIA RECIBIDA</t>
  </si>
  <si>
    <t>TRANSF DESDE BANESCO</t>
  </si>
  <si>
    <t>TRASNF DESDE BANCAMIGA</t>
  </si>
  <si>
    <t>PASAJE SEMANAS  2,9 Y 15 DE FEBRERO</t>
  </si>
  <si>
    <t>MIGUELINA TORRES 135USD</t>
  </si>
  <si>
    <t>reparaciones menores en la infraestructura</t>
  </si>
  <si>
    <t>PAGODIRECTO</t>
  </si>
  <si>
    <t>REINTEGRO</t>
  </si>
  <si>
    <t>pago factura varias excelsior, farmatodo, farmacia trialca</t>
  </si>
  <si>
    <t>1000253702</t>
  </si>
  <si>
    <t>ISLR Retenido a Proveedores</t>
  </si>
  <si>
    <t>38811</t>
  </si>
  <si>
    <t>79133</t>
  </si>
  <si>
    <t>68362</t>
  </si>
  <si>
    <t>41680</t>
  </si>
  <si>
    <t>60584</t>
  </si>
  <si>
    <t>41624</t>
  </si>
  <si>
    <t>48928</t>
  </si>
  <si>
    <t>79534</t>
  </si>
  <si>
    <t>97511</t>
  </si>
  <si>
    <t>32371</t>
  </si>
  <si>
    <t>38902</t>
  </si>
  <si>
    <t>DnF0075</t>
  </si>
  <si>
    <t>39379</t>
  </si>
  <si>
    <t>75108</t>
  </si>
  <si>
    <t>58407</t>
  </si>
  <si>
    <t>59621</t>
  </si>
  <si>
    <t>39900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</si>
  <si>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</si>
  <si>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</si>
  <si>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</si>
  <si>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</si>
  <si>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</si>
  <si>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</si>
  <si>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</si>
  <si>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</si>
  <si>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</si>
  <si>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</si>
  <si>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</si>
  <si>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</si>
  <si>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</si>
  <si>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 /1647</t>
  </si>
  <si>
    <t>22713</t>
  </si>
  <si>
    <t>22714</t>
  </si>
  <si>
    <t>22715</t>
  </si>
  <si>
    <t>22716</t>
  </si>
  <si>
    <t>22717</t>
  </si>
  <si>
    <t>2Da QUINCENA MES 02-2024</t>
  </si>
  <si>
    <t>NOMINA</t>
  </si>
  <si>
    <t>ELECTRICIDAD APTO</t>
  </si>
  <si>
    <t>ELECTRICIDAD OFICINA</t>
  </si>
  <si>
    <t xml:space="preserve">TRANSF BANCAMIGA </t>
  </si>
  <si>
    <t>PUESTO FIJO INV GONCONSULT</t>
  </si>
  <si>
    <t>PAGO DE CONCESION DICIEMBRE 2023</t>
  </si>
  <si>
    <t>TRABAJOS DE LIMPIEZA</t>
  </si>
  <si>
    <t>PAGO COLEGIO EL PLACER</t>
  </si>
  <si>
    <t>TRANSF DESDE VZLA</t>
  </si>
  <si>
    <t>vigilancia</t>
  </si>
  <si>
    <t>SERVICIO DE SEGURIDAD CC</t>
  </si>
  <si>
    <t xml:space="preserve">TRANS BCO VZLA </t>
  </si>
  <si>
    <t xml:space="preserve">TRANSF BCO VZLA </t>
  </si>
  <si>
    <t>TRANSF BANESCO</t>
  </si>
  <si>
    <t>TRANSF A INVERSIONES DAS</t>
  </si>
  <si>
    <t>MIREYA MACIA ALQUILER DE EQUIPOS</t>
  </si>
  <si>
    <t>TRABAJOS DE JARDINERIA</t>
  </si>
  <si>
    <t>COMPLEMENTO MIREYA MACIA ALQUILER DE EQUIPOS</t>
  </si>
  <si>
    <t>TRANSFERNCIAS REALIZADAS</t>
  </si>
  <si>
    <t>PAGO 2Da QUINCENA MES 02-2024</t>
  </si>
  <si>
    <t>LIMPIEZA DE OFICINA Y ESC SEMANAS 23 Y 29 DE FEBRERO 90USD</t>
  </si>
  <si>
    <t>PASAJE DE EMPLEADOS SEMANAS 23 Y 29 FEBRERO</t>
  </si>
  <si>
    <t>pago facturas varias</t>
  </si>
  <si>
    <t>38963</t>
  </si>
  <si>
    <t>61318</t>
  </si>
  <si>
    <t>32661</t>
  </si>
  <si>
    <t xml:space="preserve">PANADERIA Y PASTELERIA PAN CLUB, C.A. </t>
  </si>
  <si>
    <t>209317</t>
  </si>
  <si>
    <t>34633</t>
  </si>
  <si>
    <t>38246</t>
  </si>
  <si>
    <t>17050</t>
  </si>
  <si>
    <t>DnF0076</t>
  </si>
  <si>
    <t>33014</t>
  </si>
  <si>
    <t>1000257627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</si>
  <si>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</si>
  <si>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</si>
  <si>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</si>
  <si>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</si>
  <si>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</si>
  <si>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</si>
  <si>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</si>
  <si>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</si>
  <si>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</si>
  <si>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</si>
  <si>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</si>
  <si>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</si>
  <si>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</si>
  <si>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</si>
  <si>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</si>
  <si>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22718</t>
  </si>
  <si>
    <t>22719</t>
  </si>
  <si>
    <t>22720</t>
  </si>
  <si>
    <t>22721</t>
  </si>
  <si>
    <t>22722</t>
  </si>
  <si>
    <t>22723</t>
  </si>
  <si>
    <t>1ra QUINCENA MES 03-2024</t>
  </si>
  <si>
    <t>DECLARACION DE IVA</t>
  </si>
  <si>
    <t>IVSS INTERES</t>
  </si>
  <si>
    <t>IVSS PERIODO 10/2023</t>
  </si>
  <si>
    <t>IVSS PERIODO 02/2024</t>
  </si>
  <si>
    <t>BANVIH  02/02024</t>
  </si>
  <si>
    <t>SENIAT PLANILLA 99021</t>
  </si>
  <si>
    <t>SENIAT PLANILLA 99074</t>
  </si>
  <si>
    <t>SENIAT PLANILLA 99035</t>
  </si>
  <si>
    <t>SENIAT PLANILLA 99044</t>
  </si>
  <si>
    <t>SENIAT PLANILLA 99030</t>
  </si>
  <si>
    <t>COMPLEN DE PAGO DE CONCESION ENERO 2024</t>
  </si>
  <si>
    <t>MONTO REINTEGRADO A BANCAMIGA</t>
  </si>
  <si>
    <t>TRANSFERENCIA REALIZADAS</t>
  </si>
  <si>
    <t>PAGO DE CONDOMINIO APTO</t>
  </si>
  <si>
    <t>INVERSIONES FOSPUCA BARUTA RIF J407122401</t>
  </si>
  <si>
    <t>HONORARIOS FREDDY SANCHEZ C.IV. 13105938 MES DE  ENERO</t>
  </si>
  <si>
    <t>SERVICIO DE VIGILANCIA CC LAS COLINAS</t>
  </si>
  <si>
    <t>ALCADIA DE BARUTA</t>
  </si>
  <si>
    <t>PAGO DE CONCESIÓN  ENERO 2024</t>
  </si>
  <si>
    <t>IMPUESTOS ALCADIA BARUTA RENOVACION PATENTE</t>
  </si>
  <si>
    <t>TRANF BCO VZLA</t>
  </si>
  <si>
    <t>REPARACION DE REDUCTOR   BARRERA DE ENTRADA  C.I. 17,441,191</t>
  </si>
  <si>
    <t>Obliganciones Bancarias BancaAmiga</t>
  </si>
  <si>
    <t>CREDITO BANCARIO</t>
  </si>
  <si>
    <t>PUESTO FIJO INVERSIONES DAS</t>
  </si>
  <si>
    <t>PUESTO FIJO FACTOR 650</t>
  </si>
  <si>
    <t>REINTEGRO TRANS DE VZLA</t>
  </si>
  <si>
    <t>TRANSF DESDE BANESCO  (95944)</t>
  </si>
  <si>
    <t>PUESTO FIJO</t>
  </si>
  <si>
    <t xml:space="preserve">RENTEGRO </t>
  </si>
  <si>
    <t>BAZAR Y LIBRERÍA ARAIRA  RIF 303466184 FACT 038963 RESMA DE PAPEL</t>
  </si>
  <si>
    <t>TRANSF A BANCAMIGA BS 600</t>
  </si>
  <si>
    <t>LIMPIEZA DE OFICINA Y ESTACIONAMIENTO USD75</t>
  </si>
  <si>
    <t>PASAJE DE EMPLEADOS SEMANA DEL 8 Y 15</t>
  </si>
  <si>
    <t>PAGO 1ra QUINCENA MES 03-2024</t>
  </si>
  <si>
    <t>Pago facturas Varias</t>
  </si>
  <si>
    <t>Pago</t>
  </si>
  <si>
    <t>317167</t>
  </si>
  <si>
    <t>51766</t>
  </si>
  <si>
    <t>61484</t>
  </si>
  <si>
    <t>41559</t>
  </si>
  <si>
    <t>51485</t>
  </si>
  <si>
    <t>54039</t>
  </si>
  <si>
    <t>51432</t>
  </si>
  <si>
    <t>16914</t>
  </si>
  <si>
    <t xml:space="preserve">Articulos de Oficina                             </t>
  </si>
  <si>
    <t>COPRORACION GILCHAT, C.A.</t>
  </si>
  <si>
    <t>121160</t>
  </si>
  <si>
    <t>50633</t>
  </si>
  <si>
    <t>7912</t>
  </si>
  <si>
    <t>20253</t>
  </si>
  <si>
    <t>DnF0077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</si>
  <si>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</si>
  <si>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</si>
  <si>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</si>
  <si>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</si>
  <si>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</si>
  <si>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</si>
  <si>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</si>
  <si>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</si>
  <si>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</si>
  <si>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</si>
  <si>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</si>
  <si>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</si>
  <si>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</si>
  <si>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</si>
  <si>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</si>
  <si>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22724</t>
  </si>
  <si>
    <t>22725</t>
  </si>
  <si>
    <t>2da QUINCENA MES 03-2024</t>
  </si>
  <si>
    <t>Bdv</t>
  </si>
  <si>
    <t>PAGO SENIAT PLANILLAS 99030</t>
  </si>
  <si>
    <t>J407885634 CORPORACION  GILCHAT C.A. RECARGA DE TONER</t>
  </si>
  <si>
    <t>PAGO CONCESION FEBRERO 2024</t>
  </si>
  <si>
    <t xml:space="preserve">transferencias Realizadas Bdv </t>
  </si>
  <si>
    <t>Nom</t>
  </si>
  <si>
    <t>Tranferencias recibidas</t>
  </si>
  <si>
    <t>TRANSF . DESDE BCO VZLA</t>
  </si>
  <si>
    <t>Banesco</t>
  </si>
  <si>
    <t>ELECTRICIDAD  OFICINA</t>
  </si>
  <si>
    <t>ELECTRICIDAD  APTO</t>
  </si>
  <si>
    <t>PAGO CANTV</t>
  </si>
  <si>
    <t>RECARGA DIGITEL (PENDRIVE)</t>
  </si>
  <si>
    <t>Transferencias Realizadas Banesco</t>
  </si>
  <si>
    <t>Transferencias Recibidas Banesco</t>
  </si>
  <si>
    <t>PUESTO FIJO INVERSIONES GONCONSULT</t>
  </si>
  <si>
    <t>BancaAmiga</t>
  </si>
  <si>
    <t>LUIS ESPINOSA REPARACION DE BARRERA DE ACCESO ESTACIONAMIENTO</t>
  </si>
  <si>
    <t>PLANILLA SENIAT 99030</t>
  </si>
  <si>
    <t>PAGO MIREYA DE MACIAS ALQUILER DE EQUIPOS</t>
  </si>
  <si>
    <t>PAGO INVERSIONES DAS</t>
  </si>
  <si>
    <t>COLEGIO EL PLACER</t>
  </si>
  <si>
    <t>REPARACION AIRE ACONDICIONADO</t>
  </si>
  <si>
    <t>HONORARIOS FREDDY SANCHEZ C.IV. 13105938 FEBRERO</t>
  </si>
  <si>
    <t>RETENCION DE INVERSIONES DAS IVA</t>
  </si>
  <si>
    <t>PLANILLA SENIAT 99035</t>
  </si>
  <si>
    <t>PLANILLA SENIAT 99044</t>
  </si>
  <si>
    <t>Transferencias realizadas BancaAmiga</t>
  </si>
  <si>
    <t>transferencias trabajadores</t>
  </si>
  <si>
    <t>Declaracion de IVA</t>
  </si>
  <si>
    <t>Islr 1%</t>
  </si>
  <si>
    <t>Islr</t>
  </si>
  <si>
    <t>PASAJE EMPLEADOS SEMANA DEL 22 Y 28 DE MARZO</t>
  </si>
  <si>
    <t>MIGUELINA TORRES-limpieza de oficina 75usd</t>
  </si>
  <si>
    <t>Transferencias Recibidas Bancamiga</t>
  </si>
  <si>
    <t>BancAmiga</t>
  </si>
  <si>
    <t>REINTEGRO DE TRANS NUMER  4345 DEL 18/03</t>
  </si>
  <si>
    <t>PRIMER REINTEGRO DE TRANS NUMER  4345 DEL 18/03</t>
  </si>
  <si>
    <t>pago facturas varias sami pan, excelsior, farmacia</t>
  </si>
  <si>
    <t>pago nomina</t>
  </si>
  <si>
    <t>1000262014</t>
  </si>
  <si>
    <t>41193</t>
  </si>
  <si>
    <t>34237</t>
  </si>
  <si>
    <t>53269</t>
  </si>
  <si>
    <t>25967</t>
  </si>
  <si>
    <t>22563</t>
  </si>
  <si>
    <t>42589</t>
  </si>
  <si>
    <t>52674</t>
  </si>
  <si>
    <t>17276</t>
  </si>
  <si>
    <t>52697</t>
  </si>
  <si>
    <t>38308</t>
  </si>
  <si>
    <t>33930</t>
  </si>
  <si>
    <t>17151</t>
  </si>
  <si>
    <t>123145</t>
  </si>
  <si>
    <t>97509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</si>
  <si>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</si>
  <si>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</si>
  <si>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</si>
  <si>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</si>
  <si>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</si>
  <si>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</si>
  <si>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</si>
  <si>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</si>
  <si>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</si>
  <si>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</si>
  <si>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</si>
  <si>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</si>
  <si>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</si>
  <si>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</si>
  <si>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</si>
  <si>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22726</t>
  </si>
  <si>
    <t>Declaracion de Iva</t>
  </si>
  <si>
    <t>Iva</t>
  </si>
  <si>
    <t>TRANSF A BANCAMIGA PARA PAGAR SEMAT</t>
  </si>
  <si>
    <t>MIGUELINA TORRES LIMPIEZA OFICINA</t>
  </si>
  <si>
    <t>COMPL ALQUILER DE EQUIPOS MIREYA DE MACIAS</t>
  </si>
  <si>
    <t>PLANILLA 99074</t>
  </si>
  <si>
    <t>PAGO INCES</t>
  </si>
  <si>
    <t>BANAVIH</t>
  </si>
  <si>
    <t>IVSS</t>
  </si>
  <si>
    <t>Transferencias Realizadas Bdv</t>
  </si>
  <si>
    <t>Transferencias Recibidas Bdv</t>
  </si>
  <si>
    <t>Bancamiga</t>
  </si>
  <si>
    <t>FOSPUCA MARZO 2024</t>
  </si>
  <si>
    <t>CORPORACION TELEMIC  INTER</t>
  </si>
  <si>
    <t>FREDDY SANCHEZ  DECLARACIONES ISLR</t>
  </si>
  <si>
    <t>SEGURIDAD CC LAS COLINAS</t>
  </si>
  <si>
    <t>PAGO SEMAT</t>
  </si>
  <si>
    <t>PLANILLA  99044</t>
  </si>
  <si>
    <t>PAGO A LUIS ESPINOZA MANTENIMIENTO EQUIPOS FEDERAL APD</t>
  </si>
  <si>
    <t>PAGO GIANCARLOS CATALGO MANTENIMIENTOS PROGRAMA DE TARJETAS DE ACCESO</t>
  </si>
  <si>
    <t>ALQUILER DE EQUIPOS FEDERAL APD</t>
  </si>
  <si>
    <t>MANTENIMIENTO JARDINES</t>
  </si>
  <si>
    <t xml:space="preserve">MANTENIMIENTO  ESTAC </t>
  </si>
  <si>
    <t>NOTA DE DEBITO CREDITO BANCARIO</t>
  </si>
  <si>
    <t>Transferencias Realizadas Bancamiga</t>
  </si>
  <si>
    <t>Transferencias recibidas BancaAmiga</t>
  </si>
  <si>
    <t xml:space="preserve">Banesco </t>
  </si>
  <si>
    <t xml:space="preserve">Transferencias realizadas banesco </t>
  </si>
  <si>
    <t>Transferencias recibidas Banesco</t>
  </si>
  <si>
    <t>Transferencias trabajadores</t>
  </si>
  <si>
    <t>1ra QUINCENA MES 04-2024</t>
  </si>
  <si>
    <t>Nomina</t>
  </si>
  <si>
    <t>MIGUELINA TORRES LIMPIEZA OFICINA 50Usd</t>
  </si>
  <si>
    <t>PASAJE EMPLEADOS SEMANAS 6 Y 13 DE ABRIL</t>
  </si>
  <si>
    <t>pago de facturas varias excelsior, farmacia trialca, farmatodo</t>
  </si>
  <si>
    <t>43216</t>
  </si>
  <si>
    <t>42984</t>
  </si>
  <si>
    <t>43109</t>
  </si>
  <si>
    <t>22121</t>
  </si>
  <si>
    <t>63041</t>
  </si>
  <si>
    <t>55164</t>
  </si>
  <si>
    <t>17906</t>
  </si>
  <si>
    <t>62712</t>
  </si>
  <si>
    <t>44220</t>
  </si>
  <si>
    <t>59713</t>
  </si>
  <si>
    <t xml:space="preserve">PLANSUAREZ, C.A. </t>
  </si>
  <si>
    <t>104259</t>
  </si>
  <si>
    <t xml:space="preserve">EL RUSTICO DOS SANTOS, C.A. </t>
  </si>
  <si>
    <t>2818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</si>
  <si>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</si>
  <si>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</si>
  <si>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</si>
  <si>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</si>
  <si>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</si>
  <si>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</si>
  <si>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</si>
  <si>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</si>
  <si>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</si>
  <si>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</si>
  <si>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</si>
  <si>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</si>
  <si>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</si>
  <si>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</si>
  <si>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</si>
  <si>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22727</t>
  </si>
  <si>
    <t>22728</t>
  </si>
  <si>
    <t>22729</t>
  </si>
  <si>
    <t>22730</t>
  </si>
  <si>
    <t>22731</t>
  </si>
  <si>
    <t>Iva 2da quincena</t>
  </si>
  <si>
    <t>Transferencias Realizadas</t>
  </si>
  <si>
    <t>Transferencias Recibidas</t>
  </si>
  <si>
    <t>TRASNSF DESDE BANCAMIGA</t>
  </si>
  <si>
    <t>COMPRA DE MATERIAL DE LIMPIEZA</t>
  </si>
  <si>
    <t>MONTO REINTEGRADO</t>
  </si>
  <si>
    <t>PAGO DE CONCESION MES DE MARZO</t>
  </si>
  <si>
    <t>TRANF A BCO VZLA</t>
  </si>
  <si>
    <t>TRANF INVERSIONES DAS</t>
  </si>
  <si>
    <t>C.I. 13,713,265 PPRODUCTOS DE LIMPIEZA</t>
  </si>
  <si>
    <t>Tranaferencias Realizadas</t>
  </si>
  <si>
    <t>REINTEGRO  DE TRANS 8891</t>
  </si>
  <si>
    <t>REINTEGRO DE TRANF 222628</t>
  </si>
  <si>
    <t>NC</t>
  </si>
  <si>
    <t>PAGO DE PLANILLA 99044</t>
  </si>
  <si>
    <t>PAGO CONCESIÓN MARZO 2024</t>
  </si>
  <si>
    <t>PUESTO FIJO DEPICAR</t>
  </si>
  <si>
    <t>2da QUINCENA MES 04-2024</t>
  </si>
  <si>
    <t>Bonificaciones Contractuales</t>
  </si>
  <si>
    <t>Pago Realizados</t>
  </si>
  <si>
    <t>LIMPIEZA DE OFICINA Y ESTACIONAMIENTO SEMANA 18 Y 25/04</t>
  </si>
  <si>
    <t>PASAJE DE EMPLEADOS SEMANAS DEL 19 Y 26 DE ABRIL</t>
  </si>
  <si>
    <t>pago realizados excelsior, paulas barkerys</t>
  </si>
  <si>
    <t>1000267782</t>
  </si>
  <si>
    <t xml:space="preserve">PANADERIA Y PASTELERIA LA BARCA, C.A. </t>
  </si>
  <si>
    <t>120325</t>
  </si>
  <si>
    <t xml:space="preserve">COMERCIALIZADORA 1107, C.A. </t>
  </si>
  <si>
    <t>36617</t>
  </si>
  <si>
    <t>DISTRIBUIDORA 3013, C.A.</t>
  </si>
  <si>
    <t>22443</t>
  </si>
  <si>
    <t>43879</t>
  </si>
  <si>
    <t xml:space="preserve">PARKING 1996, C.A. </t>
  </si>
  <si>
    <t>212094</t>
  </si>
  <si>
    <t>27692</t>
  </si>
  <si>
    <t xml:space="preserve">MULTISERVICIOS BAMBAM, C.A. </t>
  </si>
  <si>
    <t>2835</t>
  </si>
  <si>
    <t>56040</t>
  </si>
  <si>
    <t>41928</t>
  </si>
  <si>
    <t>85706</t>
  </si>
  <si>
    <t>211771</t>
  </si>
  <si>
    <t>130116</t>
  </si>
  <si>
    <t>35186</t>
  </si>
  <si>
    <t>22340</t>
  </si>
  <si>
    <t>iluminacion; bombillos, lamparas, balastro, otros</t>
  </si>
  <si>
    <t xml:space="preserve">FERRETERIA EPA, C.A. </t>
  </si>
  <si>
    <t>87144</t>
  </si>
  <si>
    <t>55093</t>
  </si>
  <si>
    <t>55763</t>
  </si>
  <si>
    <t>GRUPO CSL, C.A.</t>
  </si>
  <si>
    <t>419</t>
  </si>
  <si>
    <t>43317</t>
  </si>
  <si>
    <t>22405</t>
  </si>
  <si>
    <t>42463</t>
  </si>
  <si>
    <t>24434</t>
  </si>
  <si>
    <t>22314</t>
  </si>
  <si>
    <t>42464</t>
  </si>
  <si>
    <t>4192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</si>
  <si>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</si>
  <si>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</si>
  <si>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</si>
  <si>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</si>
  <si>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</si>
  <si>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</si>
  <si>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</si>
  <si>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</si>
  <si>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</si>
  <si>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</si>
  <si>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</si>
  <si>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</si>
  <si>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</si>
  <si>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</si>
  <si>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</si>
  <si>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22732</t>
  </si>
  <si>
    <t xml:space="preserve">Iva 1era quincena </t>
  </si>
  <si>
    <t>1ra QUINCENA MES 05-2024</t>
  </si>
  <si>
    <t>TRANSF A BANCAMIGA</t>
  </si>
  <si>
    <t>PAGO FREDDY SANCHEZ</t>
  </si>
  <si>
    <t>PAGO IVSSS ABRIL 2024</t>
  </si>
  <si>
    <t>PAGO BANAVIHS ABRIL 2024</t>
  </si>
  <si>
    <t>RACARGA TELEFONICA</t>
  </si>
  <si>
    <t>COMPLEMENTO DEPICAR</t>
  </si>
  <si>
    <t>TRANSF LUIS ESPINOZA</t>
  </si>
  <si>
    <t>SERV VIGI MAYO 2024</t>
  </si>
  <si>
    <t xml:space="preserve">tickets codigo barra </t>
  </si>
  <si>
    <t>MANTENIMIENTO AIRE ACONDICIONADO   C.I.V 19,609,709</t>
  </si>
  <si>
    <t>PAGO ALEJANDRA</t>
  </si>
  <si>
    <t>ALQUILER DE EQUIPOS</t>
  </si>
  <si>
    <t>MONTO REINTEGRADO  ( TRANSF 9694-4970)</t>
  </si>
  <si>
    <t>PAGO DE PRESTAMO</t>
  </si>
  <si>
    <t>MAGALY</t>
  </si>
  <si>
    <t xml:space="preserve">PAGO DIRECTO </t>
  </si>
  <si>
    <t>TRASNF DESDE VZLA</t>
  </si>
  <si>
    <t>LIMPIEZA DE OFICINA SEMANAS 2 Y 9 DE MAYP</t>
  </si>
  <si>
    <t>Pago a Trabajadores</t>
  </si>
  <si>
    <t>pago excelsior, parking,  araira, distribuidora 3013</t>
  </si>
  <si>
    <t>107197</t>
  </si>
  <si>
    <t>8505</t>
  </si>
  <si>
    <t>18578</t>
  </si>
  <si>
    <t>18579</t>
  </si>
  <si>
    <t>57380</t>
  </si>
  <si>
    <t>87786</t>
  </si>
  <si>
    <t>44670</t>
  </si>
  <si>
    <t>42269</t>
  </si>
  <si>
    <t>27331</t>
  </si>
  <si>
    <t>57132</t>
  </si>
  <si>
    <t>45119</t>
  </si>
  <si>
    <t>26476</t>
  </si>
  <si>
    <t>44105</t>
  </si>
  <si>
    <t>1723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</si>
  <si>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</si>
  <si>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</si>
  <si>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</si>
  <si>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</si>
  <si>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</si>
  <si>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</si>
  <si>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</si>
  <si>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</si>
  <si>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</si>
  <si>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</si>
  <si>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</si>
  <si>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</si>
  <si>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</si>
  <si>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</si>
  <si>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</si>
  <si>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22733</t>
  </si>
  <si>
    <t>22734</t>
  </si>
  <si>
    <t>22735</t>
  </si>
  <si>
    <t>22736</t>
  </si>
  <si>
    <t>SOCIEDAD CIVIL CLINICA ODONTOLOGICA LAS COLINAS</t>
  </si>
  <si>
    <t>22737</t>
  </si>
  <si>
    <t>declaracion de Iva</t>
  </si>
  <si>
    <t>REVERSADO</t>
  </si>
  <si>
    <t>transferencias recibidas</t>
  </si>
  <si>
    <t>REVERSO</t>
  </si>
  <si>
    <t>TRABAJOS DE HERRERIA  MIGUEL SOLER</t>
  </si>
  <si>
    <t>TRANSF A  BCO VZLA</t>
  </si>
  <si>
    <t>MATERIAL DE OFICINA BAZAR , FACT 042269</t>
  </si>
  <si>
    <t>Transferencias recibidas</t>
  </si>
  <si>
    <t>TICKET MARTIN</t>
  </si>
  <si>
    <t>factura fiscal</t>
  </si>
  <si>
    <t>HONORARIOS ABRIL  FREDDY SANZHEZ</t>
  </si>
  <si>
    <t>PAGO DE COLEGIO</t>
  </si>
  <si>
    <t>PAGO MIGELINA TORRES</t>
  </si>
  <si>
    <t>PAGO SENIAT</t>
  </si>
  <si>
    <t>ALEJANDRA MELLADO</t>
  </si>
  <si>
    <t>TRASNF ALEJANDRA</t>
  </si>
  <si>
    <t>transferencias realizadas</t>
  </si>
  <si>
    <t>TRANSF DE BANCAMIGA</t>
  </si>
  <si>
    <t>TRABAJOS DE HERRERRIA/ ESTACIONAMIENTO 40Usd</t>
  </si>
  <si>
    <t>LIMPIEZA DE OFICINA Y ESTACIONAMIENTO 90Usd</t>
  </si>
  <si>
    <t>PASAJES EMPLEADOS</t>
  </si>
  <si>
    <t xml:space="preserve">Gastos Varios por reembolsar </t>
  </si>
  <si>
    <t>2da QUINCENA MES 05-2024</t>
  </si>
  <si>
    <t>Mes mayo - 2024</t>
  </si>
  <si>
    <t>Impuesto de protección de las pensiones</t>
  </si>
  <si>
    <t>DPP mes mayo 2024</t>
  </si>
  <si>
    <t>DPP</t>
  </si>
  <si>
    <t>Impuesto de protección a las pensiones por pagar</t>
  </si>
  <si>
    <t>pago facturas varias farmatodo, excelsior, plaza, farmatodo</t>
  </si>
  <si>
    <t>88986</t>
  </si>
  <si>
    <t>109282</t>
  </si>
  <si>
    <t>19001</t>
  </si>
  <si>
    <t xml:space="preserve">GRUPO TOTAL 99, C.A. </t>
  </si>
  <si>
    <t>4723</t>
  </si>
  <si>
    <t>58959</t>
  </si>
  <si>
    <t>46638</t>
  </si>
  <si>
    <t>29248</t>
  </si>
  <si>
    <t>50447</t>
  </si>
  <si>
    <t>65132</t>
  </si>
  <si>
    <t>8538</t>
  </si>
  <si>
    <t>23638</t>
  </si>
  <si>
    <t xml:space="preserve">DELI CORPORACION 01 LAS MERCEDES, C.A. </t>
  </si>
  <si>
    <t>100002</t>
  </si>
  <si>
    <t>44913</t>
  </si>
  <si>
    <t>1000275030</t>
  </si>
  <si>
    <t>1740</t>
  </si>
  <si>
    <t>1741</t>
  </si>
  <si>
    <t>1742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</si>
  <si>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</si>
  <si>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</si>
  <si>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</si>
  <si>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</si>
  <si>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</si>
  <si>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</si>
  <si>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</si>
  <si>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</si>
  <si>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</si>
  <si>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</si>
  <si>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</si>
  <si>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</si>
  <si>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22738</t>
  </si>
  <si>
    <t>22739</t>
  </si>
  <si>
    <t xml:space="preserve">declaracion de iva </t>
  </si>
  <si>
    <t>1ra QUINCENA MES 06-2024</t>
  </si>
  <si>
    <t xml:space="preserve"> 1ER PAGO DE CONCESION ABRIL 2024</t>
  </si>
  <si>
    <t>VIGILANCIA CC LAS COLINAS</t>
  </si>
  <si>
    <t>COMPLEMEN PAGO CONCESION MES DE ABRIL</t>
  </si>
  <si>
    <t>PLANILLA  99021</t>
  </si>
  <si>
    <t>TRANSF BCO VZLA - Pago Realizado por Administrador</t>
  </si>
  <si>
    <t>PAGO MIGUELINA</t>
  </si>
  <si>
    <t>transferencias Recibidas</t>
  </si>
  <si>
    <t xml:space="preserve">PUESTO YESSICA </t>
  </si>
  <si>
    <t>TRANSF DE BCO VZLA</t>
  </si>
  <si>
    <t>Transferencias realizadas</t>
  </si>
  <si>
    <t>PRODELLI</t>
  </si>
  <si>
    <t>PUESO FIJO MAYO IN. GONCONSUL</t>
  </si>
  <si>
    <t>PAGO DE MARY PILI</t>
  </si>
  <si>
    <t>PASAJE EMPLEADOS</t>
  </si>
  <si>
    <t>matenimiento impresora fiscal</t>
  </si>
  <si>
    <t>ARMANDO DIX -PROGRAMACION DE MAQUINA REGISTRADORA Usd140</t>
  </si>
  <si>
    <t>MIGUELINA TORRES-LIMPIEZA DE OFICINA Y ESTACIONAMIENTO Usd 30</t>
  </si>
  <si>
    <t>Pago facturas Varias - deli, Farmatodo, excelsior</t>
  </si>
  <si>
    <t>76306</t>
  </si>
  <si>
    <t>76334</t>
  </si>
  <si>
    <t>52762</t>
  </si>
  <si>
    <t xml:space="preserve">COMERCIALIZADORA 1108, C.A. </t>
  </si>
  <si>
    <t>101749</t>
  </si>
  <si>
    <t>47795</t>
  </si>
  <si>
    <t>138386</t>
  </si>
  <si>
    <t>38904</t>
  </si>
  <si>
    <t>11357</t>
  </si>
  <si>
    <t>59946</t>
  </si>
  <si>
    <t>137587</t>
  </si>
  <si>
    <t>57478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</si>
  <si>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</si>
  <si>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</si>
  <si>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</si>
  <si>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</si>
  <si>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</si>
  <si>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</si>
  <si>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</si>
  <si>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</si>
  <si>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</si>
  <si>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</si>
  <si>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</si>
  <si>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</si>
  <si>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</si>
  <si>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</si>
  <si>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</si>
  <si>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22740</t>
  </si>
  <si>
    <t>22741</t>
  </si>
  <si>
    <t>22742</t>
  </si>
  <si>
    <t>22743</t>
  </si>
  <si>
    <t>22744</t>
  </si>
  <si>
    <t xml:space="preserve">declaracion de Iva </t>
  </si>
  <si>
    <t>2da QUINCENA MES 06-2024</t>
  </si>
  <si>
    <t>PLANILLA 99019</t>
  </si>
  <si>
    <t>PAGO DR PRESTAMO</t>
  </si>
  <si>
    <t>TRANSF BCO VZLA PER</t>
  </si>
  <si>
    <t>PAGO DE TRANSPORTE</t>
  </si>
  <si>
    <t xml:space="preserve">Transferencias realizadas </t>
  </si>
  <si>
    <t xml:space="preserve">Gastos de Representación </t>
  </si>
  <si>
    <t>PAGO ELECTRIDAD OFICINA</t>
  </si>
  <si>
    <t xml:space="preserve">COMPRA DIV </t>
  </si>
  <si>
    <t>PUESTO FACTUR 650</t>
  </si>
  <si>
    <t>TRANSF DEDE BANCAMIGA</t>
  </si>
  <si>
    <t>TRANSF A VZLA Pers Manten</t>
  </si>
  <si>
    <t>TRSNDF DESDE BANACAMIGA</t>
  </si>
  <si>
    <t>MIGUELINA TORRES -LIMPIEZA DE OFICINA Y ESTACIONAMIENTO 30USD</t>
  </si>
  <si>
    <t>Pagos</t>
  </si>
  <si>
    <t>PASAJE EMPLEADOS SEMANA DEL 28/06</t>
  </si>
  <si>
    <t>Pago de Facturas Varias - Excelsior Gama, Panaderia</t>
  </si>
  <si>
    <t>DPP mes junio 2024</t>
  </si>
  <si>
    <t>1000276761</t>
  </si>
  <si>
    <t>140367</t>
  </si>
  <si>
    <t>46648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</si>
  <si>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</si>
  <si>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</si>
  <si>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</si>
  <si>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</si>
  <si>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</si>
  <si>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</si>
  <si>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</si>
  <si>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</si>
  <si>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</si>
  <si>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</si>
  <si>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</si>
  <si>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</si>
  <si>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</si>
  <si>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</si>
  <si>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</si>
  <si>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22745</t>
  </si>
  <si>
    <t>22746</t>
  </si>
  <si>
    <t xml:space="preserve">1era quincena julio </t>
  </si>
  <si>
    <t>RECARGA TELEONICA</t>
  </si>
  <si>
    <t>TRANS BCO VZLA</t>
  </si>
  <si>
    <t xml:space="preserve">MIREYA DE MACIAS ALQUILER DE EQUIPOS MAYO </t>
  </si>
  <si>
    <t xml:space="preserve"> VUELTO DE PAGO MOVIL</t>
  </si>
  <si>
    <t>TRANSF BCO VZLA Y</t>
  </si>
  <si>
    <t>PAGO TRANSPORTE GIOVANNY</t>
  </si>
  <si>
    <t>NOMINA YONEIBER</t>
  </si>
  <si>
    <t>CONCESION MAYO 2024 1ER</t>
  </si>
  <si>
    <t>PUESTO FIJO  MARI PILI</t>
  </si>
  <si>
    <t>PAGO CHIRINOS Para permiso de Bomberos</t>
  </si>
  <si>
    <t>PAGO A LUIS ESPINOZA  COMPUTADORA BARRERA</t>
  </si>
  <si>
    <t>PLANILLA  99019</t>
  </si>
  <si>
    <t>PAGO A MIGUELINA LIMPIEZA DE OFICINA</t>
  </si>
  <si>
    <t>TRANSF PARA PAGO DE ONEIBER Y YONEIBER</t>
  </si>
  <si>
    <t>PAGO CONCESION MAYO 2024 1ER</t>
  </si>
  <si>
    <t>TRANSFE DESDE BANCAMIGA</t>
  </si>
  <si>
    <t>TRASNF DESDE BANESCO</t>
  </si>
  <si>
    <t>LIMPIEZA DE OFICINA SEMANA DEL 5 Y 12 30$</t>
  </si>
  <si>
    <t>PASAJES DE EMPLEADOS SEMANA 7 Y 12</t>
  </si>
  <si>
    <t>pago facturas varias sami pan bakery</t>
  </si>
  <si>
    <t>67522</t>
  </si>
  <si>
    <t>77932</t>
  </si>
  <si>
    <t>49618</t>
  </si>
  <si>
    <t>3268</t>
  </si>
  <si>
    <t>47508</t>
  </si>
  <si>
    <t>143397</t>
  </si>
  <si>
    <t>115439</t>
  </si>
  <si>
    <t xml:space="preserve">ALIMENTOS PB 2, C.A. </t>
  </si>
  <si>
    <t>96080</t>
  </si>
  <si>
    <t>Resumen</t>
  </si>
  <si>
    <t>22747</t>
  </si>
  <si>
    <t>22748</t>
  </si>
  <si>
    <t>22749</t>
  </si>
  <si>
    <t>22750</t>
  </si>
  <si>
    <t xml:space="preserve">Iva declarado </t>
  </si>
  <si>
    <t xml:space="preserve">2da Quincena </t>
  </si>
  <si>
    <t>PAGO DE ELCTRICIDAD APTO</t>
  </si>
  <si>
    <t>PAGO DE ESCUELA DE BAILE</t>
  </si>
  <si>
    <t>CONCESION MAYO 2024</t>
  </si>
  <si>
    <t>MIGUELINA TORRES PAGO LIMPIEZA DE OFICINA</t>
  </si>
  <si>
    <t xml:space="preserve">PAGO MIGUELINA TORRE 8515636  LIMPIEZA DE OFICINA </t>
  </si>
  <si>
    <t>TRANSF  A BCO VZLA</t>
  </si>
  <si>
    <t>TRASNF A BCO VZLA</t>
  </si>
  <si>
    <t>NOMINA ONEIBER</t>
  </si>
  <si>
    <t>NOMINA YONEIBER VALLADARES</t>
  </si>
  <si>
    <t>PAGO DE TRANSPORTE JOVANNI VERAMENDE</t>
  </si>
  <si>
    <t>COPLEMENTO PAGO DE TRANSPORTE JOVANNI VERAMENDE</t>
  </si>
  <si>
    <t>PAGO  MARI PILI</t>
  </si>
  <si>
    <t>PUESTO FIJO FACTOR</t>
  </si>
  <si>
    <t>PAGO DE YESSICA</t>
  </si>
  <si>
    <t>pago facturas varias Farmatodo, panaderia, alimentos pb</t>
  </si>
  <si>
    <t>PASAJES DE EMPLEADOS SEMANA DEL 19 Y 26 DE JULIO</t>
  </si>
  <si>
    <t>limpieza de oficina SEMANA DEL 19 Y 26 DE JULIO 30$</t>
  </si>
  <si>
    <t>IPP mes 07-2024</t>
  </si>
  <si>
    <t>IPP</t>
  </si>
  <si>
    <t xml:space="preserve">GRUPO KIOSKO WUILANDER, C.A. </t>
  </si>
  <si>
    <t>130335</t>
  </si>
  <si>
    <t>43748</t>
  </si>
  <si>
    <t>48609</t>
  </si>
  <si>
    <t>119062</t>
  </si>
  <si>
    <t>65273</t>
  </si>
  <si>
    <t>146148</t>
  </si>
  <si>
    <t>30154</t>
  </si>
  <si>
    <t>42814</t>
  </si>
  <si>
    <t xml:space="preserve">SOL BRILLANTE DE AMAZONAS, C.A. </t>
  </si>
  <si>
    <t>7618</t>
  </si>
  <si>
    <t>31148</t>
  </si>
  <si>
    <t>1000285354</t>
  </si>
  <si>
    <t>58</t>
  </si>
  <si>
    <t>59 - 60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</si>
  <si>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</si>
  <si>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</si>
  <si>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</si>
  <si>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</si>
  <si>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</si>
  <si>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</si>
  <si>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</si>
  <si>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</si>
  <si>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</si>
  <si>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</si>
  <si>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</si>
  <si>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</si>
  <si>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</si>
  <si>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1ra QUINCENA MES 08-2024</t>
  </si>
  <si>
    <t xml:space="preserve">FREDDY SANCHEZ HONORARIOS JUN </t>
  </si>
  <si>
    <t>COMPRA DE RESMA  FACTURA 43748</t>
  </si>
  <si>
    <t xml:space="preserve">TRANSF A  BANCAMIGA </t>
  </si>
  <si>
    <t>MONTO REINTEGRADO 13/08</t>
  </si>
  <si>
    <t>PAGO CONCESION JUN 2024</t>
  </si>
  <si>
    <t>MONTO REINTEGRADO  A BANCAMIGA</t>
  </si>
  <si>
    <t>TRANF DESDE BANCAMIGA</t>
  </si>
  <si>
    <t>PAGO ELECTRICIDAD OFICINA</t>
  </si>
  <si>
    <t>PAGO TICKET</t>
  </si>
  <si>
    <t>PAGO DE TICKET</t>
  </si>
  <si>
    <t>PAGO DE SPA MANO</t>
  </si>
  <si>
    <t>PAGO CONDOMINIO APTO</t>
  </si>
  <si>
    <t>PAGO DE MARTIN</t>
  </si>
  <si>
    <t>LIMPIEZA DE OFICINA/ESTACIONAMIENTO 30$</t>
  </si>
  <si>
    <t>COMPRA DE 100 ROLLOS TERMICO PARA  PUNTO DE VENTA 32$</t>
  </si>
  <si>
    <t>pago facturas Paulas barkerys, farmatodo, excelsior gama</t>
  </si>
  <si>
    <t/>
  </si>
  <si>
    <t>134254</t>
  </si>
  <si>
    <t>69190</t>
  </si>
  <si>
    <t>142874</t>
  </si>
  <si>
    <t>43486</t>
  </si>
  <si>
    <t>133559</t>
  </si>
  <si>
    <t>43415</t>
  </si>
  <si>
    <t>62595</t>
  </si>
  <si>
    <t>120487</t>
  </si>
  <si>
    <t>62016</t>
  </si>
  <si>
    <t>6728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</si>
  <si>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</si>
  <si>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</si>
  <si>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</si>
  <si>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</si>
  <si>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</si>
  <si>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</si>
  <si>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</si>
  <si>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</si>
  <si>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</si>
  <si>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</si>
  <si>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</si>
  <si>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</si>
  <si>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</si>
  <si>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</si>
  <si>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</si>
  <si>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</si>
  <si>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22751</t>
  </si>
  <si>
    <t>22752</t>
  </si>
  <si>
    <t>22753</t>
  </si>
  <si>
    <t>22754</t>
  </si>
  <si>
    <t>Nomina 2da quincena</t>
  </si>
  <si>
    <t xml:space="preserve">Fruty Andes - Feria de Frutas </t>
  </si>
  <si>
    <t xml:space="preserve"> ALQUILER DE EQUIPOS  MIREYA DE MACIAS</t>
  </si>
  <si>
    <t>PAGO ALEJANDRA MELLADO</t>
  </si>
  <si>
    <t>COMPLEMENTO MIREYA</t>
  </si>
  <si>
    <t>PUESTO FIJO CLINICA</t>
  </si>
  <si>
    <t>Electricidad apto</t>
  </si>
  <si>
    <t>cantv oficina</t>
  </si>
  <si>
    <t>PAGO CORPOELECT</t>
  </si>
  <si>
    <t>PUESTO FIJO   DEPICAR</t>
  </si>
  <si>
    <t>PAGO DE CREDITO</t>
  </si>
  <si>
    <t>PAGO DE MARI PILI</t>
  </si>
  <si>
    <t>PAGO MAGALY</t>
  </si>
  <si>
    <t>LIMPIEZA DE OFICINA 30$ miguelina torres</t>
  </si>
  <si>
    <t>pago facturas varias - excelsior gama, farmatodo</t>
  </si>
  <si>
    <t>IPP mes 08-2024</t>
  </si>
  <si>
    <t>pago de nomina</t>
  </si>
  <si>
    <t>1000291968</t>
  </si>
  <si>
    <t>23947</t>
  </si>
  <si>
    <t>20730</t>
  </si>
  <si>
    <t>68177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</si>
  <si>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</si>
  <si>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</si>
  <si>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</si>
  <si>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</si>
  <si>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</si>
  <si>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</si>
  <si>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</si>
  <si>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</si>
  <si>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</si>
  <si>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</si>
  <si>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</si>
  <si>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</si>
  <si>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</si>
  <si>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</si>
  <si>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</si>
  <si>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22755</t>
  </si>
  <si>
    <t>22756</t>
  </si>
  <si>
    <t>22757</t>
  </si>
  <si>
    <t>22758</t>
  </si>
  <si>
    <t>22759</t>
  </si>
  <si>
    <t>22760</t>
  </si>
  <si>
    <t>1ra QUINCENA MES 09-2024</t>
  </si>
  <si>
    <t>PAGO A MIGUELINA</t>
  </si>
  <si>
    <t>SEGURIDAC CC. LAS COLINAS AGOSTO Y SEPT</t>
  </si>
  <si>
    <t>TRANF ONEIBER</t>
  </si>
  <si>
    <t>TRANSF YONEIBER</t>
  </si>
  <si>
    <t>Bonificacion trabajadores</t>
  </si>
  <si>
    <t xml:space="preserve">TRANSF DESDE BANESCO </t>
  </si>
  <si>
    <t>TRANSF DESDE BAMCAMIGA</t>
  </si>
  <si>
    <t xml:space="preserve">TRANSF </t>
  </si>
  <si>
    <t>TRASNF BCO VZLA</t>
  </si>
  <si>
    <t>PUESTO FIJO SPA MANO</t>
  </si>
  <si>
    <t>PAGO CONCESION JULIO 2024</t>
  </si>
  <si>
    <t>REINTEGRO DE 7</t>
  </si>
  <si>
    <t>FREDDY SANCHEZ JUL 2024</t>
  </si>
  <si>
    <t>PAGO ALCADIA</t>
  </si>
  <si>
    <t>TRANS A BCO VZLA</t>
  </si>
  <si>
    <t>TRANSF DESDE  BANESCO</t>
  </si>
  <si>
    <t>PAGO YESSICA</t>
  </si>
  <si>
    <t>Miguelina Torres -LIMPIEZA DE OFICINA Y ESTACIONAMIENTO 60usd</t>
  </si>
  <si>
    <t xml:space="preserve">TRANS </t>
  </si>
  <si>
    <t>24102</t>
  </si>
  <si>
    <t>51151</t>
  </si>
  <si>
    <t>H2, C.A.</t>
  </si>
  <si>
    <t>569</t>
  </si>
  <si>
    <t>45652</t>
  </si>
  <si>
    <t>69287</t>
  </si>
  <si>
    <t>48485</t>
  </si>
  <si>
    <t>68335</t>
  </si>
  <si>
    <t>98369</t>
  </si>
  <si>
    <t>138838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</si>
  <si>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</si>
  <si>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</si>
  <si>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</si>
  <si>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</si>
  <si>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</si>
  <si>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</si>
  <si>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</si>
  <si>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</si>
  <si>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</si>
  <si>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</si>
  <si>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</si>
  <si>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</si>
  <si>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</si>
  <si>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</si>
  <si>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</si>
  <si>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22761</t>
  </si>
  <si>
    <t>22762</t>
  </si>
  <si>
    <t>22763</t>
  </si>
  <si>
    <t>Impuesto mes 09-2024</t>
  </si>
  <si>
    <t>Iva mes 09-2024</t>
  </si>
  <si>
    <t xml:space="preserve">Islr 1% </t>
  </si>
  <si>
    <t>2da quincena mes 09-2024</t>
  </si>
  <si>
    <t>REINTEGRO 10$</t>
  </si>
  <si>
    <t>TRANSF MIREYA DE MACIAS</t>
  </si>
  <si>
    <t>PAGO MIGUELINA LIMPIEZA DE OFICINA</t>
  </si>
  <si>
    <t>PAGO DE ROLLOS DE PUNTO DE VENTA</t>
  </si>
  <si>
    <t>TRASNF DESDE  BANCAMIGA</t>
  </si>
  <si>
    <t>PAGO ELECTRIDAD APTO</t>
  </si>
  <si>
    <t>PAGO ELECTRIDAD OFIC</t>
  </si>
  <si>
    <t>PUESTTO FIJO DEPICAR</t>
  </si>
  <si>
    <t>bancaAmiga</t>
  </si>
  <si>
    <t>TRAANSF BCO VZLA</t>
  </si>
  <si>
    <t>REINTEGRO 10%</t>
  </si>
  <si>
    <t>COMPRA DE AGUA POTABLE</t>
  </si>
  <si>
    <t>NOTA DE CREDITO</t>
  </si>
  <si>
    <t>PAGO DE EDEN</t>
  </si>
  <si>
    <t>PASAJES DE EMPLEADOS SEMANAS DEL 20 Y 27</t>
  </si>
  <si>
    <t>efectivo</t>
  </si>
  <si>
    <t>LIMPIEZA DE OFICINA DIAS ,17,19,24 Y 26 30$</t>
  </si>
  <si>
    <t>pago quincena</t>
  </si>
  <si>
    <t>pago de facturas varias</t>
  </si>
  <si>
    <t>71991</t>
  </si>
  <si>
    <t>70967</t>
  </si>
  <si>
    <t>54992</t>
  </si>
  <si>
    <t>60751</t>
  </si>
  <si>
    <t>1000298129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</si>
  <si>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</si>
  <si>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</si>
  <si>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</si>
  <si>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</si>
  <si>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</si>
  <si>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</si>
  <si>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</si>
  <si>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</si>
  <si>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</si>
  <si>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</si>
  <si>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</si>
  <si>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</si>
  <si>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</si>
  <si>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</si>
  <si>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</si>
  <si>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22764</t>
  </si>
  <si>
    <t>22765</t>
  </si>
  <si>
    <t>22766</t>
  </si>
  <si>
    <t>1ra QUINCENA MES 10-2024</t>
  </si>
  <si>
    <t>bono quincenal</t>
  </si>
  <si>
    <t>Iva quincenal</t>
  </si>
  <si>
    <t>1091</t>
  </si>
  <si>
    <t>27730</t>
  </si>
  <si>
    <t xml:space="preserve">MOROPO1120, C.A. </t>
  </si>
  <si>
    <t>13188</t>
  </si>
  <si>
    <t>44410</t>
  </si>
  <si>
    <t>45507</t>
  </si>
  <si>
    <t>72949</t>
  </si>
  <si>
    <t>73276</t>
  </si>
  <si>
    <t>43819</t>
  </si>
  <si>
    <t>73047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</si>
  <si>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</si>
  <si>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</si>
  <si>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</si>
  <si>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</si>
  <si>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</si>
  <si>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</si>
  <si>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</si>
  <si>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</si>
  <si>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</si>
  <si>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</si>
  <si>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</si>
  <si>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</si>
  <si>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</si>
  <si>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</si>
  <si>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</si>
  <si>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</si>
  <si>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22767</t>
  </si>
  <si>
    <t>22768</t>
  </si>
  <si>
    <t>22769</t>
  </si>
  <si>
    <t>22770</t>
  </si>
  <si>
    <t>22771</t>
  </si>
  <si>
    <t>2da QUINCENA MES 10-2024</t>
  </si>
  <si>
    <t>REINTEGRO INVERSIONES DAS</t>
  </si>
  <si>
    <t>PAGO DE CONCESION  AGOSTO 2024</t>
  </si>
  <si>
    <t>PAGO CONCESION AGOS 2024</t>
  </si>
  <si>
    <t>PAGO AGUA POTABLE</t>
  </si>
  <si>
    <t>TRANF  BCO VZLA</t>
  </si>
  <si>
    <t>PAGO DE BOTELLONES</t>
  </si>
  <si>
    <t>PAGO A MIREYA</t>
  </si>
  <si>
    <t>PAGO A FREDDY DOS MESES</t>
  </si>
  <si>
    <t>COMPRA DE 200 ROLLO PUNTO DE VENTA</t>
  </si>
  <si>
    <t>PÚESTO FIJO FACTOR 650</t>
  </si>
  <si>
    <t>PAGO DE MAGALI</t>
  </si>
  <si>
    <t>PAGO DRECTO</t>
  </si>
  <si>
    <t>banesco</t>
  </si>
  <si>
    <t>CROSSFIT</t>
  </si>
  <si>
    <t xml:space="preserve">PAGO DE EDEN </t>
  </si>
  <si>
    <t>cambio divisas</t>
  </si>
  <si>
    <t>bdv</t>
  </si>
  <si>
    <t>PAGO SENIAT 1</t>
  </si>
  <si>
    <t>PAGO SENIAT 2</t>
  </si>
  <si>
    <t>PAGO SENIAT 3</t>
  </si>
  <si>
    <t>PAGO SENIAT 4</t>
  </si>
  <si>
    <t>TRANSF DEDES BANCAMIGA</t>
  </si>
  <si>
    <t>Miguelina torres -limpieza 40usd</t>
  </si>
  <si>
    <t>Miguelina torres -limpieza 60usd</t>
  </si>
  <si>
    <t>Iva quincena</t>
  </si>
  <si>
    <t>IPP mes 10-2024</t>
  </si>
  <si>
    <t xml:space="preserve">pago facturas varias </t>
  </si>
  <si>
    <t>1000303339</t>
  </si>
  <si>
    <t>46962</t>
  </si>
  <si>
    <t>FARMACIA FARMAGO, C.A</t>
  </si>
  <si>
    <t>409</t>
  </si>
  <si>
    <t xml:space="preserve">PANADERIA PASTELERIA LA MANSION DEL PAN, C.A. </t>
  </si>
  <si>
    <t>41857</t>
  </si>
  <si>
    <t>75098</t>
  </si>
  <si>
    <t>75082</t>
  </si>
  <si>
    <t>13300</t>
  </si>
  <si>
    <t>38260</t>
  </si>
  <si>
    <t>53910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</si>
  <si>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</si>
  <si>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</si>
  <si>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</si>
  <si>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</si>
  <si>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</si>
  <si>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</si>
  <si>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</si>
  <si>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</si>
  <si>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</si>
  <si>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</si>
  <si>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</si>
  <si>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</si>
  <si>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</si>
  <si>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</si>
  <si>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</si>
  <si>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22772</t>
  </si>
  <si>
    <t>22773</t>
  </si>
  <si>
    <t>Iva 1era quincena</t>
  </si>
  <si>
    <t>1ra QUINCENA MES 11-2024</t>
  </si>
  <si>
    <t>pagos realizados facturas varias</t>
  </si>
  <si>
    <t>bancamiga</t>
  </si>
  <si>
    <t>PAGO</t>
  </si>
  <si>
    <t>REINTEGRO DE FECHA 01/11</t>
  </si>
  <si>
    <t>INVERSIONES FOSPUCA ROF J407122401</t>
  </si>
  <si>
    <t>HONORARIOS OCTU FREDDY</t>
  </si>
  <si>
    <t>COMPRA DE DIVISAS</t>
  </si>
  <si>
    <t>COMPRA DIVISAS</t>
  </si>
  <si>
    <t>PAGO MARI PILI</t>
  </si>
  <si>
    <t xml:space="preserve">LIQUIDACION DE PUNTO </t>
  </si>
  <si>
    <t>TRANSFERENCIA</t>
  </si>
  <si>
    <t>PAGO RECIBIDO</t>
  </si>
  <si>
    <t>SEGURIDAD CC.LAS COLINAS</t>
  </si>
  <si>
    <t>FACTURA 046962 BS, 455</t>
  </si>
  <si>
    <t>TRANS BCO VZLA 60 Bs</t>
  </si>
  <si>
    <t>TRANSF BCO VZLA 560</t>
  </si>
  <si>
    <t>PAGO DE MAGALY</t>
  </si>
  <si>
    <t>PASAJES DE EMPLEADOS SEMANAS DEL 01, 8,  Y 15 DE NOVIEMBRE</t>
  </si>
  <si>
    <t>MIGUELINA TORRES LIMPIEZA DE OFICINA SEMANAS DEL 7 Y 15 60USD</t>
  </si>
  <si>
    <t>77127</t>
  </si>
  <si>
    <t>101036</t>
  </si>
  <si>
    <t xml:space="preserve">SUPERMERCADO RIO VIDA, C.A. </t>
  </si>
  <si>
    <t>20009</t>
  </si>
  <si>
    <t>741</t>
  </si>
  <si>
    <t>153610</t>
  </si>
  <si>
    <t>75950</t>
  </si>
  <si>
    <t>22774</t>
  </si>
  <si>
    <t>22775</t>
  </si>
  <si>
    <t>22776</t>
  </si>
  <si>
    <t>22777</t>
  </si>
  <si>
    <t>22778</t>
  </si>
  <si>
    <t>2da QUINCENA MES 11-2024</t>
  </si>
  <si>
    <t>IPP mes 11-2024</t>
  </si>
  <si>
    <t>MIEYA DE MACIAS</t>
  </si>
  <si>
    <t>ELIZAIDA</t>
  </si>
  <si>
    <t>AGUA POTABLE</t>
  </si>
  <si>
    <t>CONDOMINIO CC LAS COLINAS</t>
  </si>
  <si>
    <t>SENIAT</t>
  </si>
  <si>
    <t>CORPOELECT</t>
  </si>
  <si>
    <t>ticket</t>
  </si>
  <si>
    <t>1000311485</t>
  </si>
  <si>
    <t>34025</t>
  </si>
  <si>
    <t>77128</t>
  </si>
  <si>
    <t>77530</t>
  </si>
  <si>
    <t>62936</t>
  </si>
  <si>
    <t>155014</t>
  </si>
  <si>
    <t xml:space="preserve">COMERCIAL VIDA FELIZ, C.A. </t>
  </si>
  <si>
    <t>115989</t>
  </si>
  <si>
    <t>74291</t>
  </si>
  <si>
    <t>55371</t>
  </si>
  <si>
    <t>42707</t>
  </si>
  <si>
    <t>22779</t>
  </si>
  <si>
    <t>22780</t>
  </si>
  <si>
    <t>1ra QUINCENA MES 12-2024</t>
  </si>
  <si>
    <t>Anticipo Sobre Prestaciones Sociales</t>
  </si>
  <si>
    <t>Liquidaciones fin de año</t>
  </si>
  <si>
    <t>Liquidaciones</t>
  </si>
  <si>
    <t>86274</t>
  </si>
  <si>
    <t>55965</t>
  </si>
  <si>
    <t>56155</t>
  </si>
  <si>
    <t>196</t>
  </si>
  <si>
    <t>197</t>
  </si>
  <si>
    <t>198</t>
  </si>
  <si>
    <t>199</t>
  </si>
  <si>
    <t>200</t>
  </si>
  <si>
    <t>201`-202</t>
  </si>
  <si>
    <t>203</t>
  </si>
  <si>
    <t>204</t>
  </si>
  <si>
    <t>205</t>
  </si>
  <si>
    <t>206</t>
  </si>
  <si>
    <t>207</t>
  </si>
  <si>
    <t>208</t>
  </si>
  <si>
    <t>209</t>
  </si>
  <si>
    <t>22781</t>
  </si>
  <si>
    <t>22782</t>
  </si>
  <si>
    <t xml:space="preserve">Declaracion de Iva </t>
  </si>
  <si>
    <t>2da QUINCENA MES 12-2024</t>
  </si>
  <si>
    <t>TRANF BANCAMIGA</t>
  </si>
  <si>
    <t>PUESTO FIJO  DEPICAR</t>
  </si>
  <si>
    <t>TRASNF MIGUELINA C,I. 8515636</t>
  </si>
  <si>
    <t>REINTEGRO DE  TRANSF 1662</t>
  </si>
  <si>
    <t>REINTEGRO DE  TRANSF 1662 BS 2000</t>
  </si>
  <si>
    <t>SERVICIO DE SEGURIDAD CC. LAS COLINAS</t>
  </si>
  <si>
    <t>REINTEGRO DEPOSITO DE MAS (PM)</t>
  </si>
  <si>
    <t>INVERSIONES FOSPUCA</t>
  </si>
  <si>
    <t>REINTEGRO TANF 12863</t>
  </si>
  <si>
    <t>C.I. 12,453429 PRODUCTOS DE LIMPIEZA</t>
  </si>
  <si>
    <t xml:space="preserve">1er pago  vidrio /platina de vehiculo </t>
  </si>
  <si>
    <t>PAGP DIRECTO</t>
  </si>
  <si>
    <t>REINTEGRO DESCUENTO INCORRECTO  DE PAGO DIRECTO</t>
  </si>
  <si>
    <t>TICKET LA COLINA</t>
  </si>
  <si>
    <t>TRANF ALEJANDRA</t>
  </si>
  <si>
    <t>PAGO DE MARIA CASTILLO  (PILI)</t>
  </si>
  <si>
    <t>PAGO DURECTO</t>
  </si>
  <si>
    <t>REINTEGRADO EL 03/12 TRASNF 082 Y 049</t>
  </si>
  <si>
    <t xml:space="preserve">comision </t>
  </si>
  <si>
    <t>reclasificacion van 2114010</t>
  </si>
  <si>
    <t>reclasificacion van 2114001</t>
  </si>
  <si>
    <t>Ipp mes 12-2024</t>
  </si>
  <si>
    <t xml:space="preserve">Sueldos Directores                                </t>
  </si>
  <si>
    <t>Sueldo Directores mes 01-2024</t>
  </si>
  <si>
    <t>Sueldo Directores mes 02-2024</t>
  </si>
  <si>
    <t>Sueldo Directores mes 03-2024</t>
  </si>
  <si>
    <t>Sueldo Directores mes 04-2024</t>
  </si>
  <si>
    <t>Sueldo Directores mes 05-2024</t>
  </si>
  <si>
    <t>Sueldo Directores mes 06-2024</t>
  </si>
  <si>
    <t>Sueldo Directores mes 07-2024</t>
  </si>
  <si>
    <t>Sueldo Directores mes 08-2024</t>
  </si>
  <si>
    <t>Sueldo Directores mes 09-2024</t>
  </si>
  <si>
    <t>Sueldo Directores mes 10-2024</t>
  </si>
  <si>
    <t>Sueldo Directores mes 11-2024</t>
  </si>
  <si>
    <t>Sueldo Directores mes 12-2024</t>
  </si>
  <si>
    <t>Sueldo Directores pagados no contabilizados</t>
  </si>
  <si>
    <t>Bono Adminstrador 01-2024</t>
  </si>
  <si>
    <t>Bono Adminstrador 02-2024</t>
  </si>
  <si>
    <t>Bono Adminstrador 03-2024</t>
  </si>
  <si>
    <t>Bono Adminstrador 04-2024</t>
  </si>
  <si>
    <t>Bono Adminstrador 05-2024</t>
  </si>
  <si>
    <t>Bono Adminstrador 06-2024</t>
  </si>
  <si>
    <t>Bono Adminstrador 07-2024</t>
  </si>
  <si>
    <t>Bono Adminstrador 08-2024</t>
  </si>
  <si>
    <t>Bono Adminstrador 09-2024</t>
  </si>
  <si>
    <t>Bono Adminstrador 10-2024</t>
  </si>
  <si>
    <t xml:space="preserve">Bono Adminstrador 11-2024 </t>
  </si>
  <si>
    <t xml:space="preserve">Bono Adminstrador 12-2024 </t>
  </si>
  <si>
    <t>Bono Administrador pagado no contabilizados</t>
  </si>
  <si>
    <t>Reclasificacion 2141001</t>
  </si>
  <si>
    <t>reclas</t>
  </si>
  <si>
    <t>Reclasificacion 2141002</t>
  </si>
  <si>
    <t>Reclasificacion 2141003</t>
  </si>
  <si>
    <t>Reclasificacion 2131002 - 2131003</t>
  </si>
  <si>
    <t>Reclasificacion 2131004</t>
  </si>
  <si>
    <t>Reclasificacion 2131005</t>
  </si>
  <si>
    <t>Ajuste</t>
  </si>
  <si>
    <t>Provision</t>
  </si>
  <si>
    <t>Recl.Ret. Islr efectuadas en Bancos contabilizadas como gastos</t>
  </si>
  <si>
    <t>Reverso Islr 1% por diferencias en planillas</t>
  </si>
  <si>
    <t>Cuentas por Cobrar Directivos</t>
  </si>
  <si>
    <t>Reclasificacion de cuentas</t>
  </si>
  <si>
    <t>Impuesto al beneficio corriente</t>
  </si>
  <si>
    <t>islr 2024</t>
  </si>
  <si>
    <t>ISLR Excedente Declaración Definitiva</t>
  </si>
  <si>
    <t>Balance de Situación Financiera</t>
  </si>
  <si>
    <t xml:space="preserve">Estado de Resultados </t>
  </si>
  <si>
    <t>Efectivo en Caja</t>
  </si>
  <si>
    <t>Banco Nacionales</t>
  </si>
  <si>
    <t>Otras Cuentas por Cobrar</t>
  </si>
  <si>
    <t>Iva Credito Fiscal</t>
  </si>
  <si>
    <t xml:space="preserve">ISLR Pagado por Anticipado </t>
  </si>
  <si>
    <t xml:space="preserve">ISLR Diferido </t>
  </si>
  <si>
    <t>(-) Depreciación Acumulada</t>
  </si>
  <si>
    <t>Otras Cuentas por pagar</t>
  </si>
  <si>
    <t>Iva Debito Fiscal</t>
  </si>
  <si>
    <t>Islr por pagar</t>
  </si>
  <si>
    <t>Otros impuestos por pagar</t>
  </si>
  <si>
    <t>Retenciones por pagar</t>
  </si>
  <si>
    <t>Aportes por pagar</t>
  </si>
  <si>
    <t>Nomina por pagar</t>
  </si>
  <si>
    <t>Prestaciones Sociales por pagar</t>
  </si>
  <si>
    <t xml:space="preserve">Capital Social </t>
  </si>
  <si>
    <t>Resultado Acumulado</t>
  </si>
  <si>
    <t>Reservas Legales Estatutarias</t>
  </si>
  <si>
    <t>Resultado del Ejercicio</t>
  </si>
  <si>
    <t>Total Patrimonio</t>
  </si>
  <si>
    <t>Total Pasivo y Patrimonio</t>
  </si>
  <si>
    <t>Pasivo</t>
  </si>
  <si>
    <t xml:space="preserve">Total Activo </t>
  </si>
  <si>
    <t xml:space="preserve">Pasivo y Patrimonio </t>
  </si>
  <si>
    <t>Total Pasivo</t>
  </si>
  <si>
    <t>Ingresos</t>
  </si>
  <si>
    <t>Impuesto al Beneficio</t>
  </si>
  <si>
    <t>Beneficio antes de Impuestos</t>
  </si>
  <si>
    <t>Beneficio Neto</t>
  </si>
  <si>
    <t>Costo integral de Financiamiento</t>
  </si>
  <si>
    <t>Deterioro de Valor de los Activos</t>
  </si>
  <si>
    <t>Gastos de Administración</t>
  </si>
  <si>
    <t>Gastos</t>
  </si>
  <si>
    <t xml:space="preserve">Beneficio Bruto </t>
  </si>
  <si>
    <t xml:space="preserve">Costo de personal </t>
  </si>
  <si>
    <t>Costos Indirectos del Servicios</t>
  </si>
  <si>
    <t>Ingresos por Servicios</t>
  </si>
  <si>
    <t>Ingresos No operacionales</t>
  </si>
  <si>
    <t>Ingresos Financieros</t>
  </si>
  <si>
    <t>2,02E+13</t>
  </si>
  <si>
    <t>2,02E+11</t>
  </si>
  <si>
    <t xml:space="preserve">Estado de Flujo de Efectivo </t>
  </si>
  <si>
    <t xml:space="preserve">Beneficio Neto </t>
  </si>
  <si>
    <t>Depreciaciones y Amortizaciones</t>
  </si>
  <si>
    <t>Variación Cuentas por Cobrar</t>
  </si>
  <si>
    <t>Variación Cuentas por Pagar</t>
  </si>
  <si>
    <t xml:space="preserve">Efectivo Provisto o Aplicado en Actividades de Operación </t>
  </si>
  <si>
    <t xml:space="preserve">Actividades de Operación </t>
  </si>
  <si>
    <t xml:space="preserve">Actividades de Inversión </t>
  </si>
  <si>
    <t>Adquisición de Propiedades, Planta y Equipos</t>
  </si>
  <si>
    <t>Propiedades, Planta y Equipos</t>
  </si>
  <si>
    <t xml:space="preserve">Aumento de Capital </t>
  </si>
  <si>
    <t>TIPO</t>
  </si>
  <si>
    <t>CLASE</t>
  </si>
  <si>
    <t>GRUPO</t>
  </si>
  <si>
    <t>AUXILIAR</t>
  </si>
  <si>
    <t>Caja Chica</t>
  </si>
  <si>
    <t>Impuestos Municipales Retenidos</t>
  </si>
  <si>
    <t>Otros Impuestos Municipales</t>
  </si>
  <si>
    <t>Timbre Fiscal</t>
  </si>
  <si>
    <t>Fondo Social</t>
  </si>
  <si>
    <t>Otros Impuestos</t>
  </si>
  <si>
    <t>Sobregiros Bancarios</t>
  </si>
  <si>
    <t>Otras Obligaciones Bancarias</t>
  </si>
  <si>
    <t>Impuestos Sobre Vehiculos</t>
  </si>
  <si>
    <t xml:space="preserve">Otros Impuestos </t>
  </si>
  <si>
    <t>Impuestos Aduanales</t>
  </si>
  <si>
    <t>Bono Alimenticio</t>
  </si>
  <si>
    <t>Comisiones</t>
  </si>
  <si>
    <t>Otras Obligaciones Laborales</t>
  </si>
  <si>
    <t xml:space="preserve">Capital Social Pagado </t>
  </si>
  <si>
    <t>Capital Social No Pagado</t>
  </si>
  <si>
    <t>Utilidades Retenidas</t>
  </si>
  <si>
    <t>Reserva Legal</t>
  </si>
  <si>
    <t>Reserva Estatutaria</t>
  </si>
  <si>
    <t xml:space="preserve">Salarios Obreros                               </t>
  </si>
  <si>
    <t xml:space="preserve">Horas Extras                                  </t>
  </si>
  <si>
    <t xml:space="preserve">Comisiones Vendedores                       </t>
  </si>
  <si>
    <t xml:space="preserve">Condominio </t>
  </si>
  <si>
    <t xml:space="preserve">Impermeanilizacion </t>
  </si>
  <si>
    <t>Pintura General</t>
  </si>
  <si>
    <t xml:space="preserve">Regalias                                          </t>
  </si>
  <si>
    <t>Condominio</t>
  </si>
  <si>
    <t xml:space="preserve">Servicios Tecnologicos                 </t>
  </si>
  <si>
    <t>Contribuciones</t>
  </si>
  <si>
    <t>Donaciones</t>
  </si>
  <si>
    <t>Codigo</t>
  </si>
  <si>
    <t xml:space="preserve">Descripción </t>
  </si>
  <si>
    <t>Nivel</t>
  </si>
  <si>
    <t xml:space="preserve">Clasificación </t>
  </si>
  <si>
    <t>Fecha</t>
  </si>
  <si>
    <t xml:space="preserve">Activo                                            </t>
  </si>
  <si>
    <t>Activos Corrientes</t>
  </si>
  <si>
    <t xml:space="preserve">Efectivo Y Equivalente De Efectivo                     </t>
  </si>
  <si>
    <t>Efectivo En Caja</t>
  </si>
  <si>
    <t>Caja En Moneda Extranjera</t>
  </si>
  <si>
    <t>Bancos Nacionales</t>
  </si>
  <si>
    <t>Banco Bancaamiga</t>
  </si>
  <si>
    <t>Banco De Venezuela</t>
  </si>
  <si>
    <t xml:space="preserve">Cuentas Por Cobrar  </t>
  </si>
  <si>
    <t xml:space="preserve">Cuentas Por Cobrar Clientes                 </t>
  </si>
  <si>
    <t xml:space="preserve">Cuentas Por Cobrar En El Exterior                 </t>
  </si>
  <si>
    <t>Cuentas Por Cobrar Otras</t>
  </si>
  <si>
    <t>(-)Apartado Para Cuentas Incobrables</t>
  </si>
  <si>
    <t xml:space="preserve">Otras Cuentas Por Cobrar  </t>
  </si>
  <si>
    <t>Cuentas Por Cobrar Directivos</t>
  </si>
  <si>
    <t>Cuentas Por Cobrar Accionistas</t>
  </si>
  <si>
    <t>Cuentas Por Cobrar Empleados</t>
  </si>
  <si>
    <t>Cuentas Por Cobrar Obreros</t>
  </si>
  <si>
    <t>Cuentas Por Cobrar Empresas Afiliadas</t>
  </si>
  <si>
    <t>Intereses Por Cobrar</t>
  </si>
  <si>
    <t>Arrendamientos Por Cobrar</t>
  </si>
  <si>
    <t>Dividendos Por Cobrar</t>
  </si>
  <si>
    <t>Regalias Por Cobrar</t>
  </si>
  <si>
    <t xml:space="preserve">Otras Cuentas Por Cobrar </t>
  </si>
  <si>
    <t xml:space="preserve">Tributos Por Compensar                    </t>
  </si>
  <si>
    <t>Crédito Fiscal Iva Compras</t>
  </si>
  <si>
    <t>Retención 75% Iva Clientes</t>
  </si>
  <si>
    <t>Excedente Crédito Fiscal Iva</t>
  </si>
  <si>
    <t xml:space="preserve">Iva Pagado Por Anticipado </t>
  </si>
  <si>
    <t>Islr Pagado Por Anticipado</t>
  </si>
  <si>
    <t>Islr Retenido Por Clientes</t>
  </si>
  <si>
    <t>Islr Declaración Estimada</t>
  </si>
  <si>
    <t>Islr Excedente Declaración Definitiva</t>
  </si>
  <si>
    <t>Islr Otros</t>
  </si>
  <si>
    <t>Otros Impuestos Retenidos</t>
  </si>
  <si>
    <t>Otros Activos No Financieros</t>
  </si>
  <si>
    <t xml:space="preserve">Otros Pagos Por Anticipados </t>
  </si>
  <si>
    <t>Anticipos A Proveedores</t>
  </si>
  <si>
    <t>Reclamos A Proveedores</t>
  </si>
  <si>
    <t>Intereses Pagados Por Anticipados</t>
  </si>
  <si>
    <t>Seguros Pagados Por Anticipado</t>
  </si>
  <si>
    <t>Arrendamientos Pagados Por Anticipado</t>
  </si>
  <si>
    <t>Activos No Corriente</t>
  </si>
  <si>
    <t xml:space="preserve">Activos Por Impuesto Diferido                          </t>
  </si>
  <si>
    <t>Activos Por Islr Diferido</t>
  </si>
  <si>
    <t>Islr Diferido</t>
  </si>
  <si>
    <t>Propiedad, Planta Y Equipos</t>
  </si>
  <si>
    <t>Activo Fijo Depreciable</t>
  </si>
  <si>
    <t>Mobiliario Y Equipos</t>
  </si>
  <si>
    <t>Equipos De Oficina</t>
  </si>
  <si>
    <t>Api Activos Fijos</t>
  </si>
  <si>
    <t xml:space="preserve">(-) Depreciación Acumulada Activo Fijo </t>
  </si>
  <si>
    <t>Depreciación Acumulada Mobiliario Y Equipos</t>
  </si>
  <si>
    <t>Depreciación Equipos De Oficina</t>
  </si>
  <si>
    <t>Api Depreciación Acum. Activos Fijos</t>
  </si>
  <si>
    <t xml:space="preserve">Pasivo                                            </t>
  </si>
  <si>
    <t>Pasivos Corrientes</t>
  </si>
  <si>
    <t>Obligaciones Con Terceros</t>
  </si>
  <si>
    <t xml:space="preserve">Obligaciones Con Entidades Financieras                          </t>
  </si>
  <si>
    <t>Obliganciones Bancarias Bancaamiga</t>
  </si>
  <si>
    <t xml:space="preserve">Cuentas Por Pagar  </t>
  </si>
  <si>
    <t xml:space="preserve">Cuentas Por Pagar Proveedores                 </t>
  </si>
  <si>
    <t>Cuentas Por Pagar Otras</t>
  </si>
  <si>
    <t xml:space="preserve">Otras Cuentas Por Pagar  </t>
  </si>
  <si>
    <t>Cuentas Por Pagar Directivos</t>
  </si>
  <si>
    <t>Cuentas Por Pagar Accionistas</t>
  </si>
  <si>
    <t>Cuentas Por Pagar Empleados</t>
  </si>
  <si>
    <t>Arrendamientos Por Pagar</t>
  </si>
  <si>
    <t xml:space="preserve">Otras Cuentas Por Pagar </t>
  </si>
  <si>
    <t xml:space="preserve">Obligaciones Tributarias              </t>
  </si>
  <si>
    <t xml:space="preserve">Iva Debito Fiscal </t>
  </si>
  <si>
    <t>Débito Fiscal Iva</t>
  </si>
  <si>
    <t>Retención 75% Iva Por Clientes</t>
  </si>
  <si>
    <t>Iva Por Pagar</t>
  </si>
  <si>
    <t>Iva Retención Por Terceros</t>
  </si>
  <si>
    <t>Islr Por Pagar</t>
  </si>
  <si>
    <t>Islr Tasa Rar 3%</t>
  </si>
  <si>
    <t>Islr Retenido A Proveedores</t>
  </si>
  <si>
    <t>Islr Retenido A Otros</t>
  </si>
  <si>
    <t>Impuestos Municipales Por Pagar</t>
  </si>
  <si>
    <t>Patente De Industria Y Comercio</t>
  </si>
  <si>
    <t>Impuestos Sobre Propiedad De Inmuebles</t>
  </si>
  <si>
    <t>Impuestos Sobre Publicidad Y Propaganda</t>
  </si>
  <si>
    <t>Otros Impuestos Por Pagar</t>
  </si>
  <si>
    <t>Impuesto Ona</t>
  </si>
  <si>
    <t>Impuesto Locti</t>
  </si>
  <si>
    <t>Islr 1% Por Pagar</t>
  </si>
  <si>
    <t xml:space="preserve">Igtf Moneda Nacional       </t>
  </si>
  <si>
    <t>Igtf Moneda Extranjera</t>
  </si>
  <si>
    <t>Igtf Percibido De Clientes</t>
  </si>
  <si>
    <t>Igtf Criptoactivos</t>
  </si>
  <si>
    <t>Iva Retenido A Proveedores</t>
  </si>
  <si>
    <t>Impuesto De Protección A Las Pensiones Por Pagar</t>
  </si>
  <si>
    <t xml:space="preserve">Retenciones Laborales              </t>
  </si>
  <si>
    <t>Retenciones Por Pagar</t>
  </si>
  <si>
    <t>Retenciones Islr Empleadosa</t>
  </si>
  <si>
    <t>Retenciones Ivss Empleados</t>
  </si>
  <si>
    <t>Retenciones Spf Empleados</t>
  </si>
  <si>
    <t>Retenciones Faov Empleados</t>
  </si>
  <si>
    <t>Retenciones Inces Empleados</t>
  </si>
  <si>
    <t>Retenciones Regimen De Prestaciones Sociales</t>
  </si>
  <si>
    <t xml:space="preserve">Obligaciones Legales              </t>
  </si>
  <si>
    <t>Aportes Por Pagar</t>
  </si>
  <si>
    <t xml:space="preserve">Aportes Ivss Y Spf </t>
  </si>
  <si>
    <t xml:space="preserve">Aportes Faov </t>
  </si>
  <si>
    <t xml:space="preserve">Aportes Inces </t>
  </si>
  <si>
    <t>Aportes Regimen De Prestaciones Sociales</t>
  </si>
  <si>
    <t>Otros Pasivos Corrientes</t>
  </si>
  <si>
    <t>Nomina Por Pagar</t>
  </si>
  <si>
    <t>Vacaciones Por Pagar</t>
  </si>
  <si>
    <t>Utilidades Por Pagar</t>
  </si>
  <si>
    <t>Intereses Sobre Prestaciones Por Pagar</t>
  </si>
  <si>
    <t>Pasivos No Corrientes</t>
  </si>
  <si>
    <t>Otras Cuentas Por Pagar</t>
  </si>
  <si>
    <t>Pasivo Por Impuesto Diferido</t>
  </si>
  <si>
    <t xml:space="preserve">Pasivo Por Islr Diferido </t>
  </si>
  <si>
    <t>Obligaciones Laborales</t>
  </si>
  <si>
    <t>Prestaciones Sociales Por Pagar</t>
  </si>
  <si>
    <t>Intereses Prestaciones Sociales Por Pagar</t>
  </si>
  <si>
    <t>Provisiones</t>
  </si>
  <si>
    <t xml:space="preserve">Provisiones </t>
  </si>
  <si>
    <t>Provisiones Remuneraciones Al Personal</t>
  </si>
  <si>
    <t>Provisión De Impuestos</t>
  </si>
  <si>
    <t>Provisiones De Gastos De Desmantelamiento</t>
  </si>
  <si>
    <t>Patrimonio</t>
  </si>
  <si>
    <t>Capital</t>
  </si>
  <si>
    <t>Capital Social</t>
  </si>
  <si>
    <t>Api Actualización Capital Social</t>
  </si>
  <si>
    <t>Resultados Acumulados</t>
  </si>
  <si>
    <t>Utilidades Del Ejercicio</t>
  </si>
  <si>
    <t>Api Actualización De Resultados</t>
  </si>
  <si>
    <t>Ganancias O (Pérdida) Por Tenecias No Relizadas</t>
  </si>
  <si>
    <t>Superavit Por Revaluación De Activos</t>
  </si>
  <si>
    <t>Ajustes Fiscales</t>
  </si>
  <si>
    <t>Reajuste Por Inflación Fiscal</t>
  </si>
  <si>
    <t>Actualización De Patrimonio</t>
  </si>
  <si>
    <t>Exclusiones Fiscales Historicas Al Patrimonio</t>
  </si>
  <si>
    <t>Reserva Para Contingencias</t>
  </si>
  <si>
    <t>Api Actualización Reservas De Capital</t>
  </si>
  <si>
    <t>Ingresos Operacionales</t>
  </si>
  <si>
    <t>Ingresos Por Servicios</t>
  </si>
  <si>
    <t>Ingresos Por Servicios Sector Privado Ptos. Variables</t>
  </si>
  <si>
    <t>Ingresos Por Servicios Sector Privado Ptos. Fijos</t>
  </si>
  <si>
    <t>Api Actualización De Ingresos Por Servicios</t>
  </si>
  <si>
    <t>Ingresos No Operacionales</t>
  </si>
  <si>
    <t>Ganancia En Venta De Activo No Corriente</t>
  </si>
  <si>
    <t>Ganancia En Permuta De Activo</t>
  </si>
  <si>
    <t>Ingresos Por Intereses Comerciales</t>
  </si>
  <si>
    <t>Ingresos Por Intereses Bancarios</t>
  </si>
  <si>
    <t>Api Actualización De Ingresos Financieros</t>
  </si>
  <si>
    <t>Costos</t>
  </si>
  <si>
    <t>Costos Operacionales</t>
  </si>
  <si>
    <t>Costo De Servicios</t>
  </si>
  <si>
    <t xml:space="preserve">Costo De Personal </t>
  </si>
  <si>
    <t xml:space="preserve">Domingos Y Feriados                          </t>
  </si>
  <si>
    <t xml:space="preserve">Bono De Alimentación                     </t>
  </si>
  <si>
    <t xml:space="preserve">Preaviso No Trabajado  </t>
  </si>
  <si>
    <t>Aporte Ivss</t>
  </si>
  <si>
    <t xml:space="preserve">Aporte Faov                                     </t>
  </si>
  <si>
    <t>Impuesto De Protección De Las Pensiones</t>
  </si>
  <si>
    <t>Trabajos A Destajo</t>
  </si>
  <si>
    <t>Api Actualizacion Remuneraciones</t>
  </si>
  <si>
    <t xml:space="preserve">Costo Indirectos Del Servicio </t>
  </si>
  <si>
    <t>Lavado De Piso Con Hidrojet</t>
  </si>
  <si>
    <t>Limpieza De Tanquilla Y Drenajes</t>
  </si>
  <si>
    <t>Vigilancia</t>
  </si>
  <si>
    <t>Poliza Garajista Responsabilidad Limitada</t>
  </si>
  <si>
    <t>Iluminacion; Bombillos, Lamparas, Balastro, Otros</t>
  </si>
  <si>
    <t>Mantenimiento Equipos Control De Acceso Vehicular</t>
  </si>
  <si>
    <t>Reposicion De Piezas Equipos Control De Acceso Vehicular</t>
  </si>
  <si>
    <t>Reparaciones Menores En La Infraestructura</t>
  </si>
  <si>
    <t xml:space="preserve">Indemnizacion A Terceros Por Siniestros </t>
  </si>
  <si>
    <t>Fumigacion</t>
  </si>
  <si>
    <t>Recarga Y Reposicion De Extintores</t>
  </si>
  <si>
    <t>Limpieza De Manguezas Y Reposicion De Piezas Por Desgaste Y Hurto</t>
  </si>
  <si>
    <t>Bacheo De Pavimento Asfaltico</t>
  </si>
  <si>
    <t>Mantenimiento Y Reposicion De Cctv</t>
  </si>
  <si>
    <t>Proyecto Y Construccion De Cctv</t>
  </si>
  <si>
    <t>Proyecto Y Construcion De Aspersion</t>
  </si>
  <si>
    <t>Mantenimiento Ventilacion Forzada</t>
  </si>
  <si>
    <t xml:space="preserve">Tickets Codigo Barra </t>
  </si>
  <si>
    <t>Matenimiento Impresora Fiscal</t>
  </si>
  <si>
    <t>Tarjeta De Acceso</t>
  </si>
  <si>
    <t>Factura Fiscal</t>
  </si>
  <si>
    <t>Material Mantenimiento Baños</t>
  </si>
  <si>
    <t>Api Actualizacion Costos Por Servicios Recibidos</t>
  </si>
  <si>
    <t>Gastos Operacionales</t>
  </si>
  <si>
    <t xml:space="preserve">Gastos De Administración </t>
  </si>
  <si>
    <t xml:space="preserve">Servicio De Agua                                  </t>
  </si>
  <si>
    <t xml:space="preserve">Consumo De Electricidad                               </t>
  </si>
  <si>
    <t xml:space="preserve">Polizas De Seguro                              </t>
  </si>
  <si>
    <t xml:space="preserve">Comidas, Viajes Y Traslados                       </t>
  </si>
  <si>
    <t xml:space="preserve">Articulos De Oficina                             </t>
  </si>
  <si>
    <t>Alquiler De Local</t>
  </si>
  <si>
    <t>Mantenimiento Y Reparaciones</t>
  </si>
  <si>
    <t xml:space="preserve">Capacitación Del Personal                     </t>
  </si>
  <si>
    <t xml:space="preserve">Gastos De Depreciación Mobiliario Y Equipos       </t>
  </si>
  <si>
    <t xml:space="preserve">Gastos De Depreciación Equipos De Oficina       </t>
  </si>
  <si>
    <t xml:space="preserve">Gastos De Depreciación Vehículo Transporte       </t>
  </si>
  <si>
    <t>Gastos De Depreciación Vehículos Oficina</t>
  </si>
  <si>
    <t xml:space="preserve">Gastos De Bancarios Y Pasarelas De Pago                    </t>
  </si>
  <si>
    <t xml:space="preserve">Gastos De Representación </t>
  </si>
  <si>
    <t>Api Actualización Gastos Administrativos</t>
  </si>
  <si>
    <t>Otros Gastos</t>
  </si>
  <si>
    <t xml:space="preserve">Deterioro De Valor De Activos                     </t>
  </si>
  <si>
    <t xml:space="preserve">Deterioro De Valor De Las Deudas Comerciales      </t>
  </si>
  <si>
    <t xml:space="preserve">Deterioro De Valor De Las Deudas Las Empresas Afiliadas      </t>
  </si>
  <si>
    <t xml:space="preserve">Deterioro De Valor Del Inventario    </t>
  </si>
  <si>
    <t xml:space="preserve">Deterioro Del Valor De Inversiones Financieras </t>
  </si>
  <si>
    <t>Deterioro Del Valor Propìedades, Planta Y Equipos</t>
  </si>
  <si>
    <t xml:space="preserve">Deterioro Del Valor De Propiedades De Inversión </t>
  </si>
  <si>
    <t xml:space="preserve">Costo Integral De Financiamiento                  </t>
  </si>
  <si>
    <t xml:space="preserve">Resultado Monetario Del Ejercicio (Reme)          </t>
  </si>
  <si>
    <t xml:space="preserve">Comisiones Por Créditos Bancarios                              </t>
  </si>
  <si>
    <t>Impuesto</t>
  </si>
  <si>
    <t>Impuesto Al Beneficio</t>
  </si>
  <si>
    <t>Impuesto Al Beneficio Corriente</t>
  </si>
  <si>
    <t>Impuesto Al Beneficio Diferido</t>
  </si>
  <si>
    <t>Tipo</t>
  </si>
  <si>
    <t>Clase</t>
  </si>
  <si>
    <t>Grupo</t>
  </si>
  <si>
    <t>Cuenta</t>
  </si>
  <si>
    <t>Auxiliar</t>
  </si>
  <si>
    <t>Total digitos</t>
  </si>
  <si>
    <t>Remitente:</t>
  </si>
  <si>
    <t>Destinatarios:</t>
  </si>
  <si>
    <t>mi-correo@gmail.com</t>
  </si>
  <si>
    <t>Clave app:</t>
  </si>
  <si>
    <t>xxxxxxxxxxxxxxxxx</t>
  </si>
  <si>
    <t>destinatario1@gmail.com</t>
  </si>
  <si>
    <t>Clasificación de Cuentas</t>
  </si>
  <si>
    <t>Digitos</t>
  </si>
  <si>
    <t xml:space="preserve">Efectivo Provisto o Aplicado en Actividades de Inversión </t>
  </si>
  <si>
    <t>Actividades de Financiamiento</t>
  </si>
  <si>
    <t>Efectivo Provisto o Aplicado del periodo</t>
  </si>
  <si>
    <t>Saldo al inicio del periodo</t>
  </si>
  <si>
    <t>Dividendos pagados</t>
  </si>
  <si>
    <t>Efectivo Provisto o Aplicado en Actividades de Financiamiento</t>
  </si>
  <si>
    <t>Saldo al final del periodo</t>
  </si>
  <si>
    <t>Ratios Financieros Claves</t>
  </si>
  <si>
    <t>Liquidez</t>
  </si>
  <si>
    <t>Cobertura de intereses</t>
  </si>
  <si>
    <t>Rentabilidad sobre Activos (ROA)</t>
  </si>
  <si>
    <t xml:space="preserve">Margen Bruto </t>
  </si>
  <si>
    <t xml:space="preserve">Garantia </t>
  </si>
  <si>
    <t>Liquidez Inmediata</t>
  </si>
  <si>
    <t xml:space="preserve">Endeudamiento </t>
  </si>
  <si>
    <t>Calidad de la deuda</t>
  </si>
  <si>
    <t>Margen Neto</t>
  </si>
  <si>
    <t>Indice</t>
  </si>
  <si>
    <t>Observaciones:</t>
  </si>
  <si>
    <t>Activo</t>
  </si>
  <si>
    <t>Rentabilidad sobre Patrimonio (ROE)</t>
  </si>
  <si>
    <t xml:space="preserve">API FINANCIERO </t>
  </si>
  <si>
    <t>API</t>
  </si>
  <si>
    <t>API Actualización de Ingresos por Servicios</t>
  </si>
  <si>
    <t>API Actualización de Ingresos Financieros</t>
  </si>
  <si>
    <t>API Actualizacion Remuneraciones</t>
  </si>
  <si>
    <t>API Actualizacion Costos por Servicios recibidos</t>
  </si>
  <si>
    <t>API Actualización Gastos Administrativos</t>
  </si>
  <si>
    <t xml:space="preserve">Resultado Monetario del Ejercicio (REME)          </t>
  </si>
  <si>
    <t>Minimo</t>
  </si>
  <si>
    <t>Máximo</t>
  </si>
  <si>
    <t>Descapitalización</t>
  </si>
  <si>
    <t>Archivo Adjunto:</t>
  </si>
  <si>
    <t>Sr. Fulano de Tal 1</t>
  </si>
  <si>
    <t>Sr. Fulano de Tal 2</t>
  </si>
  <si>
    <t>Sr. Fulano de Tal 3</t>
  </si>
  <si>
    <t>Sr. Fulano de Tal 4</t>
  </si>
  <si>
    <t>Sr. Fulano de Tal 5</t>
  </si>
  <si>
    <t>Sr. Fulano de Tal 6</t>
  </si>
  <si>
    <t>Sr. Fulano de Tal 7</t>
  </si>
  <si>
    <t>Sr. Fulano de Tal 8</t>
  </si>
  <si>
    <t>Sr. Fulano de Tal 9</t>
  </si>
  <si>
    <t>Sr. Fulano de Tal 10</t>
  </si>
  <si>
    <t>Fecha de Inicio:</t>
  </si>
  <si>
    <t>Fecha de Cierre:</t>
  </si>
  <si>
    <t>Periodo Contable</t>
  </si>
  <si>
    <t>RETIRO XXXXX</t>
  </si>
  <si>
    <t>ELECTRICIDAD  XXXXX</t>
  </si>
  <si>
    <t xml:space="preserve">TRANSF DE XXXXX </t>
  </si>
  <si>
    <t>TRANSF XXXXX</t>
  </si>
  <si>
    <t>TRANS XXXXX</t>
  </si>
  <si>
    <t>TRANSF A BCO VZLA XXXXX</t>
  </si>
  <si>
    <t>REIRO XXXXX</t>
  </si>
  <si>
    <t>TRANS BCO VZLA XXXXX</t>
  </si>
  <si>
    <t xml:space="preserve">TRANSF XXXXX </t>
  </si>
  <si>
    <t>XXXXX GONZALEZ -JARDINERIA 20USD</t>
  </si>
  <si>
    <t>TRANF XXXXX</t>
  </si>
  <si>
    <t>TRANSFXXXXX</t>
  </si>
  <si>
    <t>TRANSF BCO VZLA XXXXX</t>
  </si>
  <si>
    <t>RETIRO XXXXX 40$</t>
  </si>
  <si>
    <t>TRANSF DESDE BANESCO XXXXX</t>
  </si>
  <si>
    <t>XXXXX GONZALEZ TRABAJOS DE JARDINERIA</t>
  </si>
  <si>
    <t>XXXXX ARIAS LIMPIEZA DE ESTACIONAMIENTO</t>
  </si>
  <si>
    <t>PAGO PLANILLA 99025 XXXXX</t>
  </si>
  <si>
    <t>RETIRO XXXXX(TRANSFE ALEJANDRA)</t>
  </si>
  <si>
    <t>TRANASF DE XXXXX</t>
  </si>
  <si>
    <t>TRANS PARA PAG0 XXXXX SERRRANO</t>
  </si>
  <si>
    <t>Pago Realizados XXXXX, XXXXX, XXXXX, XXXXX</t>
  </si>
  <si>
    <t xml:space="preserve">RETIRO XXXXX </t>
  </si>
  <si>
    <t>RETIRO XXXXX (ALE)</t>
  </si>
  <si>
    <t>PAGO XXXXX SERRANO</t>
  </si>
  <si>
    <t>1ER PAGO XXXXX SERRANO ELABORACON DE CUPONES Y FACTURAS</t>
  </si>
  <si>
    <t>2DO PAGO XXXXX SERRANO ELABORACON DE CUPONES Y FACTURAS</t>
  </si>
  <si>
    <t>ELABORACION DE AVISOS PARA ESTACIONAMIENTOS  XXXXX SERRANO C.I. 9,669,172,</t>
  </si>
  <si>
    <t>TRANSF  XXXXX</t>
  </si>
  <si>
    <t>PAGO A  XXXXX SERRRANO ELABORACION DE FACTURAS Y CUPONES</t>
  </si>
  <si>
    <t>NOMINA AL 15/06 XXXXX</t>
  </si>
  <si>
    <t>TRANSF  DE XXXXX</t>
  </si>
  <si>
    <t>gastos reembolsables - pago XXXXX Plasencia</t>
  </si>
  <si>
    <t>NOMINA XXXXX</t>
  </si>
  <si>
    <t>NOMINA XXXXX VALLADARES</t>
  </si>
  <si>
    <t>NOMINA TRANSF XXXXX</t>
  </si>
  <si>
    <t>NOMINA TRNSF XXXXX</t>
  </si>
  <si>
    <t>TRANSF XXXXX plasencia</t>
  </si>
  <si>
    <t>NOMINA XXXXX C.I. 5977395</t>
  </si>
  <si>
    <t>NOMINA  XXXXX</t>
  </si>
  <si>
    <t>TRANS A XXXXX</t>
  </si>
  <si>
    <t>1000 BCO VZLA 500 XXXXX</t>
  </si>
  <si>
    <t>90O XXXXX  2500 XXXXX</t>
  </si>
  <si>
    <t>TRANSF XXXXX 2460 Y XXXXX 4260</t>
  </si>
  <si>
    <t>XXXXX PLASENCIA</t>
  </si>
  <si>
    <t>XXXXX RIVAS</t>
  </si>
  <si>
    <t>XXXXX GONZALEZ</t>
  </si>
  <si>
    <t>XXXXX ARIAS</t>
  </si>
  <si>
    <t>TRANSF XXXXX MEDINA  8981819</t>
  </si>
  <si>
    <t>TRANSF XXXXX ARIAS</t>
  </si>
  <si>
    <t>TRANSF XXXXX GONZALEZ</t>
  </si>
  <si>
    <t>XXXXX XIOMARA COLMENARES Prestaciones Sociales Art. 144 Lottt</t>
  </si>
  <si>
    <t>XXXXX XXXXX GUAIMA RIVAS Prestaciones Sociales Art. 144 Lottt</t>
  </si>
  <si>
    <t>XXXXX XXXXX ARIAS JIMENEZ Prestaciones Sociales Art. 144 Lottt</t>
  </si>
  <si>
    <t>XXXXX ADOLFO GONZALEZ ACOSTA Prestaciones Sociales Art. 144 Lottt</t>
  </si>
  <si>
    <t>XXXXX DE XXXXX MEDINA Prestaciones Sociales Art. 144 Lottt</t>
  </si>
  <si>
    <t>XXXXX ENRIQUE ARIAS RIVAS Prestaciones Sociales Art. 144 Lottt</t>
  </si>
  <si>
    <t>Informe-Financiero-31122024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</si>
</sst>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m/d/yyyy"/>
    <numFmt numFmtId="166" formatCode="dd/mm/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0" fontId="3" fillId="0" borderId="0" xfId="3"/>
    <xf numFmtId="0" fontId="2" fillId="0" borderId="0" xfId="0" applyFont="1" applyAlignment="1">
      <alignment horizontal="right"/>
    </xf>
    <xf numFmtId="43" fontId="4" fillId="3" borderId="6" xfId="1" applyFont="1" applyFill="1" applyBorder="1" applyAlignment="1">
      <alignment vertical="center"/>
    </xf>
    <xf numFmtId="164" fontId="4" fillId="3" borderId="6" xfId="2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43" fontId="4" fillId="3" borderId="0" xfId="1" applyFont="1" applyFill="1" applyBorder="1" applyAlignment="1">
      <alignment vertical="center"/>
    </xf>
    <xf numFmtId="164" fontId="4" fillId="3" borderId="0" xfId="2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horizontal="left" vertical="center"/>
    </xf>
    <xf numFmtId="43" fontId="6" fillId="3" borderId="4" xfId="1" applyFont="1" applyFill="1" applyBorder="1" applyAlignment="1">
      <alignment horizontal="center" vertical="center"/>
    </xf>
    <xf numFmtId="164" fontId="6" fillId="3" borderId="4" xfId="2" applyFont="1" applyFill="1" applyBorder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1" xfId="0" applyFont="1" applyFill="1" applyBorder="1" applyAlignment="1">
      <alignment vertical="center"/>
    </xf>
    <xf numFmtId="43" fontId="4" fillId="3" borderId="1" xfId="1" applyFont="1" applyFill="1" applyBorder="1" applyAlignment="1">
      <alignment vertical="center"/>
    </xf>
    <xf numFmtId="164" fontId="4" fillId="3" borderId="1" xfId="2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43" fontId="6" fillId="3" borderId="0" xfId="1" applyFont="1" applyFill="1" applyBorder="1" applyAlignment="1">
      <alignment vertical="center"/>
    </xf>
    <xf numFmtId="0" fontId="6" fillId="0" borderId="0" xfId="0" applyFont="1" applyAlignment="1">
      <alignment vertical="center"/>
    </xf>
    <xf numFmtId="164" fontId="4" fillId="0" borderId="0" xfId="2" applyFont="1" applyAlignment="1">
      <alignment vertical="center"/>
    </xf>
    <xf numFmtId="164" fontId="6" fillId="0" borderId="0" xfId="2" applyFont="1" applyAlignment="1">
      <alignment vertical="center"/>
    </xf>
    <xf numFmtId="0" fontId="6" fillId="2" borderId="3" xfId="0" applyFont="1" applyFill="1" applyBorder="1" applyAlignment="1">
      <alignment vertical="center"/>
    </xf>
    <xf numFmtId="43" fontId="6" fillId="2" borderId="3" xfId="1" applyFont="1" applyFill="1" applyBorder="1" applyAlignment="1">
      <alignment vertical="center"/>
    </xf>
    <xf numFmtId="43" fontId="4" fillId="2" borderId="3" xfId="1" applyFont="1" applyFill="1" applyBorder="1" applyAlignment="1">
      <alignment vertical="center"/>
    </xf>
    <xf numFmtId="164" fontId="4" fillId="2" borderId="3" xfId="2" applyFont="1" applyFill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6" fillId="0" borderId="0" xfId="0" applyFont="1"/>
    <xf numFmtId="43" fontId="4" fillId="0" borderId="0" xfId="1" applyFont="1"/>
    <xf numFmtId="164" fontId="4" fillId="0" borderId="0" xfId="2" applyFont="1"/>
    <xf numFmtId="43" fontId="6" fillId="0" borderId="0" xfId="1" applyFont="1" applyBorder="1"/>
    <xf numFmtId="164" fontId="4" fillId="0" borderId="0" xfId="0" applyNumberFormat="1" applyFont="1"/>
    <xf numFmtId="0" fontId="4" fillId="0" borderId="0" xfId="0" applyFont="1"/>
    <xf numFmtId="0" fontId="4" fillId="3" borderId="5" xfId="0" applyFont="1" applyFill="1" applyBorder="1"/>
    <xf numFmtId="43" fontId="4" fillId="3" borderId="6" xfId="1" applyFont="1" applyFill="1" applyBorder="1"/>
    <xf numFmtId="164" fontId="4" fillId="3" borderId="6" xfId="2" applyFont="1" applyFill="1" applyBorder="1"/>
    <xf numFmtId="43" fontId="4" fillId="3" borderId="7" xfId="1" applyFont="1" applyFill="1" applyBorder="1"/>
    <xf numFmtId="0" fontId="4" fillId="3" borderId="8" xfId="0" applyFont="1" applyFill="1" applyBorder="1"/>
    <xf numFmtId="43" fontId="4" fillId="3" borderId="0" xfId="1" applyFont="1" applyFill="1" applyBorder="1"/>
    <xf numFmtId="164" fontId="4" fillId="3" borderId="0" xfId="2" applyFont="1" applyFill="1" applyBorder="1"/>
    <xf numFmtId="43" fontId="6" fillId="3" borderId="9" xfId="1" applyFont="1" applyFill="1" applyBorder="1"/>
    <xf numFmtId="166" fontId="6" fillId="3" borderId="4" xfId="0" applyNumberFormat="1" applyFont="1" applyFill="1" applyBorder="1" applyAlignment="1">
      <alignment horizontal="left"/>
    </xf>
    <xf numFmtId="43" fontId="6" fillId="3" borderId="4" xfId="1" applyFont="1" applyFill="1" applyBorder="1" applyAlignment="1">
      <alignment horizontal="center"/>
    </xf>
    <xf numFmtId="164" fontId="6" fillId="3" borderId="4" xfId="2" applyFont="1" applyFill="1" applyBorder="1" applyAlignment="1">
      <alignment horizontal="center"/>
    </xf>
    <xf numFmtId="43" fontId="6" fillId="3" borderId="11" xfId="1" applyFont="1" applyFill="1" applyBorder="1" applyAlignment="1">
      <alignment horizontal="center"/>
    </xf>
    <xf numFmtId="0" fontId="4" fillId="3" borderId="0" xfId="0" applyFont="1" applyFill="1"/>
    <xf numFmtId="0" fontId="6" fillId="2" borderId="3" xfId="0" applyFont="1" applyFill="1" applyBorder="1"/>
    <xf numFmtId="43" fontId="4" fillId="2" borderId="3" xfId="1" applyFont="1" applyFill="1" applyBorder="1"/>
    <xf numFmtId="164" fontId="4" fillId="2" borderId="3" xfId="2" applyFont="1" applyFill="1" applyBorder="1"/>
    <xf numFmtId="0" fontId="4" fillId="2" borderId="0" xfId="0" applyFont="1" applyFill="1"/>
    <xf numFmtId="0" fontId="6" fillId="2" borderId="0" xfId="0" applyFont="1" applyFill="1"/>
    <xf numFmtId="43" fontId="6" fillId="2" borderId="0" xfId="1" applyFont="1" applyFill="1"/>
    <xf numFmtId="0" fontId="4" fillId="3" borderId="6" xfId="0" applyFont="1" applyFill="1" applyBorder="1"/>
    <xf numFmtId="43" fontId="6" fillId="3" borderId="0" xfId="1" applyFont="1" applyFill="1" applyBorder="1"/>
    <xf numFmtId="0" fontId="4" fillId="2" borderId="3" xfId="0" applyFont="1" applyFill="1" applyBorder="1"/>
    <xf numFmtId="43" fontId="6" fillId="2" borderId="3" xfId="1" applyFont="1" applyFill="1" applyBorder="1"/>
    <xf numFmtId="0" fontId="6" fillId="4" borderId="2" xfId="0" applyFont="1" applyFill="1" applyBorder="1" applyAlignment="1">
      <alignment vertical="center"/>
    </xf>
    <xf numFmtId="43" fontId="6" fillId="4" borderId="2" xfId="1" applyFont="1" applyFill="1" applyBorder="1" applyAlignment="1">
      <alignment vertical="center"/>
    </xf>
    <xf numFmtId="164" fontId="6" fillId="4" borderId="2" xfId="2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6" fillId="3" borderId="0" xfId="0" applyFont="1" applyFill="1" applyAlignment="1">
      <alignment horizontal="left" vertical="center"/>
    </xf>
    <xf numFmtId="166" fontId="7" fillId="3" borderId="0" xfId="0" applyNumberFormat="1" applyFont="1" applyFill="1" applyAlignment="1">
      <alignment horizontal="left" vertical="center"/>
    </xf>
    <xf numFmtId="43" fontId="6" fillId="3" borderId="0" xfId="1" applyFont="1" applyFill="1" applyBorder="1" applyAlignment="1">
      <alignment horizontal="right" vertical="center"/>
    </xf>
    <xf numFmtId="0" fontId="4" fillId="4" borderId="2" xfId="0" applyFont="1" applyFill="1" applyBorder="1"/>
    <xf numFmtId="0" fontId="6" fillId="4" borderId="2" xfId="0" applyFont="1" applyFill="1" applyBorder="1"/>
    <xf numFmtId="43" fontId="4" fillId="4" borderId="2" xfId="1" applyFont="1" applyFill="1" applyBorder="1"/>
    <xf numFmtId="164" fontId="4" fillId="4" borderId="2" xfId="2" applyFont="1" applyFill="1" applyBorder="1"/>
    <xf numFmtId="43" fontId="6" fillId="4" borderId="2" xfId="1" applyFont="1" applyFill="1" applyBorder="1"/>
    <xf numFmtId="0" fontId="7" fillId="3" borderId="0" xfId="0" applyFont="1" applyFill="1"/>
    <xf numFmtId="43" fontId="4" fillId="0" borderId="0" xfId="1" applyFont="1" applyFill="1" applyBorder="1"/>
    <xf numFmtId="164" fontId="4" fillId="0" borderId="0" xfId="2" applyFont="1" applyFill="1" applyBorder="1"/>
    <xf numFmtId="43" fontId="6" fillId="0" borderId="0" xfId="1" applyFont="1" applyFill="1" applyBorder="1"/>
    <xf numFmtId="14" fontId="6" fillId="3" borderId="4" xfId="1" applyNumberFormat="1" applyFont="1" applyFill="1" applyBorder="1" applyAlignment="1">
      <alignment horizontal="center" vertical="center"/>
    </xf>
    <xf numFmtId="0" fontId="8" fillId="3" borderId="6" xfId="0" applyFont="1" applyFill="1" applyBorder="1" applyAlignment="1">
      <alignment vertical="center"/>
    </xf>
    <xf numFmtId="0" fontId="8" fillId="3" borderId="6" xfId="0" applyFont="1" applyFill="1" applyBorder="1"/>
    <xf numFmtId="0" fontId="4" fillId="3" borderId="10" xfId="0" applyFont="1" applyFill="1" applyBorder="1"/>
    <xf numFmtId="0" fontId="4" fillId="3" borderId="4" xfId="0" applyFont="1" applyFill="1" applyBorder="1"/>
    <xf numFmtId="43" fontId="4" fillId="3" borderId="4" xfId="1" applyFont="1" applyFill="1" applyBorder="1"/>
    <xf numFmtId="164" fontId="4" fillId="3" borderId="5" xfId="2" applyFont="1" applyFill="1" applyBorder="1"/>
    <xf numFmtId="164" fontId="4" fillId="3" borderId="8" xfId="2" applyFont="1" applyFill="1" applyBorder="1"/>
    <xf numFmtId="164" fontId="6" fillId="3" borderId="10" xfId="2" applyFont="1" applyFill="1" applyBorder="1" applyAlignment="1">
      <alignment horizontal="center"/>
    </xf>
    <xf numFmtId="0" fontId="4" fillId="0" borderId="6" xfId="0" applyFont="1" applyBorder="1"/>
    <xf numFmtId="43" fontId="4" fillId="0" borderId="6" xfId="1" applyFont="1" applyBorder="1"/>
    <xf numFmtId="9" fontId="4" fillId="0" borderId="6" xfId="4" applyFont="1" applyBorder="1" applyAlignment="1">
      <alignment horizontal="center"/>
    </xf>
    <xf numFmtId="43" fontId="4" fillId="0" borderId="7" xfId="1" applyFont="1" applyBorder="1"/>
    <xf numFmtId="0" fontId="4" fillId="0" borderId="8" xfId="0" applyFont="1" applyBorder="1"/>
    <xf numFmtId="43" fontId="4" fillId="0" borderId="0" xfId="1" applyFont="1" applyBorder="1"/>
    <xf numFmtId="43" fontId="4" fillId="0" borderId="9" xfId="1" applyFont="1" applyBorder="1"/>
    <xf numFmtId="0" fontId="4" fillId="0" borderId="10" xfId="0" applyFont="1" applyBorder="1"/>
    <xf numFmtId="0" fontId="4" fillId="0" borderId="4" xfId="0" applyFont="1" applyBorder="1"/>
    <xf numFmtId="43" fontId="4" fillId="0" borderId="4" xfId="1" applyFont="1" applyBorder="1"/>
    <xf numFmtId="43" fontId="4" fillId="0" borderId="11" xfId="1" applyFont="1" applyBorder="1"/>
    <xf numFmtId="164" fontId="5" fillId="3" borderId="6" xfId="2" applyFont="1" applyFill="1" applyBorder="1" applyAlignment="1">
      <alignment horizontal="center"/>
    </xf>
    <xf numFmtId="43" fontId="5" fillId="3" borderId="7" xfId="1" applyFont="1" applyFill="1" applyBorder="1" applyAlignment="1">
      <alignment horizontal="center"/>
    </xf>
    <xf numFmtId="0" fontId="7" fillId="0" borderId="5" xfId="0" applyFont="1" applyBorder="1"/>
    <xf numFmtId="43" fontId="6" fillId="3" borderId="6" xfId="1" applyFont="1" applyFill="1" applyBorder="1"/>
    <xf numFmtId="0" fontId="4" fillId="3" borderId="0" xfId="1" applyNumberFormat="1" applyFont="1" applyFill="1" applyBorder="1" applyAlignment="1">
      <alignment horizontal="center"/>
    </xf>
    <xf numFmtId="0" fontId="4" fillId="3" borderId="0" xfId="2" applyNumberFormat="1" applyFont="1" applyFill="1" applyBorder="1" applyAlignment="1">
      <alignment horizontal="center"/>
    </xf>
    <xf numFmtId="9" fontId="4" fillId="3" borderId="0" xfId="4" quotePrefix="1" applyFont="1" applyFill="1" applyBorder="1" applyAlignment="1">
      <alignment horizontal="center"/>
    </xf>
    <xf numFmtId="9" fontId="4" fillId="3" borderId="4" xfId="4" quotePrefix="1" applyFont="1" applyFill="1" applyBorder="1" applyAlignment="1">
      <alignment horizontal="center"/>
    </xf>
    <xf numFmtId="9" fontId="4" fillId="3" borderId="0" xfId="4" applyFont="1" applyFill="1" applyBorder="1" applyAlignment="1">
      <alignment horizontal="center"/>
    </xf>
    <xf numFmtId="9" fontId="4" fillId="3" borderId="4" xfId="4" applyFont="1" applyFill="1" applyBorder="1" applyAlignment="1">
      <alignment horizontal="center"/>
    </xf>
    <xf numFmtId="2" fontId="4" fillId="3" borderId="9" xfId="1" applyNumberFormat="1" applyFont="1" applyFill="1" applyBorder="1" applyAlignment="1">
      <alignment horizontal="center"/>
    </xf>
    <xf numFmtId="10" fontId="4" fillId="3" borderId="9" xfId="4" applyNumberFormat="1" applyFont="1" applyFill="1" applyBorder="1" applyAlignment="1">
      <alignment horizontal="center"/>
    </xf>
    <xf numFmtId="10" fontId="4" fillId="3" borderId="11" xfId="4" applyNumberFormat="1" applyFont="1" applyFill="1" applyBorder="1" applyAlignment="1">
      <alignment horizontal="center"/>
    </xf>
    <xf numFmtId="0" fontId="4" fillId="0" borderId="8" xfId="0" quotePrefix="1" applyFont="1" applyBorder="1"/>
    <xf numFmtId="0" fontId="0" fillId="0" borderId="0" xfId="0" applyAlignment="1">
      <alignment horizontal="right"/>
    </xf>
  </cellXfs>
  <cellStyles count="5">
    <cellStyle name="Hipervínculo" xfId="3" builtinId="8"/>
    <cellStyle name="Millares" xfId="1" builtinId="3"/>
    <cellStyle name="Millares 9" xfId="2" xr:uid="{AD1AA382-05FB-417F-80B3-02CBABF164BE}"/>
    <cellStyle name="Normal" xfId="0" builtinId="0"/>
    <cellStyle name="Porcentaje" xfId="4" builtinId="5"/>
  </cellStyles>
  <dxfs count="34">
    <dxf>
      <numFmt numFmtId="0" formatCode="General"/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m/d/yyyy"/>
      <alignment horizontal="center" vertical="center" textRotation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3444B83-1D9D-4289-B6D0-6B3385ECCB21}" autoFormatId="16" applyNumberFormats="0" applyBorderFormats="0" applyFontFormats="0" applyPatternFormats="0" applyAlignmentFormats="0" applyWidthHeightFormats="0">
  <queryTableRefresh nextId="11">
    <queryTableFields count="9">
      <queryTableField id="1" name="FECHA" tableColumnId="1"/>
      <queryTableField id="2" name="COMP." tableColumnId="2"/>
      <queryTableField id="3" name="CODIGO" tableColumnId="3"/>
      <queryTableField id="4" name="CUENTA" tableColumnId="4"/>
      <queryTableField id="5" name="CONCEPTO" tableColumnId="5"/>
      <queryTableField id="6" name=" DEBE " tableColumnId="6"/>
      <queryTableField id="7" name=" HABER " tableColumnId="7"/>
      <queryTableField id="8" name="Movimiento" tableColumnId="8"/>
      <queryTableField id="9" name="REFERENCIA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FEE6D-4B94-460D-82E2-EB071F159455}" name="tblUsr_Cuentas" displayName="tblUsr_Cuentas" ref="A1:E295" totalsRowShown="0" headerRowDxfId="33" dataDxfId="32">
  <autoFilter ref="A1:E295" xr:uid="{880FEE6D-4B94-460D-82E2-EB071F159455}"/>
  <sortState xmlns:xlrd2="http://schemas.microsoft.com/office/spreadsheetml/2017/richdata2" ref="A2:E295">
    <sortCondition ref="A1:A295"/>
  </sortState>
  <tableColumns count="5">
    <tableColumn id="1" xr3:uid="{BA31DB10-E3F1-465E-86DA-3406B5963A4F}" name="Codigo" dataDxfId="31"/>
    <tableColumn id="2" xr3:uid="{C316BE5E-0B53-40E3-8C49-39179806E418}" name="Descripción " dataDxfId="30"/>
    <tableColumn id="3" xr3:uid="{FA96B52F-094B-4228-92FA-7F9A793B88D0}" name="Nivel" dataDxfId="29"/>
    <tableColumn id="5" xr3:uid="{CCD7A9EF-4864-4F2A-AAB9-683EE7BECFEE}" name="Clasificación " dataDxfId="28"/>
    <tableColumn id="9" xr3:uid="{28A0365C-DD34-4439-B405-16F659D894CA}" name="Fecha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C2909-B3E5-43CC-9041-A0A62763BB04}" name="TblUsr_Diario" displayName="TblUsr_Diario" ref="A1:I4161" tableType="queryTable" totalsRowCount="1">
  <autoFilter ref="A1:I4160" xr:uid="{434C2909-B3E5-43CC-9041-A0A62763BB04}"/>
  <tableColumns count="9">
    <tableColumn id="1" xr3:uid="{EBB00518-2448-4B4A-BDF6-43C1CB5165CC}" uniqueName="1" name="FECHA" queryTableFieldId="1" dataDxfId="10" totalsRowDxfId="9"/>
    <tableColumn id="2" xr3:uid="{EC22AF3A-991D-424D-969E-89C72C343F43}" uniqueName="2" name="COMP." queryTableFieldId="2"/>
    <tableColumn id="3" xr3:uid="{875CD9C7-E5B4-46C7-B472-D147FA4607A2}" uniqueName="3" name="CODIGO" queryTableFieldId="3"/>
    <tableColumn id="4" xr3:uid="{35F3E5C1-FBEF-47C2-B058-AF54EACC2CAD}" uniqueName="4" name="CUENTA" queryTableFieldId="4" dataDxfId="8"/>
    <tableColumn id="5" xr3:uid="{A54A3D0C-1B67-4988-BB88-C8FDC6A2C98E}" uniqueName="5" name="CONCEPTO" queryTableFieldId="5" dataDxfId="7"/>
    <tableColumn id="6" xr3:uid="{3245BA05-7C41-4C79-BF54-1773E8548C12}" uniqueName="6" name=" DEBE " totalsRowFunction="sum" queryTableFieldId="6" dataDxfId="6" totalsRowDxfId="5" dataCellStyle="Millares"/>
    <tableColumn id="7" xr3:uid="{071353FA-F0E0-4B45-9205-8DBFAB6223F0}" uniqueName="7" name=" HABER " totalsRowFunction="sum" queryTableFieldId="7" dataDxfId="4" totalsRowDxfId="3" dataCellStyle="Millares"/>
    <tableColumn id="8" xr3:uid="{9A9B31B6-80B3-4E64-B842-803DACC78ADF}" uniqueName="8" name="Movimiento" totalsRowFunction="sum" queryTableFieldId="8" dataDxfId="2" totalsRowDxfId="1" dataCellStyle="Millares"/>
    <tableColumn id="9" xr3:uid="{E713D80F-71C4-42F7-B3C0-C76141342E2B}" uniqueName="9" name="REFERENCIA" totalsRowFunction="count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destinatario1@gmail.com" TargetMode="External"/><Relationship Id="rId2" Type="http://schemas.openxmlformats.org/officeDocument/2006/relationships/hyperlink" Target="mailto:destinatario1@gmail.com" TargetMode="External"/><Relationship Id="rId1" Type="http://schemas.openxmlformats.org/officeDocument/2006/relationships/hyperlink" Target="mailto:mi-correo@g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destinatario1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F5D5F-222A-40BB-A2D2-3C3902452B14}">
  <sheetPr codeName="Hoja2"/>
  <dimension ref="A1:E295"/>
  <sheetViews>
    <sheetView topLeftCell="A37" workbookViewId="0">
      <selection activeCell="A2" sqref="A2:E295"/>
    </sheetView>
  </sheetViews>
  <sheetFormatPr baseColWidth="10" defaultRowHeight="14.5" x14ac:dyDescent="0.35"/>
  <cols>
    <col min="2" max="2" width="58.6328125" bestFit="1" customWidth="1"/>
    <col min="3" max="3" width="10.1796875" bestFit="1" customWidth="1"/>
    <col min="4" max="4" width="17.90625" bestFit="1" customWidth="1"/>
    <col min="5" max="5" width="10.81640625" bestFit="1" customWidth="1"/>
    <col min="7" max="7" width="57.08984375" bestFit="1" customWidth="1"/>
  </cols>
  <sheetData>
    <row r="1" spans="1:5" ht="28.5" customHeight="1" x14ac:dyDescent="0.35">
      <c r="A1" s="5" t="s">
        <v>1485</v>
      </c>
      <c r="B1" s="5" t="s">
        <v>1486</v>
      </c>
      <c r="C1" s="5" t="s">
        <v>1487</v>
      </c>
      <c r="D1" s="6" t="s">
        <v>1488</v>
      </c>
      <c r="E1" s="6" t="s">
        <v>1489</v>
      </c>
    </row>
    <row r="2" spans="1:5" x14ac:dyDescent="0.35">
      <c r="A2" s="7">
        <v>1000000</v>
      </c>
      <c r="B2" s="8" t="s">
        <v>1490</v>
      </c>
      <c r="C2" s="7" t="s">
        <v>1451</v>
      </c>
      <c r="D2" s="7" t="s">
        <v>1</v>
      </c>
      <c r="E2" s="9">
        <v>44287</v>
      </c>
    </row>
    <row r="3" spans="1:5" x14ac:dyDescent="0.35">
      <c r="A3" s="10">
        <v>1100000</v>
      </c>
      <c r="B3" s="11" t="s">
        <v>1491</v>
      </c>
      <c r="C3" s="10" t="s">
        <v>1452</v>
      </c>
      <c r="D3" s="10" t="s">
        <v>1</v>
      </c>
      <c r="E3" s="12">
        <v>44287</v>
      </c>
    </row>
    <row r="4" spans="1:5" x14ac:dyDescent="0.35">
      <c r="A4" s="7">
        <v>1110000</v>
      </c>
      <c r="B4" s="8" t="s">
        <v>1492</v>
      </c>
      <c r="C4" s="7" t="s">
        <v>1453</v>
      </c>
      <c r="D4" s="7" t="s">
        <v>1</v>
      </c>
      <c r="E4" s="9">
        <v>44287</v>
      </c>
    </row>
    <row r="5" spans="1:5" x14ac:dyDescent="0.35">
      <c r="A5" s="10">
        <v>1111000</v>
      </c>
      <c r="B5" s="11" t="s">
        <v>1493</v>
      </c>
      <c r="C5" s="10" t="s">
        <v>0</v>
      </c>
      <c r="D5" s="10" t="s">
        <v>1</v>
      </c>
      <c r="E5" s="12">
        <v>44287</v>
      </c>
    </row>
    <row r="6" spans="1:5" x14ac:dyDescent="0.35">
      <c r="A6" s="7">
        <v>1111001</v>
      </c>
      <c r="B6" s="8" t="s">
        <v>16</v>
      </c>
      <c r="C6" s="7" t="s">
        <v>1454</v>
      </c>
      <c r="D6" s="7" t="s">
        <v>1</v>
      </c>
      <c r="E6" s="9">
        <v>44512</v>
      </c>
    </row>
    <row r="7" spans="1:5" x14ac:dyDescent="0.35">
      <c r="A7" s="10">
        <v>1111002</v>
      </c>
      <c r="B7" s="11" t="s">
        <v>1455</v>
      </c>
      <c r="C7" s="10" t="s">
        <v>1454</v>
      </c>
      <c r="D7" s="10" t="s">
        <v>1</v>
      </c>
      <c r="E7" s="12">
        <v>44287</v>
      </c>
    </row>
    <row r="8" spans="1:5" x14ac:dyDescent="0.35">
      <c r="A8" s="10">
        <v>1111003</v>
      </c>
      <c r="B8" s="11" t="s">
        <v>1494</v>
      </c>
      <c r="C8" s="10" t="s">
        <v>1454</v>
      </c>
      <c r="D8" s="10" t="s">
        <v>1</v>
      </c>
      <c r="E8" s="12">
        <v>44287</v>
      </c>
    </row>
    <row r="9" spans="1:5" x14ac:dyDescent="0.35">
      <c r="A9" s="10">
        <v>1112000</v>
      </c>
      <c r="B9" s="11" t="s">
        <v>1495</v>
      </c>
      <c r="C9" s="10" t="s">
        <v>0</v>
      </c>
      <c r="D9" s="10" t="s">
        <v>1</v>
      </c>
      <c r="E9" s="12">
        <v>44287</v>
      </c>
    </row>
    <row r="10" spans="1:5" x14ac:dyDescent="0.35">
      <c r="A10" s="10">
        <v>1112001</v>
      </c>
      <c r="B10" s="11" t="s">
        <v>20</v>
      </c>
      <c r="C10" s="13" t="s">
        <v>1454</v>
      </c>
      <c r="D10" s="10" t="s">
        <v>1</v>
      </c>
      <c r="E10" s="12">
        <v>44287</v>
      </c>
    </row>
    <row r="11" spans="1:5" x14ac:dyDescent="0.35">
      <c r="A11" s="10">
        <v>1112002</v>
      </c>
      <c r="B11" s="11" t="s">
        <v>1496</v>
      </c>
      <c r="C11" s="10" t="s">
        <v>1454</v>
      </c>
      <c r="D11" s="10" t="s">
        <v>1</v>
      </c>
      <c r="E11" s="12">
        <v>44287</v>
      </c>
    </row>
    <row r="12" spans="1:5" x14ac:dyDescent="0.35">
      <c r="A12" s="10">
        <v>1112003</v>
      </c>
      <c r="B12" s="11" t="s">
        <v>1497</v>
      </c>
      <c r="C12" s="10" t="s">
        <v>1454</v>
      </c>
      <c r="D12" s="10" t="s">
        <v>1</v>
      </c>
      <c r="E12" s="12">
        <v>44798</v>
      </c>
    </row>
    <row r="13" spans="1:5" x14ac:dyDescent="0.35">
      <c r="A13" s="10">
        <v>1122000</v>
      </c>
      <c r="B13" s="11" t="s">
        <v>1498</v>
      </c>
      <c r="C13" s="10" t="s">
        <v>0</v>
      </c>
      <c r="D13" s="10" t="s">
        <v>1</v>
      </c>
      <c r="E13" s="12">
        <v>44287</v>
      </c>
    </row>
    <row r="14" spans="1:5" x14ac:dyDescent="0.35">
      <c r="A14" s="7">
        <v>1122001</v>
      </c>
      <c r="B14" s="8" t="s">
        <v>1499</v>
      </c>
      <c r="C14" s="7" t="s">
        <v>1454</v>
      </c>
      <c r="D14" s="10" t="s">
        <v>1</v>
      </c>
      <c r="E14" s="12">
        <v>44287</v>
      </c>
    </row>
    <row r="15" spans="1:5" x14ac:dyDescent="0.35">
      <c r="A15" s="7">
        <v>1122002</v>
      </c>
      <c r="B15" s="8" t="s">
        <v>1500</v>
      </c>
      <c r="C15" s="7" t="s">
        <v>1454</v>
      </c>
      <c r="D15" s="10" t="s">
        <v>1</v>
      </c>
      <c r="E15" s="12">
        <v>44287</v>
      </c>
    </row>
    <row r="16" spans="1:5" x14ac:dyDescent="0.35">
      <c r="A16" s="10">
        <v>1122003</v>
      </c>
      <c r="B16" s="11" t="s">
        <v>1501</v>
      </c>
      <c r="C16" s="10" t="s">
        <v>1454</v>
      </c>
      <c r="D16" s="10" t="s">
        <v>1</v>
      </c>
      <c r="E16" s="12">
        <v>44287</v>
      </c>
    </row>
    <row r="17" spans="1:5" x14ac:dyDescent="0.35">
      <c r="A17" s="10">
        <v>1122004</v>
      </c>
      <c r="B17" s="11" t="s">
        <v>1502</v>
      </c>
      <c r="C17" s="10" t="s">
        <v>1454</v>
      </c>
      <c r="D17" s="10" t="s">
        <v>1</v>
      </c>
      <c r="E17" s="12">
        <v>44287</v>
      </c>
    </row>
    <row r="18" spans="1:5" x14ac:dyDescent="0.35">
      <c r="A18" s="10">
        <v>1123000</v>
      </c>
      <c r="B18" s="11" t="s">
        <v>1503</v>
      </c>
      <c r="C18" s="10" t="s">
        <v>0</v>
      </c>
      <c r="D18" s="10" t="s">
        <v>1</v>
      </c>
      <c r="E18" s="12">
        <v>44287</v>
      </c>
    </row>
    <row r="19" spans="1:5" x14ac:dyDescent="0.35">
      <c r="A19" s="10">
        <v>1123001</v>
      </c>
      <c r="B19" s="11" t="s">
        <v>1504</v>
      </c>
      <c r="C19" s="10" t="s">
        <v>1454</v>
      </c>
      <c r="D19" s="10" t="s">
        <v>1</v>
      </c>
      <c r="E19" s="12">
        <v>44287</v>
      </c>
    </row>
    <row r="20" spans="1:5" x14ac:dyDescent="0.35">
      <c r="A20" s="10">
        <v>1123002</v>
      </c>
      <c r="B20" s="11" t="s">
        <v>1505</v>
      </c>
      <c r="C20" s="10" t="s">
        <v>1454</v>
      </c>
      <c r="D20" s="10" t="s">
        <v>1</v>
      </c>
      <c r="E20" s="12">
        <v>44287</v>
      </c>
    </row>
    <row r="21" spans="1:5" x14ac:dyDescent="0.35">
      <c r="A21" s="10">
        <v>1123003</v>
      </c>
      <c r="B21" s="11" t="s">
        <v>1506</v>
      </c>
      <c r="C21" s="10" t="s">
        <v>1454</v>
      </c>
      <c r="D21" s="10" t="s">
        <v>1</v>
      </c>
      <c r="E21" s="12">
        <v>44287</v>
      </c>
    </row>
    <row r="22" spans="1:5" x14ac:dyDescent="0.35">
      <c r="A22" s="10">
        <v>1123004</v>
      </c>
      <c r="B22" s="11" t="s">
        <v>1507</v>
      </c>
      <c r="C22" s="10" t="s">
        <v>1454</v>
      </c>
      <c r="D22" s="10" t="s">
        <v>1</v>
      </c>
      <c r="E22" s="12">
        <v>44287</v>
      </c>
    </row>
    <row r="23" spans="1:5" x14ac:dyDescent="0.35">
      <c r="A23" s="10">
        <v>1123005</v>
      </c>
      <c r="B23" s="11" t="s">
        <v>1508</v>
      </c>
      <c r="C23" s="10" t="s">
        <v>1454</v>
      </c>
      <c r="D23" s="10" t="s">
        <v>1</v>
      </c>
      <c r="E23" s="12">
        <v>44287</v>
      </c>
    </row>
    <row r="24" spans="1:5" x14ac:dyDescent="0.35">
      <c r="A24" s="10">
        <v>1123006</v>
      </c>
      <c r="B24" s="11" t="s">
        <v>1509</v>
      </c>
      <c r="C24" s="10" t="s">
        <v>1454</v>
      </c>
      <c r="D24" s="10" t="s">
        <v>1</v>
      </c>
      <c r="E24" s="12">
        <v>44287</v>
      </c>
    </row>
    <row r="25" spans="1:5" x14ac:dyDescent="0.35">
      <c r="A25" s="10">
        <v>1123007</v>
      </c>
      <c r="B25" s="11" t="s">
        <v>1510</v>
      </c>
      <c r="C25" s="10" t="s">
        <v>1454</v>
      </c>
      <c r="D25" s="10" t="s">
        <v>1</v>
      </c>
      <c r="E25" s="12">
        <v>44287</v>
      </c>
    </row>
    <row r="26" spans="1:5" x14ac:dyDescent="0.35">
      <c r="A26" s="10">
        <v>1123008</v>
      </c>
      <c r="B26" s="11" t="s">
        <v>1511</v>
      </c>
      <c r="C26" s="10" t="s">
        <v>1454</v>
      </c>
      <c r="D26" s="10" t="s">
        <v>1</v>
      </c>
      <c r="E26" s="12">
        <v>44287</v>
      </c>
    </row>
    <row r="27" spans="1:5" x14ac:dyDescent="0.35">
      <c r="A27" s="10">
        <v>1123009</v>
      </c>
      <c r="B27" s="11" t="s">
        <v>1512</v>
      </c>
      <c r="C27" s="10" t="s">
        <v>1454</v>
      </c>
      <c r="D27" s="10" t="s">
        <v>1</v>
      </c>
      <c r="E27" s="12">
        <v>44287</v>
      </c>
    </row>
    <row r="28" spans="1:5" x14ac:dyDescent="0.35">
      <c r="A28" s="10">
        <v>1123010</v>
      </c>
      <c r="B28" s="11" t="s">
        <v>1513</v>
      </c>
      <c r="C28" s="10" t="s">
        <v>1454</v>
      </c>
      <c r="D28" s="10" t="s">
        <v>1</v>
      </c>
      <c r="E28" s="12">
        <v>44287</v>
      </c>
    </row>
    <row r="29" spans="1:5" x14ac:dyDescent="0.35">
      <c r="A29" s="10">
        <v>1140000</v>
      </c>
      <c r="B29" s="11" t="s">
        <v>1514</v>
      </c>
      <c r="C29" s="10" t="s">
        <v>1453</v>
      </c>
      <c r="D29" s="10" t="s">
        <v>1</v>
      </c>
      <c r="E29" s="12">
        <v>44287</v>
      </c>
    </row>
    <row r="30" spans="1:5" x14ac:dyDescent="0.35">
      <c r="A30" s="10">
        <v>1141000</v>
      </c>
      <c r="B30" s="11" t="s">
        <v>1402</v>
      </c>
      <c r="C30" s="10" t="s">
        <v>0</v>
      </c>
      <c r="D30" s="10" t="s">
        <v>1</v>
      </c>
      <c r="E30" s="12">
        <v>44287</v>
      </c>
    </row>
    <row r="31" spans="1:5" x14ac:dyDescent="0.35">
      <c r="A31" s="10">
        <v>1141001</v>
      </c>
      <c r="B31" s="11" t="s">
        <v>1515</v>
      </c>
      <c r="C31" s="10" t="s">
        <v>1454</v>
      </c>
      <c r="D31" s="10" t="s">
        <v>1</v>
      </c>
      <c r="E31" s="12">
        <v>44287</v>
      </c>
    </row>
    <row r="32" spans="1:5" x14ac:dyDescent="0.35">
      <c r="A32" s="10">
        <v>1141002</v>
      </c>
      <c r="B32" s="11" t="s">
        <v>1516</v>
      </c>
      <c r="C32" s="10" t="s">
        <v>1454</v>
      </c>
      <c r="D32" s="10" t="s">
        <v>1</v>
      </c>
      <c r="E32" s="12">
        <v>44287</v>
      </c>
    </row>
    <row r="33" spans="1:5" x14ac:dyDescent="0.35">
      <c r="A33" s="10">
        <v>1141003</v>
      </c>
      <c r="B33" s="11" t="s">
        <v>1517</v>
      </c>
      <c r="C33" s="10" t="s">
        <v>1454</v>
      </c>
      <c r="D33" s="10" t="s">
        <v>1</v>
      </c>
      <c r="E33" s="12">
        <v>44287</v>
      </c>
    </row>
    <row r="34" spans="1:5" x14ac:dyDescent="0.35">
      <c r="A34" s="10">
        <v>1141004</v>
      </c>
      <c r="B34" s="11" t="s">
        <v>1518</v>
      </c>
      <c r="C34" s="10" t="s">
        <v>1454</v>
      </c>
      <c r="D34" s="10" t="s">
        <v>1</v>
      </c>
      <c r="E34" s="12">
        <v>44287</v>
      </c>
    </row>
    <row r="35" spans="1:5" x14ac:dyDescent="0.35">
      <c r="A35" s="10">
        <v>1142000</v>
      </c>
      <c r="B35" s="11" t="s">
        <v>1519</v>
      </c>
      <c r="C35" s="10" t="s">
        <v>0</v>
      </c>
      <c r="D35" s="10" t="s">
        <v>1</v>
      </c>
      <c r="E35" s="12">
        <v>44287</v>
      </c>
    </row>
    <row r="36" spans="1:5" x14ac:dyDescent="0.35">
      <c r="A36" s="10">
        <v>1142001</v>
      </c>
      <c r="B36" s="11" t="s">
        <v>1520</v>
      </c>
      <c r="C36" s="10" t="s">
        <v>1454</v>
      </c>
      <c r="D36" s="10" t="s">
        <v>1</v>
      </c>
      <c r="E36" s="12">
        <v>44287</v>
      </c>
    </row>
    <row r="37" spans="1:5" x14ac:dyDescent="0.35">
      <c r="A37" s="10">
        <v>1142002</v>
      </c>
      <c r="B37" s="11" t="s">
        <v>1521</v>
      </c>
      <c r="C37" s="10" t="s">
        <v>1454</v>
      </c>
      <c r="D37" s="10" t="s">
        <v>1</v>
      </c>
      <c r="E37" s="12">
        <v>44287</v>
      </c>
    </row>
    <row r="38" spans="1:5" x14ac:dyDescent="0.35">
      <c r="A38" s="10">
        <v>1142003</v>
      </c>
      <c r="B38" s="11" t="s">
        <v>1522</v>
      </c>
      <c r="C38" s="10" t="s">
        <v>1454</v>
      </c>
      <c r="D38" s="10" t="s">
        <v>1</v>
      </c>
      <c r="E38" s="12">
        <v>44287</v>
      </c>
    </row>
    <row r="39" spans="1:5" x14ac:dyDescent="0.35">
      <c r="A39" s="10">
        <v>1142004</v>
      </c>
      <c r="B39" s="11" t="s">
        <v>1523</v>
      </c>
      <c r="C39" s="10" t="s">
        <v>1454</v>
      </c>
      <c r="D39" s="10" t="s">
        <v>1</v>
      </c>
      <c r="E39" s="12">
        <v>44287</v>
      </c>
    </row>
    <row r="40" spans="1:5" x14ac:dyDescent="0.35">
      <c r="A40" s="10">
        <v>1143000</v>
      </c>
      <c r="B40" s="11" t="s">
        <v>1456</v>
      </c>
      <c r="C40" s="10" t="s">
        <v>0</v>
      </c>
      <c r="D40" s="10" t="s">
        <v>1</v>
      </c>
      <c r="E40" s="12">
        <v>44287</v>
      </c>
    </row>
    <row r="41" spans="1:5" x14ac:dyDescent="0.35">
      <c r="A41" s="10">
        <v>1143001</v>
      </c>
      <c r="B41" s="11" t="s">
        <v>1456</v>
      </c>
      <c r="C41" s="10" t="s">
        <v>1454</v>
      </c>
      <c r="D41" s="10" t="s">
        <v>1</v>
      </c>
      <c r="E41" s="12">
        <v>44287</v>
      </c>
    </row>
    <row r="42" spans="1:5" x14ac:dyDescent="0.35">
      <c r="A42" s="10">
        <v>1143002</v>
      </c>
      <c r="B42" s="11" t="s">
        <v>1457</v>
      </c>
      <c r="C42" s="10" t="s">
        <v>1454</v>
      </c>
      <c r="D42" s="10" t="s">
        <v>1</v>
      </c>
      <c r="E42" s="12">
        <v>44287</v>
      </c>
    </row>
    <row r="43" spans="1:5" x14ac:dyDescent="0.35">
      <c r="A43" s="10">
        <v>1144000</v>
      </c>
      <c r="B43" s="11" t="s">
        <v>1524</v>
      </c>
      <c r="C43" s="10" t="s">
        <v>0</v>
      </c>
      <c r="D43" s="10" t="s">
        <v>1</v>
      </c>
      <c r="E43" s="12">
        <v>44287</v>
      </c>
    </row>
    <row r="44" spans="1:5" x14ac:dyDescent="0.35">
      <c r="A44" s="10">
        <v>1144001</v>
      </c>
      <c r="B44" s="11" t="s">
        <v>1458</v>
      </c>
      <c r="C44" s="10" t="s">
        <v>1454</v>
      </c>
      <c r="D44" s="10" t="s">
        <v>1</v>
      </c>
      <c r="E44" s="12">
        <v>44287</v>
      </c>
    </row>
    <row r="45" spans="1:5" x14ac:dyDescent="0.35">
      <c r="A45" s="10">
        <v>1144002</v>
      </c>
      <c r="B45" s="11" t="s">
        <v>1459</v>
      </c>
      <c r="C45" s="10" t="s">
        <v>1454</v>
      </c>
      <c r="D45" s="10" t="s">
        <v>1</v>
      </c>
      <c r="E45" s="12">
        <v>44287</v>
      </c>
    </row>
    <row r="46" spans="1:5" x14ac:dyDescent="0.35">
      <c r="A46" s="10">
        <v>1144003</v>
      </c>
      <c r="B46" s="11" t="s">
        <v>1460</v>
      </c>
      <c r="C46" s="10" t="s">
        <v>1454</v>
      </c>
      <c r="D46" s="10" t="s">
        <v>1</v>
      </c>
      <c r="E46" s="12">
        <v>44287</v>
      </c>
    </row>
    <row r="47" spans="1:5" x14ac:dyDescent="0.35">
      <c r="A47" s="10">
        <v>1150000</v>
      </c>
      <c r="B47" s="11" t="s">
        <v>1525</v>
      </c>
      <c r="C47" s="10" t="s">
        <v>1453</v>
      </c>
      <c r="D47" s="10" t="s">
        <v>1</v>
      </c>
      <c r="E47" s="12">
        <v>44287</v>
      </c>
    </row>
    <row r="48" spans="1:5" x14ac:dyDescent="0.35">
      <c r="A48" s="10">
        <v>1151000</v>
      </c>
      <c r="B48" s="11" t="s">
        <v>1526</v>
      </c>
      <c r="C48" s="10" t="s">
        <v>0</v>
      </c>
      <c r="D48" s="10" t="s">
        <v>1</v>
      </c>
      <c r="E48" s="12">
        <v>44287</v>
      </c>
    </row>
    <row r="49" spans="1:5" x14ac:dyDescent="0.35">
      <c r="A49" s="10">
        <v>1151001</v>
      </c>
      <c r="B49" s="11" t="s">
        <v>1527</v>
      </c>
      <c r="C49" s="10" t="s">
        <v>1454</v>
      </c>
      <c r="D49" s="10" t="s">
        <v>1</v>
      </c>
      <c r="E49" s="12">
        <v>44287</v>
      </c>
    </row>
    <row r="50" spans="1:5" x14ac:dyDescent="0.35">
      <c r="A50" s="10">
        <v>1151002</v>
      </c>
      <c r="B50" s="11" t="s">
        <v>1528</v>
      </c>
      <c r="C50" s="10" t="s">
        <v>1454</v>
      </c>
      <c r="D50" s="10" t="s">
        <v>1</v>
      </c>
      <c r="E50" s="12">
        <v>44287</v>
      </c>
    </row>
    <row r="51" spans="1:5" x14ac:dyDescent="0.35">
      <c r="A51" s="10">
        <v>1151003</v>
      </c>
      <c r="B51" s="11" t="s">
        <v>1529</v>
      </c>
      <c r="C51" s="10" t="s">
        <v>1454</v>
      </c>
      <c r="D51" s="10" t="s">
        <v>1</v>
      </c>
      <c r="E51" s="12">
        <v>44287</v>
      </c>
    </row>
    <row r="52" spans="1:5" x14ac:dyDescent="0.35">
      <c r="A52" s="10">
        <v>1151004</v>
      </c>
      <c r="B52" s="11" t="s">
        <v>1530</v>
      </c>
      <c r="C52" s="10" t="s">
        <v>1454</v>
      </c>
      <c r="D52" s="10" t="s">
        <v>1</v>
      </c>
      <c r="E52" s="12">
        <v>44287</v>
      </c>
    </row>
    <row r="53" spans="1:5" x14ac:dyDescent="0.35">
      <c r="A53" s="10">
        <v>1151005</v>
      </c>
      <c r="B53" s="11" t="s">
        <v>1531</v>
      </c>
      <c r="C53" s="10" t="s">
        <v>1454</v>
      </c>
      <c r="D53" s="10" t="s">
        <v>1</v>
      </c>
      <c r="E53" s="12">
        <v>44287</v>
      </c>
    </row>
    <row r="54" spans="1:5" x14ac:dyDescent="0.35">
      <c r="A54" s="10">
        <v>1200000</v>
      </c>
      <c r="B54" s="11" t="s">
        <v>1532</v>
      </c>
      <c r="C54" s="10" t="s">
        <v>1452</v>
      </c>
      <c r="D54" s="10" t="s">
        <v>1</v>
      </c>
      <c r="E54" s="12">
        <v>44287</v>
      </c>
    </row>
    <row r="55" spans="1:5" x14ac:dyDescent="0.35">
      <c r="A55" s="10">
        <v>1210000</v>
      </c>
      <c r="B55" s="11" t="s">
        <v>1533</v>
      </c>
      <c r="C55" s="10" t="s">
        <v>1453</v>
      </c>
      <c r="D55" s="10" t="s">
        <v>1</v>
      </c>
      <c r="E55" s="12">
        <v>44287</v>
      </c>
    </row>
    <row r="56" spans="1:5" x14ac:dyDescent="0.35">
      <c r="A56" s="10">
        <v>1211000</v>
      </c>
      <c r="B56" s="11" t="s">
        <v>1534</v>
      </c>
      <c r="C56" s="10" t="s">
        <v>0</v>
      </c>
      <c r="D56" s="10" t="s">
        <v>1</v>
      </c>
      <c r="E56" s="12">
        <v>44287</v>
      </c>
    </row>
    <row r="57" spans="1:5" x14ac:dyDescent="0.35">
      <c r="A57" s="10">
        <v>1211001</v>
      </c>
      <c r="B57" s="11" t="s">
        <v>1535</v>
      </c>
      <c r="C57" s="10" t="s">
        <v>1454</v>
      </c>
      <c r="D57" s="10" t="s">
        <v>1</v>
      </c>
      <c r="E57" s="12">
        <v>44287</v>
      </c>
    </row>
    <row r="58" spans="1:5" x14ac:dyDescent="0.35">
      <c r="A58" s="10">
        <v>1240000</v>
      </c>
      <c r="B58" s="11" t="s">
        <v>1536</v>
      </c>
      <c r="C58" s="10" t="s">
        <v>1453</v>
      </c>
      <c r="D58" s="10" t="s">
        <v>1</v>
      </c>
      <c r="E58" s="12">
        <v>44287</v>
      </c>
    </row>
    <row r="59" spans="1:5" x14ac:dyDescent="0.35">
      <c r="A59" s="10">
        <v>1241000</v>
      </c>
      <c r="B59" s="11" t="s">
        <v>1537</v>
      </c>
      <c r="C59" s="10" t="s">
        <v>0</v>
      </c>
      <c r="D59" s="10" t="s">
        <v>1</v>
      </c>
      <c r="E59" s="12">
        <v>44287</v>
      </c>
    </row>
    <row r="60" spans="1:5" x14ac:dyDescent="0.35">
      <c r="A60" s="10">
        <v>1241009</v>
      </c>
      <c r="B60" s="11" t="s">
        <v>1538</v>
      </c>
      <c r="C60" s="10" t="s">
        <v>1454</v>
      </c>
      <c r="D60" s="10" t="s">
        <v>1</v>
      </c>
      <c r="E60" s="12">
        <v>44287</v>
      </c>
    </row>
    <row r="61" spans="1:5" x14ac:dyDescent="0.35">
      <c r="A61" s="10">
        <v>1241010</v>
      </c>
      <c r="B61" s="11" t="s">
        <v>1539</v>
      </c>
      <c r="C61" s="10" t="s">
        <v>1454</v>
      </c>
      <c r="D61" s="10" t="s">
        <v>1</v>
      </c>
      <c r="E61" s="12">
        <v>44287</v>
      </c>
    </row>
    <row r="62" spans="1:5" x14ac:dyDescent="0.35">
      <c r="A62" s="10">
        <v>1241080</v>
      </c>
      <c r="B62" s="11" t="s">
        <v>1540</v>
      </c>
      <c r="C62" s="10" t="s">
        <v>1454</v>
      </c>
      <c r="D62" s="10" t="s">
        <v>1</v>
      </c>
      <c r="E62" s="12">
        <v>44287</v>
      </c>
    </row>
    <row r="63" spans="1:5" x14ac:dyDescent="0.35">
      <c r="A63" s="10">
        <v>1242000</v>
      </c>
      <c r="B63" s="11" t="s">
        <v>1541</v>
      </c>
      <c r="C63" s="10" t="s">
        <v>0</v>
      </c>
      <c r="D63" s="10" t="s">
        <v>1</v>
      </c>
      <c r="E63" s="12">
        <v>44287</v>
      </c>
    </row>
    <row r="64" spans="1:5" x14ac:dyDescent="0.35">
      <c r="A64" s="10">
        <v>1242007</v>
      </c>
      <c r="B64" s="11" t="s">
        <v>1542</v>
      </c>
      <c r="C64" s="10" t="s">
        <v>1454</v>
      </c>
      <c r="D64" s="10" t="s">
        <v>1</v>
      </c>
      <c r="E64" s="12">
        <v>44287</v>
      </c>
    </row>
    <row r="65" spans="1:5" x14ac:dyDescent="0.35">
      <c r="A65" s="10">
        <v>1242008</v>
      </c>
      <c r="B65" s="11" t="s">
        <v>1543</v>
      </c>
      <c r="C65" s="10" t="s">
        <v>1454</v>
      </c>
      <c r="D65" s="10" t="s">
        <v>1</v>
      </c>
      <c r="E65" s="12">
        <v>44287</v>
      </c>
    </row>
    <row r="66" spans="1:5" x14ac:dyDescent="0.35">
      <c r="A66" s="10">
        <v>1242080</v>
      </c>
      <c r="B66" s="11" t="s">
        <v>1544</v>
      </c>
      <c r="C66" s="10" t="s">
        <v>1454</v>
      </c>
      <c r="D66" s="10" t="s">
        <v>1</v>
      </c>
      <c r="E66" s="12">
        <v>44287</v>
      </c>
    </row>
    <row r="67" spans="1:5" x14ac:dyDescent="0.35">
      <c r="A67" s="10">
        <v>2000000</v>
      </c>
      <c r="B67" s="11" t="s">
        <v>1545</v>
      </c>
      <c r="C67" s="10" t="s">
        <v>1451</v>
      </c>
      <c r="D67" s="10" t="s">
        <v>2</v>
      </c>
      <c r="E67" s="12">
        <v>44287</v>
      </c>
    </row>
    <row r="68" spans="1:5" x14ac:dyDescent="0.35">
      <c r="A68" s="10">
        <v>2100000</v>
      </c>
      <c r="B68" s="11" t="s">
        <v>1546</v>
      </c>
      <c r="C68" s="10" t="s">
        <v>1452</v>
      </c>
      <c r="D68" s="10" t="s">
        <v>2</v>
      </c>
      <c r="E68" s="12">
        <v>44287</v>
      </c>
    </row>
    <row r="69" spans="1:5" x14ac:dyDescent="0.35">
      <c r="A69" s="10">
        <v>2110000</v>
      </c>
      <c r="B69" s="11" t="s">
        <v>1547</v>
      </c>
      <c r="C69" s="10" t="s">
        <v>1453</v>
      </c>
      <c r="D69" s="10" t="s">
        <v>2</v>
      </c>
      <c r="E69" s="12">
        <v>44287</v>
      </c>
    </row>
    <row r="70" spans="1:5" x14ac:dyDescent="0.35">
      <c r="A70" s="10">
        <v>2111000</v>
      </c>
      <c r="B70" s="11" t="s">
        <v>1548</v>
      </c>
      <c r="C70" s="10" t="s">
        <v>0</v>
      </c>
      <c r="D70" s="10" t="s">
        <v>2</v>
      </c>
      <c r="E70" s="12">
        <v>44287</v>
      </c>
    </row>
    <row r="71" spans="1:5" x14ac:dyDescent="0.35">
      <c r="A71" s="10">
        <v>2111001</v>
      </c>
      <c r="B71" s="11" t="s">
        <v>1461</v>
      </c>
      <c r="C71" s="10" t="s">
        <v>1454</v>
      </c>
      <c r="D71" s="10" t="s">
        <v>2</v>
      </c>
      <c r="E71" s="12">
        <v>44287</v>
      </c>
    </row>
    <row r="72" spans="1:5" x14ac:dyDescent="0.35">
      <c r="A72" s="10">
        <v>2111002</v>
      </c>
      <c r="B72" s="11" t="s">
        <v>1549</v>
      </c>
      <c r="C72" s="10" t="s">
        <v>1454</v>
      </c>
      <c r="D72" s="10" t="s">
        <v>2</v>
      </c>
      <c r="E72" s="12">
        <v>44287</v>
      </c>
    </row>
    <row r="73" spans="1:5" x14ac:dyDescent="0.35">
      <c r="A73" s="10">
        <v>2111005</v>
      </c>
      <c r="B73" s="11" t="s">
        <v>1462</v>
      </c>
      <c r="C73" s="10" t="s">
        <v>1454</v>
      </c>
      <c r="D73" s="10" t="s">
        <v>2</v>
      </c>
      <c r="E73" s="12">
        <v>44287</v>
      </c>
    </row>
    <row r="74" spans="1:5" x14ac:dyDescent="0.35">
      <c r="A74" s="10">
        <v>2113000</v>
      </c>
      <c r="B74" s="11" t="s">
        <v>1550</v>
      </c>
      <c r="C74" s="10" t="s">
        <v>0</v>
      </c>
      <c r="D74" s="10" t="s">
        <v>2</v>
      </c>
      <c r="E74" s="12">
        <v>44287</v>
      </c>
    </row>
    <row r="75" spans="1:5" x14ac:dyDescent="0.35">
      <c r="A75" s="10">
        <v>2113001</v>
      </c>
      <c r="B75" s="11" t="s">
        <v>1551</v>
      </c>
      <c r="C75" s="10" t="s">
        <v>1454</v>
      </c>
      <c r="D75" s="10" t="s">
        <v>2</v>
      </c>
      <c r="E75" s="12">
        <v>44287</v>
      </c>
    </row>
    <row r="76" spans="1:5" x14ac:dyDescent="0.35">
      <c r="A76" s="7">
        <v>2113004</v>
      </c>
      <c r="B76" s="8" t="s">
        <v>1552</v>
      </c>
      <c r="C76" s="10" t="s">
        <v>1454</v>
      </c>
      <c r="D76" s="10" t="s">
        <v>2</v>
      </c>
      <c r="E76" s="9">
        <v>44287</v>
      </c>
    </row>
    <row r="77" spans="1:5" x14ac:dyDescent="0.35">
      <c r="A77" s="7">
        <v>2114000</v>
      </c>
      <c r="B77" s="11" t="s">
        <v>1553</v>
      </c>
      <c r="C77" s="10" t="s">
        <v>0</v>
      </c>
      <c r="D77" s="10" t="s">
        <v>2</v>
      </c>
      <c r="E77" s="9">
        <v>44287</v>
      </c>
    </row>
    <row r="78" spans="1:5" x14ac:dyDescent="0.35">
      <c r="A78" s="10">
        <v>2114001</v>
      </c>
      <c r="B78" s="11" t="s">
        <v>1554</v>
      </c>
      <c r="C78" s="10" t="s">
        <v>1454</v>
      </c>
      <c r="D78" s="10" t="s">
        <v>2</v>
      </c>
      <c r="E78" s="12">
        <v>44287</v>
      </c>
    </row>
    <row r="79" spans="1:5" x14ac:dyDescent="0.35">
      <c r="A79" s="10">
        <v>2114002</v>
      </c>
      <c r="B79" s="11" t="s">
        <v>1555</v>
      </c>
      <c r="C79" s="10" t="s">
        <v>1454</v>
      </c>
      <c r="D79" s="10" t="s">
        <v>2</v>
      </c>
      <c r="E79" s="12">
        <v>44287</v>
      </c>
    </row>
    <row r="80" spans="1:5" x14ac:dyDescent="0.35">
      <c r="A80" s="10">
        <v>2114003</v>
      </c>
      <c r="B80" s="11" t="s">
        <v>1556</v>
      </c>
      <c r="C80" s="10" t="s">
        <v>1454</v>
      </c>
      <c r="D80" s="10" t="s">
        <v>2</v>
      </c>
      <c r="E80" s="12">
        <v>44287</v>
      </c>
    </row>
    <row r="81" spans="1:5" x14ac:dyDescent="0.35">
      <c r="A81" s="10">
        <v>2114007</v>
      </c>
      <c r="B81" s="11" t="s">
        <v>1557</v>
      </c>
      <c r="C81" s="10" t="s">
        <v>1454</v>
      </c>
      <c r="D81" s="10" t="s">
        <v>2</v>
      </c>
      <c r="E81" s="12">
        <v>44287</v>
      </c>
    </row>
    <row r="82" spans="1:5" x14ac:dyDescent="0.35">
      <c r="A82" s="10">
        <v>2114010</v>
      </c>
      <c r="B82" s="11" t="s">
        <v>1558</v>
      </c>
      <c r="C82" s="10" t="s">
        <v>1454</v>
      </c>
      <c r="D82" s="10" t="s">
        <v>2</v>
      </c>
      <c r="E82" s="12">
        <v>44287</v>
      </c>
    </row>
    <row r="83" spans="1:5" x14ac:dyDescent="0.35">
      <c r="A83" s="10">
        <v>2120000</v>
      </c>
      <c r="B83" s="11" t="s">
        <v>1559</v>
      </c>
      <c r="C83" s="10" t="s">
        <v>1453</v>
      </c>
      <c r="D83" s="10" t="s">
        <v>2</v>
      </c>
      <c r="E83" s="12">
        <v>44287</v>
      </c>
    </row>
    <row r="84" spans="1:5" x14ac:dyDescent="0.35">
      <c r="A84" s="10">
        <v>2121000</v>
      </c>
      <c r="B84" s="11" t="s">
        <v>1560</v>
      </c>
      <c r="C84" s="10" t="s">
        <v>0</v>
      </c>
      <c r="D84" s="10" t="s">
        <v>2</v>
      </c>
      <c r="E84" s="12">
        <v>44287</v>
      </c>
    </row>
    <row r="85" spans="1:5" x14ac:dyDescent="0.35">
      <c r="A85" s="10">
        <v>2121001</v>
      </c>
      <c r="B85" s="11" t="s">
        <v>1561</v>
      </c>
      <c r="C85" s="10" t="s">
        <v>1454</v>
      </c>
      <c r="D85" s="10" t="s">
        <v>2</v>
      </c>
      <c r="E85" s="12">
        <v>44287</v>
      </c>
    </row>
    <row r="86" spans="1:5" x14ac:dyDescent="0.35">
      <c r="A86" s="7">
        <v>2121002</v>
      </c>
      <c r="B86" s="8" t="s">
        <v>1562</v>
      </c>
      <c r="C86" s="7" t="s">
        <v>1454</v>
      </c>
      <c r="D86" s="7" t="s">
        <v>2</v>
      </c>
      <c r="E86" s="9">
        <v>44287</v>
      </c>
    </row>
    <row r="87" spans="1:5" x14ac:dyDescent="0.35">
      <c r="A87" s="7">
        <v>2121003</v>
      </c>
      <c r="B87" s="8" t="s">
        <v>1563</v>
      </c>
      <c r="C87" s="7" t="s">
        <v>1454</v>
      </c>
      <c r="D87" s="7" t="s">
        <v>2</v>
      </c>
      <c r="E87" s="9">
        <v>44287</v>
      </c>
    </row>
    <row r="88" spans="1:5" x14ac:dyDescent="0.35">
      <c r="A88" s="7">
        <v>2121004</v>
      </c>
      <c r="B88" s="8" t="s">
        <v>1564</v>
      </c>
      <c r="C88" s="7" t="s">
        <v>1454</v>
      </c>
      <c r="D88" s="7" t="s">
        <v>2</v>
      </c>
      <c r="E88" s="9">
        <v>44287</v>
      </c>
    </row>
    <row r="89" spans="1:5" x14ac:dyDescent="0.35">
      <c r="A89" s="7">
        <v>2122000</v>
      </c>
      <c r="B89" s="11" t="s">
        <v>1565</v>
      </c>
      <c r="C89" s="7" t="s">
        <v>0</v>
      </c>
      <c r="D89" s="7" t="s">
        <v>2</v>
      </c>
      <c r="E89" s="9">
        <v>44287</v>
      </c>
    </row>
    <row r="90" spans="1:5" x14ac:dyDescent="0.35">
      <c r="A90" s="7">
        <v>2122001</v>
      </c>
      <c r="B90" s="8" t="s">
        <v>1565</v>
      </c>
      <c r="C90" s="7" t="s">
        <v>1454</v>
      </c>
      <c r="D90" s="7" t="s">
        <v>2</v>
      </c>
      <c r="E90" s="9">
        <v>44287</v>
      </c>
    </row>
    <row r="91" spans="1:5" x14ac:dyDescent="0.35">
      <c r="A91" s="7">
        <v>2122002</v>
      </c>
      <c r="B91" s="8" t="s">
        <v>1566</v>
      </c>
      <c r="C91" s="7" t="s">
        <v>1454</v>
      </c>
      <c r="D91" s="7" t="s">
        <v>2</v>
      </c>
      <c r="E91" s="9">
        <v>44287</v>
      </c>
    </row>
    <row r="92" spans="1:5" x14ac:dyDescent="0.35">
      <c r="A92" s="7">
        <v>2122003</v>
      </c>
      <c r="B92" s="8" t="s">
        <v>1567</v>
      </c>
      <c r="C92" s="7" t="s">
        <v>1454</v>
      </c>
      <c r="D92" s="7" t="s">
        <v>2</v>
      </c>
      <c r="E92" s="9">
        <v>44287</v>
      </c>
    </row>
    <row r="93" spans="1:5" x14ac:dyDescent="0.35">
      <c r="A93" s="7">
        <v>2122004</v>
      </c>
      <c r="B93" s="8" t="s">
        <v>1568</v>
      </c>
      <c r="C93" s="7" t="s">
        <v>1454</v>
      </c>
      <c r="D93" s="7" t="s">
        <v>2</v>
      </c>
      <c r="E93" s="9">
        <v>44287</v>
      </c>
    </row>
    <row r="94" spans="1:5" x14ac:dyDescent="0.35">
      <c r="A94" s="7">
        <v>2123000</v>
      </c>
      <c r="B94" s="8" t="s">
        <v>1569</v>
      </c>
      <c r="C94" s="7" t="s">
        <v>0</v>
      </c>
      <c r="D94" s="7" t="s">
        <v>2</v>
      </c>
      <c r="E94" s="9">
        <v>44287</v>
      </c>
    </row>
    <row r="95" spans="1:5" x14ac:dyDescent="0.35">
      <c r="A95" s="7">
        <v>2123001</v>
      </c>
      <c r="B95" s="8" t="s">
        <v>1570</v>
      </c>
      <c r="C95" s="7" t="s">
        <v>1454</v>
      </c>
      <c r="D95" s="7" t="s">
        <v>2</v>
      </c>
      <c r="E95" s="9">
        <v>44287</v>
      </c>
    </row>
    <row r="96" spans="1:5" x14ac:dyDescent="0.35">
      <c r="A96" s="7">
        <v>2123002</v>
      </c>
      <c r="B96" s="8" t="s">
        <v>1571</v>
      </c>
      <c r="C96" s="7" t="s">
        <v>1454</v>
      </c>
      <c r="D96" s="7" t="s">
        <v>2</v>
      </c>
      <c r="E96" s="9">
        <v>44287</v>
      </c>
    </row>
    <row r="97" spans="1:5" x14ac:dyDescent="0.35">
      <c r="A97" s="7">
        <v>2123003</v>
      </c>
      <c r="B97" s="8" t="s">
        <v>1572</v>
      </c>
      <c r="C97" s="7" t="s">
        <v>1454</v>
      </c>
      <c r="D97" s="7" t="s">
        <v>2</v>
      </c>
      <c r="E97" s="9">
        <v>44287</v>
      </c>
    </row>
    <row r="98" spans="1:5" x14ac:dyDescent="0.35">
      <c r="A98" s="7">
        <v>2123004</v>
      </c>
      <c r="B98" s="8" t="s">
        <v>1463</v>
      </c>
      <c r="C98" s="7" t="s">
        <v>1454</v>
      </c>
      <c r="D98" s="7" t="s">
        <v>2</v>
      </c>
      <c r="E98" s="9">
        <v>44287</v>
      </c>
    </row>
    <row r="99" spans="1:5" x14ac:dyDescent="0.35">
      <c r="A99" s="7">
        <v>2123005</v>
      </c>
      <c r="B99" s="8" t="s">
        <v>1464</v>
      </c>
      <c r="C99" s="7" t="s">
        <v>1454</v>
      </c>
      <c r="D99" s="7" t="s">
        <v>2</v>
      </c>
      <c r="E99" s="9">
        <v>44287</v>
      </c>
    </row>
    <row r="100" spans="1:5" x14ac:dyDescent="0.35">
      <c r="A100" s="7">
        <v>2124000</v>
      </c>
      <c r="B100" s="8" t="s">
        <v>1573</v>
      </c>
      <c r="C100" s="7" t="s">
        <v>0</v>
      </c>
      <c r="D100" s="7" t="s">
        <v>2</v>
      </c>
      <c r="E100" s="9">
        <v>44287</v>
      </c>
    </row>
    <row r="101" spans="1:5" x14ac:dyDescent="0.35">
      <c r="A101" s="7">
        <v>2124001</v>
      </c>
      <c r="B101" s="8" t="s">
        <v>1465</v>
      </c>
      <c r="C101" s="7" t="s">
        <v>1454</v>
      </c>
      <c r="D101" s="7" t="s">
        <v>2</v>
      </c>
      <c r="E101" s="9">
        <v>44287</v>
      </c>
    </row>
    <row r="102" spans="1:5" x14ac:dyDescent="0.35">
      <c r="A102" s="7">
        <v>2124002</v>
      </c>
      <c r="B102" s="8" t="s">
        <v>1574</v>
      </c>
      <c r="C102" s="7" t="s">
        <v>1454</v>
      </c>
      <c r="D102" s="7" t="s">
        <v>2</v>
      </c>
      <c r="E102" s="9">
        <v>44287</v>
      </c>
    </row>
    <row r="103" spans="1:5" x14ac:dyDescent="0.35">
      <c r="A103" s="7">
        <v>2124003</v>
      </c>
      <c r="B103" s="8" t="s">
        <v>1575</v>
      </c>
      <c r="C103" s="7" t="s">
        <v>1454</v>
      </c>
      <c r="D103" s="7" t="s">
        <v>2</v>
      </c>
      <c r="E103" s="9">
        <v>44287</v>
      </c>
    </row>
    <row r="104" spans="1:5" x14ac:dyDescent="0.35">
      <c r="A104" s="7">
        <v>2124004</v>
      </c>
      <c r="B104" s="8" t="s">
        <v>1576</v>
      </c>
      <c r="C104" s="7" t="s">
        <v>1454</v>
      </c>
      <c r="D104" s="7" t="s">
        <v>2</v>
      </c>
      <c r="E104" s="9">
        <v>44287</v>
      </c>
    </row>
    <row r="105" spans="1:5" x14ac:dyDescent="0.35">
      <c r="A105" s="7">
        <v>2124005</v>
      </c>
      <c r="B105" s="8" t="s">
        <v>1577</v>
      </c>
      <c r="C105" s="7" t="s">
        <v>1454</v>
      </c>
      <c r="D105" s="7" t="s">
        <v>2</v>
      </c>
      <c r="E105" s="9">
        <v>44287</v>
      </c>
    </row>
    <row r="106" spans="1:5" x14ac:dyDescent="0.35">
      <c r="A106" s="7">
        <v>2124006</v>
      </c>
      <c r="B106" s="8" t="s">
        <v>1578</v>
      </c>
      <c r="C106" s="7" t="s">
        <v>1454</v>
      </c>
      <c r="D106" s="7" t="s">
        <v>2</v>
      </c>
      <c r="E106" s="9">
        <v>44287</v>
      </c>
    </row>
    <row r="107" spans="1:5" x14ac:dyDescent="0.35">
      <c r="A107" s="7">
        <v>2124007</v>
      </c>
      <c r="B107" s="8" t="s">
        <v>1579</v>
      </c>
      <c r="C107" s="7" t="s">
        <v>1454</v>
      </c>
      <c r="D107" s="7" t="s">
        <v>2</v>
      </c>
      <c r="E107" s="9">
        <v>44287</v>
      </c>
    </row>
    <row r="108" spans="1:5" x14ac:dyDescent="0.35">
      <c r="A108" s="7">
        <v>2124008</v>
      </c>
      <c r="B108" s="8" t="s">
        <v>1580</v>
      </c>
      <c r="C108" s="7" t="s">
        <v>1454</v>
      </c>
      <c r="D108" s="7" t="s">
        <v>2</v>
      </c>
      <c r="E108" s="9">
        <v>44287</v>
      </c>
    </row>
    <row r="109" spans="1:5" x14ac:dyDescent="0.35">
      <c r="A109" s="7">
        <v>2124009</v>
      </c>
      <c r="B109" s="11" t="s">
        <v>1581</v>
      </c>
      <c r="C109" s="7" t="s">
        <v>1454</v>
      </c>
      <c r="D109" s="7" t="s">
        <v>2</v>
      </c>
      <c r="E109" s="14">
        <v>44287</v>
      </c>
    </row>
    <row r="110" spans="1:5" x14ac:dyDescent="0.35">
      <c r="A110" s="7">
        <v>2124010</v>
      </c>
      <c r="B110" s="11" t="s">
        <v>1582</v>
      </c>
      <c r="C110" s="7" t="s">
        <v>1454</v>
      </c>
      <c r="D110" s="7" t="s">
        <v>2</v>
      </c>
      <c r="E110" s="14">
        <v>44287</v>
      </c>
    </row>
    <row r="111" spans="1:5" x14ac:dyDescent="0.35">
      <c r="A111" s="7">
        <v>2130000</v>
      </c>
      <c r="B111" s="8" t="s">
        <v>1583</v>
      </c>
      <c r="C111" s="7" t="s">
        <v>1453</v>
      </c>
      <c r="D111" s="7" t="s">
        <v>2</v>
      </c>
      <c r="E111" s="9">
        <v>44287</v>
      </c>
    </row>
    <row r="112" spans="1:5" x14ac:dyDescent="0.35">
      <c r="A112" s="7">
        <v>2131000</v>
      </c>
      <c r="B112" s="8" t="s">
        <v>1584</v>
      </c>
      <c r="C112" s="7" t="s">
        <v>0</v>
      </c>
      <c r="D112" s="7" t="s">
        <v>2</v>
      </c>
      <c r="E112" s="9">
        <v>44287</v>
      </c>
    </row>
    <row r="113" spans="1:5" x14ac:dyDescent="0.35">
      <c r="A113" s="7">
        <v>2131001</v>
      </c>
      <c r="B113" s="8" t="s">
        <v>1585</v>
      </c>
      <c r="C113" s="7" t="s">
        <v>1454</v>
      </c>
      <c r="D113" s="7" t="s">
        <v>2</v>
      </c>
      <c r="E113" s="9">
        <v>44287</v>
      </c>
    </row>
    <row r="114" spans="1:5" x14ac:dyDescent="0.35">
      <c r="A114" s="7">
        <v>2131002</v>
      </c>
      <c r="B114" s="8" t="s">
        <v>1586</v>
      </c>
      <c r="C114" s="7" t="s">
        <v>1454</v>
      </c>
      <c r="D114" s="7" t="s">
        <v>2</v>
      </c>
      <c r="E114" s="9">
        <v>44287</v>
      </c>
    </row>
    <row r="115" spans="1:5" x14ac:dyDescent="0.35">
      <c r="A115" s="7">
        <v>2131003</v>
      </c>
      <c r="B115" s="8" t="s">
        <v>1587</v>
      </c>
      <c r="C115" s="7" t="s">
        <v>1454</v>
      </c>
      <c r="D115" s="7" t="s">
        <v>2</v>
      </c>
      <c r="E115" s="9">
        <v>44287</v>
      </c>
    </row>
    <row r="116" spans="1:5" x14ac:dyDescent="0.35">
      <c r="A116" s="7">
        <v>2131004</v>
      </c>
      <c r="B116" s="8" t="s">
        <v>1588</v>
      </c>
      <c r="C116" s="7" t="s">
        <v>1454</v>
      </c>
      <c r="D116" s="7" t="s">
        <v>2</v>
      </c>
      <c r="E116" s="9">
        <v>44287</v>
      </c>
    </row>
    <row r="117" spans="1:5" x14ac:dyDescent="0.35">
      <c r="A117" s="7">
        <v>2131005</v>
      </c>
      <c r="B117" s="8" t="s">
        <v>1589</v>
      </c>
      <c r="C117" s="7" t="s">
        <v>1454</v>
      </c>
      <c r="D117" s="7" t="s">
        <v>2</v>
      </c>
      <c r="E117" s="9">
        <v>44287</v>
      </c>
    </row>
    <row r="118" spans="1:5" x14ac:dyDescent="0.35">
      <c r="A118" s="7">
        <v>2131006</v>
      </c>
      <c r="B118" s="8" t="s">
        <v>1590</v>
      </c>
      <c r="C118" s="7" t="s">
        <v>1454</v>
      </c>
      <c r="D118" s="7" t="s">
        <v>2</v>
      </c>
      <c r="E118" s="9">
        <v>44287</v>
      </c>
    </row>
    <row r="119" spans="1:5" x14ac:dyDescent="0.35">
      <c r="A119" s="7">
        <v>2140000</v>
      </c>
      <c r="B119" s="8" t="s">
        <v>1591</v>
      </c>
      <c r="C119" s="7" t="s">
        <v>1453</v>
      </c>
      <c r="D119" s="7" t="s">
        <v>2</v>
      </c>
      <c r="E119" s="9">
        <v>44287</v>
      </c>
    </row>
    <row r="120" spans="1:5" x14ac:dyDescent="0.35">
      <c r="A120" s="7">
        <v>2141000</v>
      </c>
      <c r="B120" s="8" t="s">
        <v>1592</v>
      </c>
      <c r="C120" s="7" t="s">
        <v>0</v>
      </c>
      <c r="D120" s="7" t="s">
        <v>2</v>
      </c>
      <c r="E120" s="9">
        <v>44287</v>
      </c>
    </row>
    <row r="121" spans="1:5" x14ac:dyDescent="0.35">
      <c r="A121" s="7">
        <v>2141001</v>
      </c>
      <c r="B121" s="8" t="s">
        <v>1593</v>
      </c>
      <c r="C121" s="7" t="s">
        <v>1454</v>
      </c>
      <c r="D121" s="7" t="s">
        <v>2</v>
      </c>
      <c r="E121" s="9">
        <v>44287</v>
      </c>
    </row>
    <row r="122" spans="1:5" x14ac:dyDescent="0.35">
      <c r="A122" s="7">
        <v>2141002</v>
      </c>
      <c r="B122" s="8" t="s">
        <v>1594</v>
      </c>
      <c r="C122" s="7" t="s">
        <v>1454</v>
      </c>
      <c r="D122" s="7" t="s">
        <v>2</v>
      </c>
      <c r="E122" s="9">
        <v>44287</v>
      </c>
    </row>
    <row r="123" spans="1:5" x14ac:dyDescent="0.35">
      <c r="A123" s="7">
        <v>2141003</v>
      </c>
      <c r="B123" s="8" t="s">
        <v>1595</v>
      </c>
      <c r="C123" s="7" t="s">
        <v>1454</v>
      </c>
      <c r="D123" s="7" t="s">
        <v>2</v>
      </c>
      <c r="E123" s="9">
        <v>44287</v>
      </c>
    </row>
    <row r="124" spans="1:5" x14ac:dyDescent="0.35">
      <c r="A124" s="7">
        <v>2141004</v>
      </c>
      <c r="B124" s="8" t="s">
        <v>1596</v>
      </c>
      <c r="C124" s="7" t="s">
        <v>1454</v>
      </c>
      <c r="D124" s="7" t="s">
        <v>2</v>
      </c>
      <c r="E124" s="9">
        <v>44287</v>
      </c>
    </row>
    <row r="125" spans="1:5" x14ac:dyDescent="0.35">
      <c r="A125" s="7">
        <v>2160000</v>
      </c>
      <c r="B125" s="8" t="s">
        <v>1597</v>
      </c>
      <c r="C125" s="7" t="s">
        <v>1453</v>
      </c>
      <c r="D125" s="7" t="s">
        <v>2</v>
      </c>
      <c r="E125" s="9">
        <v>44287</v>
      </c>
    </row>
    <row r="126" spans="1:5" x14ac:dyDescent="0.35">
      <c r="A126" s="7">
        <v>2161000</v>
      </c>
      <c r="B126" s="11" t="s">
        <v>1598</v>
      </c>
      <c r="C126" s="7" t="s">
        <v>0</v>
      </c>
      <c r="D126" s="7" t="s">
        <v>2</v>
      </c>
      <c r="E126" s="9">
        <v>44287</v>
      </c>
    </row>
    <row r="127" spans="1:5" x14ac:dyDescent="0.35">
      <c r="A127" s="7">
        <v>2161001</v>
      </c>
      <c r="B127" s="8" t="s">
        <v>1598</v>
      </c>
      <c r="C127" s="7" t="s">
        <v>1454</v>
      </c>
      <c r="D127" s="7" t="s">
        <v>2</v>
      </c>
      <c r="E127" s="9">
        <v>44287</v>
      </c>
    </row>
    <row r="128" spans="1:5" x14ac:dyDescent="0.35">
      <c r="A128" s="7">
        <v>2161002</v>
      </c>
      <c r="B128" s="8" t="s">
        <v>1466</v>
      </c>
      <c r="C128" s="7" t="s">
        <v>1454</v>
      </c>
      <c r="D128" s="7" t="s">
        <v>2</v>
      </c>
      <c r="E128" s="9">
        <v>44287</v>
      </c>
    </row>
    <row r="129" spans="1:5" x14ac:dyDescent="0.35">
      <c r="A129" s="7">
        <v>2161003</v>
      </c>
      <c r="B129" s="8" t="s">
        <v>1467</v>
      </c>
      <c r="C129" s="7" t="s">
        <v>1454</v>
      </c>
      <c r="D129" s="7" t="s">
        <v>2</v>
      </c>
      <c r="E129" s="9">
        <v>44287</v>
      </c>
    </row>
    <row r="130" spans="1:5" x14ac:dyDescent="0.35">
      <c r="A130" s="7">
        <v>2161004</v>
      </c>
      <c r="B130" s="8" t="s">
        <v>1599</v>
      </c>
      <c r="C130" s="7" t="s">
        <v>1454</v>
      </c>
      <c r="D130" s="7" t="s">
        <v>2</v>
      </c>
      <c r="E130" s="9">
        <v>44287</v>
      </c>
    </row>
    <row r="131" spans="1:5" x14ac:dyDescent="0.35">
      <c r="A131" s="7">
        <v>2161005</v>
      </c>
      <c r="B131" s="8" t="s">
        <v>1600</v>
      </c>
      <c r="C131" s="7" t="s">
        <v>1454</v>
      </c>
      <c r="D131" s="7" t="s">
        <v>2</v>
      </c>
      <c r="E131" s="9">
        <v>44287</v>
      </c>
    </row>
    <row r="132" spans="1:5" x14ac:dyDescent="0.35">
      <c r="A132" s="7">
        <v>2161006</v>
      </c>
      <c r="B132" s="8" t="s">
        <v>1601</v>
      </c>
      <c r="C132" s="7" t="s">
        <v>1454</v>
      </c>
      <c r="D132" s="7" t="s">
        <v>2</v>
      </c>
      <c r="E132" s="9">
        <v>44287</v>
      </c>
    </row>
    <row r="133" spans="1:5" x14ac:dyDescent="0.35">
      <c r="A133" s="7">
        <v>2200000</v>
      </c>
      <c r="B133" s="8" t="s">
        <v>1602</v>
      </c>
      <c r="C133" s="7" t="s">
        <v>1452</v>
      </c>
      <c r="D133" s="7" t="s">
        <v>2</v>
      </c>
      <c r="E133" s="9">
        <v>44287</v>
      </c>
    </row>
    <row r="134" spans="1:5" x14ac:dyDescent="0.35">
      <c r="A134" s="7">
        <v>2222000</v>
      </c>
      <c r="B134" s="8" t="s">
        <v>1603</v>
      </c>
      <c r="C134" s="7" t="s">
        <v>0</v>
      </c>
      <c r="D134" s="7" t="s">
        <v>2</v>
      </c>
      <c r="E134" s="9">
        <v>44287</v>
      </c>
    </row>
    <row r="135" spans="1:5" x14ac:dyDescent="0.35">
      <c r="A135" s="7">
        <v>2222001</v>
      </c>
      <c r="B135" s="8" t="s">
        <v>1554</v>
      </c>
      <c r="C135" s="7" t="s">
        <v>1454</v>
      </c>
      <c r="D135" s="7" t="s">
        <v>2</v>
      </c>
      <c r="E135" s="9">
        <v>44287</v>
      </c>
    </row>
    <row r="136" spans="1:5" x14ac:dyDescent="0.35">
      <c r="A136" s="7">
        <v>2222002</v>
      </c>
      <c r="B136" s="8" t="s">
        <v>1555</v>
      </c>
      <c r="C136" s="7" t="s">
        <v>1454</v>
      </c>
      <c r="D136" s="7" t="s">
        <v>2</v>
      </c>
      <c r="E136" s="9">
        <v>44287</v>
      </c>
    </row>
    <row r="137" spans="1:5" x14ac:dyDescent="0.35">
      <c r="A137" s="7">
        <v>2230000</v>
      </c>
      <c r="B137" s="8" t="s">
        <v>1604</v>
      </c>
      <c r="C137" s="7" t="s">
        <v>1453</v>
      </c>
      <c r="D137" s="7" t="s">
        <v>2</v>
      </c>
      <c r="E137" s="9">
        <v>44287</v>
      </c>
    </row>
    <row r="138" spans="1:5" x14ac:dyDescent="0.35">
      <c r="A138" s="7">
        <v>2231000</v>
      </c>
      <c r="B138" s="11" t="s">
        <v>1605</v>
      </c>
      <c r="C138" s="7" t="s">
        <v>0</v>
      </c>
      <c r="D138" s="7" t="s">
        <v>2</v>
      </c>
      <c r="E138" s="9">
        <v>44287</v>
      </c>
    </row>
    <row r="139" spans="1:5" x14ac:dyDescent="0.35">
      <c r="A139" s="7">
        <v>2231001</v>
      </c>
      <c r="B139" s="8" t="s">
        <v>1535</v>
      </c>
      <c r="C139" s="7" t="s">
        <v>1454</v>
      </c>
      <c r="D139" s="7" t="s">
        <v>2</v>
      </c>
      <c r="E139" s="9">
        <v>44287</v>
      </c>
    </row>
    <row r="140" spans="1:5" x14ac:dyDescent="0.35">
      <c r="A140" s="7">
        <v>2240000</v>
      </c>
      <c r="B140" s="8" t="s">
        <v>1606</v>
      </c>
      <c r="C140" s="7" t="s">
        <v>1453</v>
      </c>
      <c r="D140" s="7" t="s">
        <v>2</v>
      </c>
      <c r="E140" s="9">
        <v>44287</v>
      </c>
    </row>
    <row r="141" spans="1:5" x14ac:dyDescent="0.35">
      <c r="A141" s="7">
        <v>2241000</v>
      </c>
      <c r="B141" s="11" t="s">
        <v>1607</v>
      </c>
      <c r="C141" s="7" t="s">
        <v>0</v>
      </c>
      <c r="D141" s="7" t="s">
        <v>2</v>
      </c>
      <c r="E141" s="9">
        <v>44287</v>
      </c>
    </row>
    <row r="142" spans="1:5" x14ac:dyDescent="0.35">
      <c r="A142" s="7">
        <v>2241001</v>
      </c>
      <c r="B142" s="8" t="s">
        <v>1607</v>
      </c>
      <c r="C142" s="7" t="s">
        <v>1454</v>
      </c>
      <c r="D142" s="7" t="s">
        <v>2</v>
      </c>
      <c r="E142" s="9">
        <v>44287</v>
      </c>
    </row>
    <row r="143" spans="1:5" x14ac:dyDescent="0.35">
      <c r="A143" s="7">
        <v>2241002</v>
      </c>
      <c r="B143" s="8" t="s">
        <v>1309</v>
      </c>
      <c r="C143" s="7" t="s">
        <v>1454</v>
      </c>
      <c r="D143" s="7" t="s">
        <v>2</v>
      </c>
      <c r="E143" s="9">
        <v>44287</v>
      </c>
    </row>
    <row r="144" spans="1:5" x14ac:dyDescent="0.35">
      <c r="A144" s="7">
        <v>2241003</v>
      </c>
      <c r="B144" s="8" t="s">
        <v>1608</v>
      </c>
      <c r="C144" s="7" t="s">
        <v>1454</v>
      </c>
      <c r="D144" s="7" t="s">
        <v>2</v>
      </c>
      <c r="E144" s="9">
        <v>44287</v>
      </c>
    </row>
    <row r="145" spans="1:5" x14ac:dyDescent="0.35">
      <c r="A145" s="7">
        <v>2241004</v>
      </c>
      <c r="B145" s="8" t="s">
        <v>1468</v>
      </c>
      <c r="C145" s="7" t="s">
        <v>1454</v>
      </c>
      <c r="D145" s="7" t="s">
        <v>2</v>
      </c>
      <c r="E145" s="9">
        <v>44287</v>
      </c>
    </row>
    <row r="146" spans="1:5" x14ac:dyDescent="0.35">
      <c r="A146" s="7">
        <v>2250000</v>
      </c>
      <c r="B146" s="8" t="s">
        <v>1609</v>
      </c>
      <c r="C146" s="7" t="s">
        <v>1453</v>
      </c>
      <c r="D146" s="7" t="s">
        <v>2</v>
      </c>
      <c r="E146" s="9">
        <v>44287</v>
      </c>
    </row>
    <row r="147" spans="1:5" x14ac:dyDescent="0.35">
      <c r="A147" s="7">
        <v>2251000</v>
      </c>
      <c r="B147" s="8" t="s">
        <v>1610</v>
      </c>
      <c r="C147" s="7" t="s">
        <v>0</v>
      </c>
      <c r="D147" s="7" t="s">
        <v>2</v>
      </c>
      <c r="E147" s="9">
        <v>44287</v>
      </c>
    </row>
    <row r="148" spans="1:5" x14ac:dyDescent="0.35">
      <c r="A148" s="7">
        <v>2251001</v>
      </c>
      <c r="B148" s="8" t="s">
        <v>1611</v>
      </c>
      <c r="C148" s="7" t="s">
        <v>1454</v>
      </c>
      <c r="D148" s="7" t="s">
        <v>2</v>
      </c>
      <c r="E148" s="9">
        <v>44287</v>
      </c>
    </row>
    <row r="149" spans="1:5" x14ac:dyDescent="0.35">
      <c r="A149" s="7">
        <v>2251002</v>
      </c>
      <c r="B149" s="8" t="s">
        <v>1612</v>
      </c>
      <c r="C149" s="7" t="s">
        <v>1454</v>
      </c>
      <c r="D149" s="7" t="s">
        <v>2</v>
      </c>
      <c r="E149" s="9">
        <v>44287</v>
      </c>
    </row>
    <row r="150" spans="1:5" x14ac:dyDescent="0.35">
      <c r="A150" s="7">
        <v>2251003</v>
      </c>
      <c r="B150" s="8" t="s">
        <v>1613</v>
      </c>
      <c r="C150" s="7" t="s">
        <v>1454</v>
      </c>
      <c r="D150" s="7" t="s">
        <v>2</v>
      </c>
      <c r="E150" s="9">
        <v>44287</v>
      </c>
    </row>
    <row r="151" spans="1:5" x14ac:dyDescent="0.35">
      <c r="A151" s="7">
        <v>3000000</v>
      </c>
      <c r="B151" s="8" t="s">
        <v>1614</v>
      </c>
      <c r="C151" s="7" t="s">
        <v>1451</v>
      </c>
      <c r="D151" s="7" t="s">
        <v>3</v>
      </c>
      <c r="E151" s="9">
        <v>44287</v>
      </c>
    </row>
    <row r="152" spans="1:5" x14ac:dyDescent="0.35">
      <c r="A152" s="7">
        <v>3100000</v>
      </c>
      <c r="B152" s="8" t="s">
        <v>1615</v>
      </c>
      <c r="C152" s="7" t="s">
        <v>1452</v>
      </c>
      <c r="D152" s="7" t="s">
        <v>3</v>
      </c>
      <c r="E152" s="9">
        <v>44287</v>
      </c>
    </row>
    <row r="153" spans="1:5" x14ac:dyDescent="0.35">
      <c r="A153" s="7">
        <v>3120000</v>
      </c>
      <c r="B153" s="8" t="s">
        <v>1616</v>
      </c>
      <c r="C153" s="7" t="s">
        <v>1453</v>
      </c>
      <c r="D153" s="7" t="s">
        <v>3</v>
      </c>
      <c r="E153" s="9">
        <v>44287</v>
      </c>
    </row>
    <row r="154" spans="1:5" x14ac:dyDescent="0.35">
      <c r="A154" s="7">
        <v>3121000</v>
      </c>
      <c r="B154" s="8" t="s">
        <v>1616</v>
      </c>
      <c r="C154" s="7" t="s">
        <v>0</v>
      </c>
      <c r="D154" s="7" t="s">
        <v>3</v>
      </c>
      <c r="E154" s="9">
        <v>44287</v>
      </c>
    </row>
    <row r="155" spans="1:5" x14ac:dyDescent="0.35">
      <c r="A155" s="7">
        <v>3121001</v>
      </c>
      <c r="B155" s="8" t="s">
        <v>1469</v>
      </c>
      <c r="C155" s="7" t="s">
        <v>1454</v>
      </c>
      <c r="D155" s="7" t="s">
        <v>3</v>
      </c>
      <c r="E155" s="9">
        <v>44287</v>
      </c>
    </row>
    <row r="156" spans="1:5" x14ac:dyDescent="0.35">
      <c r="A156" s="7">
        <v>3121002</v>
      </c>
      <c r="B156" s="8" t="s">
        <v>1470</v>
      </c>
      <c r="C156" s="7" t="s">
        <v>1454</v>
      </c>
      <c r="D156" s="7" t="s">
        <v>3</v>
      </c>
      <c r="E156" s="9">
        <v>44287</v>
      </c>
    </row>
    <row r="157" spans="1:5" x14ac:dyDescent="0.35">
      <c r="A157" s="7">
        <v>3121080</v>
      </c>
      <c r="B157" s="8" t="s">
        <v>1617</v>
      </c>
      <c r="C157" s="7" t="s">
        <v>1454</v>
      </c>
      <c r="D157" s="7" t="s">
        <v>3</v>
      </c>
      <c r="E157" s="9">
        <v>44287</v>
      </c>
    </row>
    <row r="158" spans="1:5" x14ac:dyDescent="0.35">
      <c r="A158" s="7">
        <v>3130000</v>
      </c>
      <c r="B158" s="11" t="s">
        <v>1618</v>
      </c>
      <c r="C158" s="7" t="s">
        <v>1453</v>
      </c>
      <c r="D158" s="7" t="s">
        <v>3</v>
      </c>
      <c r="E158" s="9">
        <v>44287</v>
      </c>
    </row>
    <row r="159" spans="1:5" x14ac:dyDescent="0.35">
      <c r="A159" s="7">
        <v>3131000</v>
      </c>
      <c r="B159" s="11" t="s">
        <v>1618</v>
      </c>
      <c r="C159" s="7" t="s">
        <v>0</v>
      </c>
      <c r="D159" s="7" t="s">
        <v>3</v>
      </c>
      <c r="E159" s="9">
        <v>44287</v>
      </c>
    </row>
    <row r="160" spans="1:5" x14ac:dyDescent="0.35">
      <c r="A160" s="7">
        <v>3131001</v>
      </c>
      <c r="B160" s="8" t="s">
        <v>42</v>
      </c>
      <c r="C160" s="7" t="s">
        <v>1454</v>
      </c>
      <c r="D160" s="7" t="s">
        <v>3</v>
      </c>
      <c r="E160" s="9">
        <v>44287</v>
      </c>
    </row>
    <row r="161" spans="1:5" x14ac:dyDescent="0.35">
      <c r="A161" s="7">
        <v>3131002</v>
      </c>
      <c r="B161" s="8" t="s">
        <v>1619</v>
      </c>
      <c r="C161" s="7" t="s">
        <v>1454</v>
      </c>
      <c r="D161" s="7" t="s">
        <v>3</v>
      </c>
      <c r="E161" s="9">
        <v>44287</v>
      </c>
    </row>
    <row r="162" spans="1:5" x14ac:dyDescent="0.35">
      <c r="A162" s="7">
        <v>3131003</v>
      </c>
      <c r="B162" s="8" t="s">
        <v>1471</v>
      </c>
      <c r="C162" s="7" t="s">
        <v>1454</v>
      </c>
      <c r="D162" s="7" t="s">
        <v>3</v>
      </c>
      <c r="E162" s="9">
        <v>44287</v>
      </c>
    </row>
    <row r="163" spans="1:5" x14ac:dyDescent="0.35">
      <c r="A163" s="7">
        <v>3131080</v>
      </c>
      <c r="B163" s="8" t="s">
        <v>1620</v>
      </c>
      <c r="C163" s="7" t="s">
        <v>1454</v>
      </c>
      <c r="D163" s="7" t="s">
        <v>3</v>
      </c>
      <c r="E163" s="9">
        <v>44287</v>
      </c>
    </row>
    <row r="164" spans="1:5" x14ac:dyDescent="0.35">
      <c r="A164" s="7">
        <v>3132000</v>
      </c>
      <c r="B164" s="8" t="s">
        <v>1471</v>
      </c>
      <c r="C164" s="7" t="s">
        <v>0</v>
      </c>
      <c r="D164" s="7" t="s">
        <v>3</v>
      </c>
      <c r="E164" s="9">
        <v>44287</v>
      </c>
    </row>
    <row r="165" spans="1:5" x14ac:dyDescent="0.35">
      <c r="A165" s="7">
        <v>3132001</v>
      </c>
      <c r="B165" s="8" t="s">
        <v>1621</v>
      </c>
      <c r="C165" s="7" t="s">
        <v>1454</v>
      </c>
      <c r="D165" s="7" t="s">
        <v>3</v>
      </c>
      <c r="E165" s="9">
        <v>44287</v>
      </c>
    </row>
    <row r="166" spans="1:5" x14ac:dyDescent="0.35">
      <c r="A166" s="7">
        <v>3132002</v>
      </c>
      <c r="B166" s="8" t="s">
        <v>1622</v>
      </c>
      <c r="C166" s="7" t="s">
        <v>1454</v>
      </c>
      <c r="D166" s="7" t="s">
        <v>3</v>
      </c>
      <c r="E166" s="9">
        <v>44287</v>
      </c>
    </row>
    <row r="167" spans="1:5" x14ac:dyDescent="0.35">
      <c r="A167" s="7">
        <v>3133000</v>
      </c>
      <c r="B167" s="8" t="s">
        <v>1623</v>
      </c>
      <c r="C167" s="7" t="s">
        <v>0</v>
      </c>
      <c r="D167" s="7" t="s">
        <v>3</v>
      </c>
      <c r="E167" s="9">
        <v>44287</v>
      </c>
    </row>
    <row r="168" spans="1:5" x14ac:dyDescent="0.35">
      <c r="A168" s="7">
        <v>3133001</v>
      </c>
      <c r="B168" s="8" t="s">
        <v>1624</v>
      </c>
      <c r="C168" s="7" t="s">
        <v>1454</v>
      </c>
      <c r="D168" s="7" t="s">
        <v>3</v>
      </c>
      <c r="E168" s="9">
        <v>44287</v>
      </c>
    </row>
    <row r="169" spans="1:5" x14ac:dyDescent="0.35">
      <c r="A169" s="7">
        <v>3133002</v>
      </c>
      <c r="B169" s="8" t="s">
        <v>1625</v>
      </c>
      <c r="C169" s="7" t="s">
        <v>1454</v>
      </c>
      <c r="D169" s="7" t="s">
        <v>3</v>
      </c>
      <c r="E169" s="9">
        <v>44287</v>
      </c>
    </row>
    <row r="170" spans="1:5" x14ac:dyDescent="0.35">
      <c r="A170" s="7">
        <v>3133003</v>
      </c>
      <c r="B170" s="8" t="s">
        <v>1626</v>
      </c>
      <c r="C170" s="7" t="s">
        <v>1454</v>
      </c>
      <c r="D170" s="7" t="s">
        <v>3</v>
      </c>
      <c r="E170" s="9">
        <v>44287</v>
      </c>
    </row>
    <row r="171" spans="1:5" x14ac:dyDescent="0.35">
      <c r="A171" s="7">
        <v>3140000</v>
      </c>
      <c r="B171" s="11" t="s">
        <v>1472</v>
      </c>
      <c r="C171" s="7" t="s">
        <v>1453</v>
      </c>
      <c r="D171" s="7" t="s">
        <v>3</v>
      </c>
      <c r="E171" s="9">
        <v>44287</v>
      </c>
    </row>
    <row r="172" spans="1:5" x14ac:dyDescent="0.35">
      <c r="A172" s="7">
        <v>3141000</v>
      </c>
      <c r="B172" s="11" t="s">
        <v>1472</v>
      </c>
      <c r="C172" s="7" t="s">
        <v>0</v>
      </c>
      <c r="D172" s="7" t="s">
        <v>3</v>
      </c>
      <c r="E172" s="9">
        <v>44287</v>
      </c>
    </row>
    <row r="173" spans="1:5" x14ac:dyDescent="0.35">
      <c r="A173" s="7">
        <v>3141001</v>
      </c>
      <c r="B173" s="8" t="s">
        <v>1472</v>
      </c>
      <c r="C173" s="7" t="s">
        <v>1454</v>
      </c>
      <c r="D173" s="7" t="s">
        <v>3</v>
      </c>
      <c r="E173" s="9">
        <v>44287</v>
      </c>
    </row>
    <row r="174" spans="1:5" x14ac:dyDescent="0.35">
      <c r="A174" s="7">
        <v>3141002</v>
      </c>
      <c r="B174" s="8" t="s">
        <v>1473</v>
      </c>
      <c r="C174" s="7" t="s">
        <v>1454</v>
      </c>
      <c r="D174" s="7" t="s">
        <v>3</v>
      </c>
      <c r="E174" s="9">
        <v>44287</v>
      </c>
    </row>
    <row r="175" spans="1:5" x14ac:dyDescent="0.35">
      <c r="A175" s="7">
        <v>3141003</v>
      </c>
      <c r="B175" s="8" t="s">
        <v>1627</v>
      </c>
      <c r="C175" s="7" t="s">
        <v>1454</v>
      </c>
      <c r="D175" s="7" t="s">
        <v>3</v>
      </c>
      <c r="E175" s="9">
        <v>44287</v>
      </c>
    </row>
    <row r="176" spans="1:5" x14ac:dyDescent="0.35">
      <c r="A176" s="7">
        <v>3141080</v>
      </c>
      <c r="B176" s="8" t="s">
        <v>1628</v>
      </c>
      <c r="C176" s="7" t="s">
        <v>1454</v>
      </c>
      <c r="D176" s="7" t="s">
        <v>3</v>
      </c>
      <c r="E176" s="9">
        <v>44287</v>
      </c>
    </row>
    <row r="177" spans="1:5" x14ac:dyDescent="0.35">
      <c r="A177" s="7">
        <v>4000000</v>
      </c>
      <c r="B177" s="8" t="s">
        <v>1424</v>
      </c>
      <c r="C177" s="7" t="s">
        <v>1451</v>
      </c>
      <c r="D177" s="7" t="s">
        <v>4</v>
      </c>
      <c r="E177" s="9">
        <v>44287</v>
      </c>
    </row>
    <row r="178" spans="1:5" x14ac:dyDescent="0.35">
      <c r="A178" s="7">
        <v>4100000</v>
      </c>
      <c r="B178" s="8" t="s">
        <v>1424</v>
      </c>
      <c r="C178" s="7" t="s">
        <v>1452</v>
      </c>
      <c r="D178" s="7" t="s">
        <v>4</v>
      </c>
      <c r="E178" s="9">
        <v>44287</v>
      </c>
    </row>
    <row r="179" spans="1:5" x14ac:dyDescent="0.35">
      <c r="A179" s="7">
        <v>4110000</v>
      </c>
      <c r="B179" s="8" t="s">
        <v>1629</v>
      </c>
      <c r="C179" s="7" t="s">
        <v>1453</v>
      </c>
      <c r="D179" s="7" t="s">
        <v>4</v>
      </c>
      <c r="E179" s="9">
        <v>44287</v>
      </c>
    </row>
    <row r="180" spans="1:5" x14ac:dyDescent="0.35">
      <c r="A180" s="7">
        <v>4112000</v>
      </c>
      <c r="B180" s="8" t="s">
        <v>1630</v>
      </c>
      <c r="C180" s="7" t="s">
        <v>0</v>
      </c>
      <c r="D180" s="7" t="s">
        <v>4</v>
      </c>
      <c r="E180" s="9">
        <v>44287</v>
      </c>
    </row>
    <row r="181" spans="1:5" x14ac:dyDescent="0.35">
      <c r="A181" s="7">
        <v>4112003</v>
      </c>
      <c r="B181" s="8" t="s">
        <v>1631</v>
      </c>
      <c r="C181" s="7" t="s">
        <v>1454</v>
      </c>
      <c r="D181" s="7" t="s">
        <v>4</v>
      </c>
      <c r="E181" s="9">
        <v>44287</v>
      </c>
    </row>
    <row r="182" spans="1:5" x14ac:dyDescent="0.35">
      <c r="A182" s="7">
        <v>4112004</v>
      </c>
      <c r="B182" s="8" t="s">
        <v>1632</v>
      </c>
      <c r="C182" s="7" t="s">
        <v>1454</v>
      </c>
      <c r="D182" s="7" t="s">
        <v>4</v>
      </c>
      <c r="E182" s="9">
        <v>44287</v>
      </c>
    </row>
    <row r="183" spans="1:5" x14ac:dyDescent="0.35">
      <c r="A183" s="7">
        <v>4112005</v>
      </c>
      <c r="B183" s="8" t="s">
        <v>141</v>
      </c>
      <c r="C183" s="7" t="s">
        <v>1454</v>
      </c>
      <c r="D183" s="7" t="s">
        <v>4</v>
      </c>
      <c r="E183" s="9">
        <v>44287</v>
      </c>
    </row>
    <row r="184" spans="1:5" x14ac:dyDescent="0.35">
      <c r="A184" s="7">
        <v>4112080</v>
      </c>
      <c r="B184" s="8" t="s">
        <v>1633</v>
      </c>
      <c r="C184" s="7" t="s">
        <v>1454</v>
      </c>
      <c r="D184" s="7" t="s">
        <v>4</v>
      </c>
      <c r="E184" s="9">
        <v>44287</v>
      </c>
    </row>
    <row r="185" spans="1:5" x14ac:dyDescent="0.35">
      <c r="A185" s="7">
        <v>4130000</v>
      </c>
      <c r="B185" s="8" t="s">
        <v>1634</v>
      </c>
      <c r="C185" s="7" t="s">
        <v>1453</v>
      </c>
      <c r="D185" s="7" t="s">
        <v>4</v>
      </c>
      <c r="E185" s="9">
        <v>44287</v>
      </c>
    </row>
    <row r="186" spans="1:5" x14ac:dyDescent="0.35">
      <c r="A186" s="7">
        <v>4131000</v>
      </c>
      <c r="B186" s="8" t="s">
        <v>1634</v>
      </c>
      <c r="C186" s="7" t="s">
        <v>0</v>
      </c>
      <c r="D186" s="7" t="s">
        <v>4</v>
      </c>
      <c r="E186" s="9">
        <v>44287</v>
      </c>
    </row>
    <row r="187" spans="1:5" x14ac:dyDescent="0.35">
      <c r="A187" s="7">
        <v>4131001</v>
      </c>
      <c r="B187" s="8" t="s">
        <v>1635</v>
      </c>
      <c r="C187" s="7" t="s">
        <v>1454</v>
      </c>
      <c r="D187" s="7" t="s">
        <v>4</v>
      </c>
      <c r="E187" s="9">
        <v>44287</v>
      </c>
    </row>
    <row r="188" spans="1:5" x14ac:dyDescent="0.35">
      <c r="A188" s="7">
        <v>4131003</v>
      </c>
      <c r="B188" s="8" t="s">
        <v>1636</v>
      </c>
      <c r="C188" s="7" t="s">
        <v>1454</v>
      </c>
      <c r="D188" s="7" t="s">
        <v>4</v>
      </c>
      <c r="E188" s="9">
        <v>44287</v>
      </c>
    </row>
    <row r="189" spans="1:5" x14ac:dyDescent="0.35">
      <c r="A189" s="7">
        <v>4140000</v>
      </c>
      <c r="B189" s="8" t="s">
        <v>1437</v>
      </c>
      <c r="C189" s="7" t="s">
        <v>1453</v>
      </c>
      <c r="D189" s="7" t="s">
        <v>4</v>
      </c>
      <c r="E189" s="9">
        <v>44287</v>
      </c>
    </row>
    <row r="190" spans="1:5" x14ac:dyDescent="0.35">
      <c r="A190" s="7">
        <v>4141000</v>
      </c>
      <c r="B190" s="8" t="s">
        <v>1437</v>
      </c>
      <c r="C190" s="7" t="s">
        <v>0</v>
      </c>
      <c r="D190" s="7" t="s">
        <v>4</v>
      </c>
      <c r="E190" s="9">
        <v>44287</v>
      </c>
    </row>
    <row r="191" spans="1:5" x14ac:dyDescent="0.35">
      <c r="A191" s="7">
        <v>4141001</v>
      </c>
      <c r="B191" s="8" t="s">
        <v>1637</v>
      </c>
      <c r="C191" s="7" t="s">
        <v>1454</v>
      </c>
      <c r="D191" s="7" t="s">
        <v>4</v>
      </c>
      <c r="E191" s="9">
        <v>44287</v>
      </c>
    </row>
    <row r="192" spans="1:5" x14ac:dyDescent="0.35">
      <c r="A192" s="7">
        <v>4141002</v>
      </c>
      <c r="B192" s="8" t="s">
        <v>1638</v>
      </c>
      <c r="C192" s="7" t="s">
        <v>1454</v>
      </c>
      <c r="D192" s="7" t="s">
        <v>4</v>
      </c>
      <c r="E192" s="9">
        <v>44287</v>
      </c>
    </row>
    <row r="193" spans="1:5" x14ac:dyDescent="0.35">
      <c r="A193" s="7">
        <v>4141003</v>
      </c>
      <c r="B193" s="8" t="s">
        <v>141</v>
      </c>
      <c r="C193" s="7" t="s">
        <v>1454</v>
      </c>
      <c r="D193" s="7" t="s">
        <v>4</v>
      </c>
      <c r="E193" s="9">
        <v>44287</v>
      </c>
    </row>
    <row r="194" spans="1:5" x14ac:dyDescent="0.35">
      <c r="A194" s="10">
        <v>4141080</v>
      </c>
      <c r="B194" s="11" t="s">
        <v>1639</v>
      </c>
      <c r="C194" s="10" t="s">
        <v>1454</v>
      </c>
      <c r="D194" s="10" t="s">
        <v>4</v>
      </c>
      <c r="E194" s="15">
        <v>44287</v>
      </c>
    </row>
    <row r="195" spans="1:5" x14ac:dyDescent="0.35">
      <c r="A195" s="7">
        <v>5000000</v>
      </c>
      <c r="B195" s="8" t="s">
        <v>1640</v>
      </c>
      <c r="C195" s="7" t="s">
        <v>1451</v>
      </c>
      <c r="D195" s="7" t="s">
        <v>5</v>
      </c>
      <c r="E195" s="9">
        <v>44287</v>
      </c>
    </row>
    <row r="196" spans="1:5" x14ac:dyDescent="0.35">
      <c r="A196" s="7">
        <v>5100000</v>
      </c>
      <c r="B196" s="8" t="s">
        <v>1641</v>
      </c>
      <c r="C196" s="7" t="s">
        <v>1452</v>
      </c>
      <c r="D196" s="7" t="s">
        <v>5</v>
      </c>
      <c r="E196" s="9">
        <v>44287</v>
      </c>
    </row>
    <row r="197" spans="1:5" x14ac:dyDescent="0.35">
      <c r="A197" s="7">
        <v>5130000</v>
      </c>
      <c r="B197" s="8" t="s">
        <v>1642</v>
      </c>
      <c r="C197" s="7" t="s">
        <v>1453</v>
      </c>
      <c r="D197" s="7" t="s">
        <v>5</v>
      </c>
      <c r="E197" s="9">
        <v>44287</v>
      </c>
    </row>
    <row r="198" spans="1:5" x14ac:dyDescent="0.35">
      <c r="A198" s="7">
        <v>5131000</v>
      </c>
      <c r="B198" s="11" t="s">
        <v>1643</v>
      </c>
      <c r="C198" s="7" t="s">
        <v>0</v>
      </c>
      <c r="D198" s="7" t="s">
        <v>5</v>
      </c>
      <c r="E198" s="9">
        <v>44287</v>
      </c>
    </row>
    <row r="199" spans="1:5" x14ac:dyDescent="0.35">
      <c r="A199" s="7">
        <v>5131001</v>
      </c>
      <c r="B199" s="8" t="s">
        <v>86</v>
      </c>
      <c r="C199" s="7" t="s">
        <v>1454</v>
      </c>
      <c r="D199" s="7" t="s">
        <v>5</v>
      </c>
      <c r="E199" s="9">
        <v>44287</v>
      </c>
    </row>
    <row r="200" spans="1:5" x14ac:dyDescent="0.35">
      <c r="A200" s="7">
        <v>5131002</v>
      </c>
      <c r="B200" s="8" t="s">
        <v>1474</v>
      </c>
      <c r="C200" s="7" t="s">
        <v>1454</v>
      </c>
      <c r="D200" s="7" t="s">
        <v>5</v>
      </c>
      <c r="E200" s="9">
        <v>44287</v>
      </c>
    </row>
    <row r="201" spans="1:5" x14ac:dyDescent="0.35">
      <c r="A201" s="7">
        <v>5131003</v>
      </c>
      <c r="B201" s="8" t="s">
        <v>1644</v>
      </c>
      <c r="C201" s="7" t="s">
        <v>1454</v>
      </c>
      <c r="D201" s="7" t="s">
        <v>5</v>
      </c>
      <c r="E201" s="9">
        <v>44287</v>
      </c>
    </row>
    <row r="202" spans="1:5" x14ac:dyDescent="0.35">
      <c r="A202" s="7">
        <v>5131004</v>
      </c>
      <c r="B202" s="8" t="s">
        <v>1475</v>
      </c>
      <c r="C202" s="7" t="s">
        <v>1454</v>
      </c>
      <c r="D202" s="7" t="s">
        <v>5</v>
      </c>
      <c r="E202" s="9">
        <v>44287</v>
      </c>
    </row>
    <row r="203" spans="1:5" x14ac:dyDescent="0.35">
      <c r="A203" s="7">
        <v>5131005</v>
      </c>
      <c r="B203" s="8" t="s">
        <v>1645</v>
      </c>
      <c r="C203" s="7" t="s">
        <v>1454</v>
      </c>
      <c r="D203" s="7" t="s">
        <v>5</v>
      </c>
      <c r="E203" s="9">
        <v>44287</v>
      </c>
    </row>
    <row r="204" spans="1:5" x14ac:dyDescent="0.35">
      <c r="A204" s="7">
        <v>5131006</v>
      </c>
      <c r="B204" s="8" t="s">
        <v>125</v>
      </c>
      <c r="C204" s="7" t="s">
        <v>1454</v>
      </c>
      <c r="D204" s="7" t="s">
        <v>5</v>
      </c>
      <c r="E204" s="9">
        <v>44287</v>
      </c>
    </row>
    <row r="205" spans="1:5" x14ac:dyDescent="0.35">
      <c r="A205" s="7">
        <v>5131007</v>
      </c>
      <c r="B205" s="8" t="s">
        <v>1476</v>
      </c>
      <c r="C205" s="7" t="s">
        <v>1454</v>
      </c>
      <c r="D205" s="7" t="s">
        <v>5</v>
      </c>
      <c r="E205" s="9">
        <v>44287</v>
      </c>
    </row>
    <row r="206" spans="1:5" x14ac:dyDescent="0.35">
      <c r="A206" s="7">
        <v>5131008</v>
      </c>
      <c r="B206" s="8" t="s">
        <v>89</v>
      </c>
      <c r="C206" s="7" t="s">
        <v>1454</v>
      </c>
      <c r="D206" s="7" t="s">
        <v>5</v>
      </c>
      <c r="E206" s="9">
        <v>44287</v>
      </c>
    </row>
    <row r="207" spans="1:5" x14ac:dyDescent="0.35">
      <c r="A207" s="7">
        <v>5131009</v>
      </c>
      <c r="B207" s="8" t="s">
        <v>90</v>
      </c>
      <c r="C207" s="7" t="s">
        <v>1454</v>
      </c>
      <c r="D207" s="7" t="s">
        <v>5</v>
      </c>
      <c r="E207" s="9">
        <v>44287</v>
      </c>
    </row>
    <row r="208" spans="1:5" x14ac:dyDescent="0.35">
      <c r="A208" s="7">
        <v>5131010</v>
      </c>
      <c r="B208" s="8" t="s">
        <v>91</v>
      </c>
      <c r="C208" s="7" t="s">
        <v>1454</v>
      </c>
      <c r="D208" s="7" t="s">
        <v>5</v>
      </c>
      <c r="E208" s="9">
        <v>44287</v>
      </c>
    </row>
    <row r="209" spans="1:5" x14ac:dyDescent="0.35">
      <c r="A209" s="7">
        <v>5131011</v>
      </c>
      <c r="B209" s="8" t="s">
        <v>1646</v>
      </c>
      <c r="C209" s="7" t="s">
        <v>1454</v>
      </c>
      <c r="D209" s="7" t="s">
        <v>5</v>
      </c>
      <c r="E209" s="9">
        <v>44287</v>
      </c>
    </row>
    <row r="210" spans="1:5" x14ac:dyDescent="0.35">
      <c r="A210" s="7">
        <v>5131012</v>
      </c>
      <c r="B210" s="8" t="s">
        <v>1647</v>
      </c>
      <c r="C210" s="7" t="s">
        <v>1454</v>
      </c>
      <c r="D210" s="7" t="s">
        <v>5</v>
      </c>
      <c r="E210" s="9">
        <v>44287</v>
      </c>
    </row>
    <row r="211" spans="1:5" x14ac:dyDescent="0.35">
      <c r="A211" s="7">
        <v>5131013</v>
      </c>
      <c r="B211" s="8" t="s">
        <v>92</v>
      </c>
      <c r="C211" s="7" t="s">
        <v>1454</v>
      </c>
      <c r="D211" s="7" t="s">
        <v>5</v>
      </c>
      <c r="E211" s="9">
        <v>44287</v>
      </c>
    </row>
    <row r="212" spans="1:5" x14ac:dyDescent="0.35">
      <c r="A212" s="7">
        <v>5131014</v>
      </c>
      <c r="B212" s="8" t="s">
        <v>1648</v>
      </c>
      <c r="C212" s="7" t="s">
        <v>1454</v>
      </c>
      <c r="D212" s="7" t="s">
        <v>5</v>
      </c>
      <c r="E212" s="9">
        <v>44287</v>
      </c>
    </row>
    <row r="213" spans="1:5" x14ac:dyDescent="0.35">
      <c r="A213" s="7">
        <v>5131015</v>
      </c>
      <c r="B213" s="11" t="s">
        <v>1649</v>
      </c>
      <c r="C213" s="7" t="s">
        <v>1454</v>
      </c>
      <c r="D213" s="7" t="s">
        <v>5</v>
      </c>
      <c r="E213" s="9">
        <v>44287</v>
      </c>
    </row>
    <row r="214" spans="1:5" x14ac:dyDescent="0.35">
      <c r="A214" s="7">
        <v>5131016</v>
      </c>
      <c r="B214" s="11" t="s">
        <v>1650</v>
      </c>
      <c r="C214" s="7" t="s">
        <v>1454</v>
      </c>
      <c r="D214" s="7" t="s">
        <v>5</v>
      </c>
      <c r="E214" s="9">
        <v>44287</v>
      </c>
    </row>
    <row r="215" spans="1:5" x14ac:dyDescent="0.35">
      <c r="A215" s="7">
        <v>5131080</v>
      </c>
      <c r="B215" s="8" t="s">
        <v>1651</v>
      </c>
      <c r="C215" s="7" t="s">
        <v>1454</v>
      </c>
      <c r="D215" s="7" t="s">
        <v>5</v>
      </c>
      <c r="E215" s="9">
        <v>44287</v>
      </c>
    </row>
    <row r="216" spans="1:5" x14ac:dyDescent="0.35">
      <c r="A216" s="7">
        <v>5132000</v>
      </c>
      <c r="B216" s="11" t="s">
        <v>1652</v>
      </c>
      <c r="C216" s="7" t="s">
        <v>0</v>
      </c>
      <c r="D216" s="7" t="s">
        <v>5</v>
      </c>
      <c r="E216" s="9">
        <v>44287</v>
      </c>
    </row>
    <row r="217" spans="1:5" x14ac:dyDescent="0.35">
      <c r="A217" s="7">
        <v>5132001</v>
      </c>
      <c r="B217" s="8" t="s">
        <v>1477</v>
      </c>
      <c r="C217" s="7" t="s">
        <v>1454</v>
      </c>
      <c r="D217" s="7" t="s">
        <v>5</v>
      </c>
      <c r="E217" s="9">
        <v>44287</v>
      </c>
    </row>
    <row r="218" spans="1:5" x14ac:dyDescent="0.35">
      <c r="A218" s="7">
        <v>5132002</v>
      </c>
      <c r="B218" s="8" t="s">
        <v>115</v>
      </c>
      <c r="C218" s="7" t="s">
        <v>1454</v>
      </c>
      <c r="D218" s="7" t="s">
        <v>5</v>
      </c>
      <c r="E218" s="9">
        <v>44287</v>
      </c>
    </row>
    <row r="219" spans="1:5" x14ac:dyDescent="0.35">
      <c r="A219" s="7">
        <v>5132003</v>
      </c>
      <c r="B219" s="8" t="s">
        <v>1478</v>
      </c>
      <c r="C219" s="7" t="s">
        <v>1454</v>
      </c>
      <c r="D219" s="7" t="s">
        <v>5</v>
      </c>
      <c r="E219" s="9">
        <v>44287</v>
      </c>
    </row>
    <row r="220" spans="1:5" x14ac:dyDescent="0.35">
      <c r="A220" s="7">
        <v>5132004</v>
      </c>
      <c r="B220" s="8" t="s">
        <v>1479</v>
      </c>
      <c r="C220" s="7" t="s">
        <v>1454</v>
      </c>
      <c r="D220" s="7" t="s">
        <v>5</v>
      </c>
      <c r="E220" s="9">
        <v>44287</v>
      </c>
    </row>
    <row r="221" spans="1:5" x14ac:dyDescent="0.35">
      <c r="A221" s="7">
        <v>5132005</v>
      </c>
      <c r="B221" s="8" t="s">
        <v>1653</v>
      </c>
      <c r="C221" s="7" t="s">
        <v>1454</v>
      </c>
      <c r="D221" s="7" t="s">
        <v>5</v>
      </c>
      <c r="E221" s="9">
        <v>44287</v>
      </c>
    </row>
    <row r="222" spans="1:5" x14ac:dyDescent="0.35">
      <c r="A222" s="7">
        <v>5132006</v>
      </c>
      <c r="B222" s="8" t="s">
        <v>1654</v>
      </c>
      <c r="C222" s="7" t="s">
        <v>1454</v>
      </c>
      <c r="D222" s="7" t="s">
        <v>5</v>
      </c>
      <c r="E222" s="9">
        <v>44287</v>
      </c>
    </row>
    <row r="223" spans="1:5" x14ac:dyDescent="0.35">
      <c r="A223" s="7">
        <v>5132007</v>
      </c>
      <c r="B223" s="8" t="s">
        <v>1655</v>
      </c>
      <c r="C223" s="7" t="s">
        <v>1454</v>
      </c>
      <c r="D223" s="7" t="s">
        <v>5</v>
      </c>
      <c r="E223" s="9">
        <v>44287</v>
      </c>
    </row>
    <row r="224" spans="1:5" x14ac:dyDescent="0.35">
      <c r="A224" s="7">
        <v>5132008</v>
      </c>
      <c r="B224" s="8" t="s">
        <v>1656</v>
      </c>
      <c r="C224" s="7" t="s">
        <v>1454</v>
      </c>
      <c r="D224" s="7" t="s">
        <v>5</v>
      </c>
      <c r="E224" s="9">
        <v>44287</v>
      </c>
    </row>
    <row r="225" spans="1:5" x14ac:dyDescent="0.35">
      <c r="A225" s="7">
        <v>5132009</v>
      </c>
      <c r="B225" s="8" t="s">
        <v>1657</v>
      </c>
      <c r="C225" s="7" t="s">
        <v>1454</v>
      </c>
      <c r="D225" s="7" t="s">
        <v>5</v>
      </c>
      <c r="E225" s="9">
        <v>44287</v>
      </c>
    </row>
    <row r="226" spans="1:5" x14ac:dyDescent="0.35">
      <c r="A226" s="7">
        <v>5132010</v>
      </c>
      <c r="B226" s="8" t="s">
        <v>1658</v>
      </c>
      <c r="C226" s="7" t="s">
        <v>1454</v>
      </c>
      <c r="D226" s="7" t="s">
        <v>5</v>
      </c>
      <c r="E226" s="9">
        <v>44287</v>
      </c>
    </row>
    <row r="227" spans="1:5" x14ac:dyDescent="0.35">
      <c r="A227" s="7">
        <v>5132011</v>
      </c>
      <c r="B227" s="8" t="s">
        <v>1659</v>
      </c>
      <c r="C227" s="7" t="s">
        <v>1454</v>
      </c>
      <c r="D227" s="7" t="s">
        <v>5</v>
      </c>
      <c r="E227" s="9">
        <v>44287</v>
      </c>
    </row>
    <row r="228" spans="1:5" x14ac:dyDescent="0.35">
      <c r="A228" s="7">
        <v>5132012</v>
      </c>
      <c r="B228" s="8" t="s">
        <v>1660</v>
      </c>
      <c r="C228" s="7" t="s">
        <v>1454</v>
      </c>
      <c r="D228" s="7" t="s">
        <v>5</v>
      </c>
      <c r="E228" s="9">
        <v>44287</v>
      </c>
    </row>
    <row r="229" spans="1:5" x14ac:dyDescent="0.35">
      <c r="A229" s="7">
        <v>5132013</v>
      </c>
      <c r="B229" s="8" t="s">
        <v>1661</v>
      </c>
      <c r="C229" s="7" t="s">
        <v>1454</v>
      </c>
      <c r="D229" s="7" t="s">
        <v>5</v>
      </c>
      <c r="E229" s="9">
        <v>44287</v>
      </c>
    </row>
    <row r="230" spans="1:5" x14ac:dyDescent="0.35">
      <c r="A230" s="7">
        <v>5132014</v>
      </c>
      <c r="B230" s="8" t="s">
        <v>1662</v>
      </c>
      <c r="C230" s="7" t="s">
        <v>1454</v>
      </c>
      <c r="D230" s="7" t="s">
        <v>5</v>
      </c>
      <c r="E230" s="9">
        <v>44287</v>
      </c>
    </row>
    <row r="231" spans="1:5" x14ac:dyDescent="0.35">
      <c r="A231" s="7">
        <v>5132015</v>
      </c>
      <c r="B231" s="8" t="s">
        <v>1663</v>
      </c>
      <c r="C231" s="7" t="s">
        <v>1454</v>
      </c>
      <c r="D231" s="7" t="s">
        <v>5</v>
      </c>
      <c r="E231" s="9">
        <v>44287</v>
      </c>
    </row>
    <row r="232" spans="1:5" x14ac:dyDescent="0.35">
      <c r="A232" s="7">
        <v>5132016</v>
      </c>
      <c r="B232" s="8" t="s">
        <v>1664</v>
      </c>
      <c r="C232" s="7" t="s">
        <v>1454</v>
      </c>
      <c r="D232" s="7" t="s">
        <v>5</v>
      </c>
      <c r="E232" s="9">
        <v>44287</v>
      </c>
    </row>
    <row r="233" spans="1:5" x14ac:dyDescent="0.35">
      <c r="A233" s="7">
        <v>5132017</v>
      </c>
      <c r="B233" s="8" t="s">
        <v>1665</v>
      </c>
      <c r="C233" s="7" t="s">
        <v>1454</v>
      </c>
      <c r="D233" s="7" t="s">
        <v>5</v>
      </c>
      <c r="E233" s="9">
        <v>44287</v>
      </c>
    </row>
    <row r="234" spans="1:5" x14ac:dyDescent="0.35">
      <c r="A234" s="7">
        <v>5132018</v>
      </c>
      <c r="B234" s="8" t="s">
        <v>1666</v>
      </c>
      <c r="C234" s="7" t="s">
        <v>1454</v>
      </c>
      <c r="D234" s="7" t="s">
        <v>5</v>
      </c>
      <c r="E234" s="9">
        <v>44287</v>
      </c>
    </row>
    <row r="235" spans="1:5" x14ac:dyDescent="0.35">
      <c r="A235" s="7">
        <v>5132019</v>
      </c>
      <c r="B235" s="8" t="s">
        <v>1667</v>
      </c>
      <c r="C235" s="7" t="s">
        <v>1454</v>
      </c>
      <c r="D235" s="7" t="s">
        <v>5</v>
      </c>
      <c r="E235" s="9">
        <v>44287</v>
      </c>
    </row>
    <row r="236" spans="1:5" x14ac:dyDescent="0.35">
      <c r="A236" s="7">
        <v>5132020</v>
      </c>
      <c r="B236" s="8" t="s">
        <v>1668</v>
      </c>
      <c r="C236" s="7" t="s">
        <v>1454</v>
      </c>
      <c r="D236" s="7" t="s">
        <v>5</v>
      </c>
      <c r="E236" s="9">
        <v>44287</v>
      </c>
    </row>
    <row r="237" spans="1:5" x14ac:dyDescent="0.35">
      <c r="A237" s="7">
        <v>5132021</v>
      </c>
      <c r="B237" s="8" t="s">
        <v>1669</v>
      </c>
      <c r="C237" s="7" t="s">
        <v>1454</v>
      </c>
      <c r="D237" s="7" t="s">
        <v>5</v>
      </c>
      <c r="E237" s="9">
        <v>44287</v>
      </c>
    </row>
    <row r="238" spans="1:5" x14ac:dyDescent="0.35">
      <c r="A238" s="7">
        <v>5132022</v>
      </c>
      <c r="B238" s="8" t="s">
        <v>1670</v>
      </c>
      <c r="C238" s="7" t="s">
        <v>1454</v>
      </c>
      <c r="D238" s="7" t="s">
        <v>5</v>
      </c>
      <c r="E238" s="9">
        <v>44287</v>
      </c>
    </row>
    <row r="239" spans="1:5" x14ac:dyDescent="0.35">
      <c r="A239" s="7">
        <v>5132023</v>
      </c>
      <c r="B239" s="8" t="s">
        <v>1671</v>
      </c>
      <c r="C239" s="7" t="s">
        <v>1454</v>
      </c>
      <c r="D239" s="7" t="s">
        <v>5</v>
      </c>
      <c r="E239" s="9">
        <v>44287</v>
      </c>
    </row>
    <row r="240" spans="1:5" x14ac:dyDescent="0.35">
      <c r="A240" s="7">
        <v>5132024</v>
      </c>
      <c r="B240" s="8" t="s">
        <v>1672</v>
      </c>
      <c r="C240" s="7" t="s">
        <v>1454</v>
      </c>
      <c r="D240" s="7" t="s">
        <v>5</v>
      </c>
      <c r="E240" s="9">
        <v>44287</v>
      </c>
    </row>
    <row r="241" spans="1:5" x14ac:dyDescent="0.35">
      <c r="A241" s="7">
        <v>5132025</v>
      </c>
      <c r="B241" s="8" t="s">
        <v>1673</v>
      </c>
      <c r="C241" s="7" t="s">
        <v>1454</v>
      </c>
      <c r="D241" s="7" t="s">
        <v>5</v>
      </c>
      <c r="E241" s="9">
        <v>44287</v>
      </c>
    </row>
    <row r="242" spans="1:5" x14ac:dyDescent="0.35">
      <c r="A242" s="7">
        <v>5132026</v>
      </c>
      <c r="B242" s="8" t="s">
        <v>1674</v>
      </c>
      <c r="C242" s="7" t="s">
        <v>1454</v>
      </c>
      <c r="D242" s="7" t="s">
        <v>5</v>
      </c>
      <c r="E242" s="9">
        <v>44287</v>
      </c>
    </row>
    <row r="243" spans="1:5" x14ac:dyDescent="0.35">
      <c r="A243" s="7">
        <v>5132080</v>
      </c>
      <c r="B243" s="8" t="s">
        <v>1675</v>
      </c>
      <c r="C243" s="7" t="s">
        <v>1454</v>
      </c>
      <c r="D243" s="7" t="s">
        <v>5</v>
      </c>
      <c r="E243" s="9">
        <v>44287</v>
      </c>
    </row>
    <row r="244" spans="1:5" x14ac:dyDescent="0.35">
      <c r="A244" s="7">
        <v>6000000</v>
      </c>
      <c r="B244" s="8" t="s">
        <v>1431</v>
      </c>
      <c r="C244" s="7" t="s">
        <v>1451</v>
      </c>
      <c r="D244" s="7" t="s">
        <v>6</v>
      </c>
      <c r="E244" s="9">
        <v>44287</v>
      </c>
    </row>
    <row r="245" spans="1:5" x14ac:dyDescent="0.35">
      <c r="A245" s="7">
        <v>6100000</v>
      </c>
      <c r="B245" s="8" t="s">
        <v>1676</v>
      </c>
      <c r="C245" s="7" t="s">
        <v>1452</v>
      </c>
      <c r="D245" s="7" t="s">
        <v>6</v>
      </c>
      <c r="E245" s="9">
        <v>44287</v>
      </c>
    </row>
    <row r="246" spans="1:5" x14ac:dyDescent="0.35">
      <c r="A246" s="7">
        <v>6120000</v>
      </c>
      <c r="B246" s="8" t="s">
        <v>1677</v>
      </c>
      <c r="C246" s="7" t="s">
        <v>1453</v>
      </c>
      <c r="D246" s="7" t="s">
        <v>6</v>
      </c>
      <c r="E246" s="9">
        <v>44287</v>
      </c>
    </row>
    <row r="247" spans="1:5" x14ac:dyDescent="0.35">
      <c r="A247" s="7">
        <v>6121000</v>
      </c>
      <c r="B247" s="11" t="s">
        <v>1677</v>
      </c>
      <c r="C247" s="7" t="s">
        <v>0</v>
      </c>
      <c r="D247" s="7" t="s">
        <v>6</v>
      </c>
      <c r="E247" s="9">
        <v>44287</v>
      </c>
    </row>
    <row r="248" spans="1:5" x14ac:dyDescent="0.35">
      <c r="A248" s="7">
        <v>6121001</v>
      </c>
      <c r="B248" s="8" t="s">
        <v>1354</v>
      </c>
      <c r="C248" s="7" t="s">
        <v>1454</v>
      </c>
      <c r="D248" s="7" t="s">
        <v>6</v>
      </c>
      <c r="E248" s="9">
        <v>44287</v>
      </c>
    </row>
    <row r="249" spans="1:5" x14ac:dyDescent="0.35">
      <c r="A249" s="7">
        <v>6121016</v>
      </c>
      <c r="B249" s="8" t="s">
        <v>156</v>
      </c>
      <c r="C249" s="7" t="s">
        <v>1454</v>
      </c>
      <c r="D249" s="7" t="s">
        <v>6</v>
      </c>
      <c r="E249" s="9">
        <v>44287</v>
      </c>
    </row>
    <row r="250" spans="1:5" x14ac:dyDescent="0.35">
      <c r="A250" s="7">
        <v>6121017</v>
      </c>
      <c r="B250" s="8" t="s">
        <v>1678</v>
      </c>
      <c r="C250" s="7" t="s">
        <v>1454</v>
      </c>
      <c r="D250" s="7" t="s">
        <v>6</v>
      </c>
      <c r="E250" s="9">
        <v>44287</v>
      </c>
    </row>
    <row r="251" spans="1:5" x14ac:dyDescent="0.35">
      <c r="A251" s="7">
        <v>6121018</v>
      </c>
      <c r="B251" s="8" t="s">
        <v>150</v>
      </c>
      <c r="C251" s="7" t="s">
        <v>1454</v>
      </c>
      <c r="D251" s="7" t="s">
        <v>6</v>
      </c>
      <c r="E251" s="9">
        <v>44287</v>
      </c>
    </row>
    <row r="252" spans="1:5" x14ac:dyDescent="0.35">
      <c r="A252" s="7">
        <v>6121019</v>
      </c>
      <c r="B252" s="8" t="s">
        <v>100</v>
      </c>
      <c r="C252" s="7" t="s">
        <v>1454</v>
      </c>
      <c r="D252" s="7" t="s">
        <v>6</v>
      </c>
      <c r="E252" s="9">
        <v>44287</v>
      </c>
    </row>
    <row r="253" spans="1:5" x14ac:dyDescent="0.35">
      <c r="A253" s="7">
        <v>6121020</v>
      </c>
      <c r="B253" s="8" t="s">
        <v>129</v>
      </c>
      <c r="C253" s="7" t="s">
        <v>1454</v>
      </c>
      <c r="D253" s="7" t="s">
        <v>6</v>
      </c>
      <c r="E253" s="9">
        <v>44287</v>
      </c>
    </row>
    <row r="254" spans="1:5" x14ac:dyDescent="0.35">
      <c r="A254" s="7">
        <v>6121021</v>
      </c>
      <c r="B254" s="8" t="s">
        <v>1679</v>
      </c>
      <c r="C254" s="7" t="s">
        <v>1454</v>
      </c>
      <c r="D254" s="7" t="s">
        <v>6</v>
      </c>
      <c r="E254" s="9">
        <v>44287</v>
      </c>
    </row>
    <row r="255" spans="1:5" x14ac:dyDescent="0.35">
      <c r="A255" s="7">
        <v>6121022</v>
      </c>
      <c r="B255" s="8" t="s">
        <v>1680</v>
      </c>
      <c r="C255" s="7" t="s">
        <v>1454</v>
      </c>
      <c r="D255" s="7" t="s">
        <v>6</v>
      </c>
      <c r="E255" s="9">
        <v>44287</v>
      </c>
    </row>
    <row r="256" spans="1:5" x14ac:dyDescent="0.35">
      <c r="A256" s="7">
        <v>6121023</v>
      </c>
      <c r="B256" s="8" t="s">
        <v>1681</v>
      </c>
      <c r="C256" s="7" t="s">
        <v>1454</v>
      </c>
      <c r="D256" s="7" t="s">
        <v>6</v>
      </c>
      <c r="E256" s="9">
        <v>44287</v>
      </c>
    </row>
    <row r="257" spans="1:5" x14ac:dyDescent="0.35">
      <c r="A257" s="7">
        <v>6121024</v>
      </c>
      <c r="B257" s="8" t="s">
        <v>1480</v>
      </c>
      <c r="C257" s="7" t="s">
        <v>1454</v>
      </c>
      <c r="D257" s="7" t="s">
        <v>6</v>
      </c>
      <c r="E257" s="9">
        <v>44287</v>
      </c>
    </row>
    <row r="258" spans="1:5" x14ac:dyDescent="0.35">
      <c r="A258" s="7">
        <v>6121025</v>
      </c>
      <c r="B258" s="8" t="s">
        <v>134</v>
      </c>
      <c r="C258" s="7" t="s">
        <v>1454</v>
      </c>
      <c r="D258" s="7" t="s">
        <v>6</v>
      </c>
      <c r="E258" s="9">
        <v>44287</v>
      </c>
    </row>
    <row r="259" spans="1:5" x14ac:dyDescent="0.35">
      <c r="A259" s="7">
        <v>6121026</v>
      </c>
      <c r="B259" s="8" t="s">
        <v>1682</v>
      </c>
      <c r="C259" s="7" t="s">
        <v>1454</v>
      </c>
      <c r="D259" s="7" t="s">
        <v>6</v>
      </c>
      <c r="E259" s="9">
        <v>44287</v>
      </c>
    </row>
    <row r="260" spans="1:5" x14ac:dyDescent="0.35">
      <c r="A260" s="7">
        <v>6121027</v>
      </c>
      <c r="B260" s="8" t="s">
        <v>45</v>
      </c>
      <c r="C260" s="7" t="s">
        <v>1454</v>
      </c>
      <c r="D260" s="7" t="s">
        <v>6</v>
      </c>
      <c r="E260" s="9">
        <v>44287</v>
      </c>
    </row>
    <row r="261" spans="1:5" x14ac:dyDescent="0.35">
      <c r="A261" s="7">
        <v>6121028</v>
      </c>
      <c r="B261" s="8" t="s">
        <v>1683</v>
      </c>
      <c r="C261" s="7" t="s">
        <v>1454</v>
      </c>
      <c r="D261" s="7" t="s">
        <v>6</v>
      </c>
      <c r="E261" s="9">
        <v>44287</v>
      </c>
    </row>
    <row r="262" spans="1:5" x14ac:dyDescent="0.35">
      <c r="A262" s="7">
        <v>6121029</v>
      </c>
      <c r="B262" s="8" t="s">
        <v>1684</v>
      </c>
      <c r="C262" s="7" t="s">
        <v>1454</v>
      </c>
      <c r="D262" s="7" t="s">
        <v>6</v>
      </c>
      <c r="E262" s="9">
        <v>44287</v>
      </c>
    </row>
    <row r="263" spans="1:5" x14ac:dyDescent="0.35">
      <c r="A263" s="7">
        <v>6121030</v>
      </c>
      <c r="B263" s="8" t="s">
        <v>1481</v>
      </c>
      <c r="C263" s="7" t="s">
        <v>1454</v>
      </c>
      <c r="D263" s="7" t="s">
        <v>6</v>
      </c>
      <c r="E263" s="9">
        <v>44287</v>
      </c>
    </row>
    <row r="264" spans="1:5" x14ac:dyDescent="0.35">
      <c r="A264" s="7">
        <v>6121031</v>
      </c>
      <c r="B264" s="8" t="s">
        <v>209</v>
      </c>
      <c r="C264" s="7" t="s">
        <v>1454</v>
      </c>
      <c r="D264" s="7" t="s">
        <v>6</v>
      </c>
      <c r="E264" s="9">
        <v>44287</v>
      </c>
    </row>
    <row r="265" spans="1:5" x14ac:dyDescent="0.35">
      <c r="A265" s="7">
        <v>6121032</v>
      </c>
      <c r="B265" s="8" t="s">
        <v>1482</v>
      </c>
      <c r="C265" s="7" t="s">
        <v>1454</v>
      </c>
      <c r="D265" s="7" t="s">
        <v>6</v>
      </c>
      <c r="E265" s="9">
        <v>44287</v>
      </c>
    </row>
    <row r="266" spans="1:5" x14ac:dyDescent="0.35">
      <c r="A266" s="7">
        <v>6121033</v>
      </c>
      <c r="B266" s="11" t="s">
        <v>1685</v>
      </c>
      <c r="C266" s="7" t="s">
        <v>1454</v>
      </c>
      <c r="D266" s="7" t="s">
        <v>6</v>
      </c>
      <c r="E266" s="9">
        <v>44287</v>
      </c>
    </row>
    <row r="267" spans="1:5" x14ac:dyDescent="0.35">
      <c r="A267" s="7">
        <v>6121034</v>
      </c>
      <c r="B267" s="8" t="s">
        <v>1686</v>
      </c>
      <c r="C267" s="7" t="s">
        <v>1454</v>
      </c>
      <c r="D267" s="7" t="s">
        <v>6</v>
      </c>
      <c r="E267" s="9">
        <v>44287</v>
      </c>
    </row>
    <row r="268" spans="1:5" x14ac:dyDescent="0.35">
      <c r="A268" s="7">
        <v>6121035</v>
      </c>
      <c r="B268" s="8" t="s">
        <v>1687</v>
      </c>
      <c r="C268" s="7" t="s">
        <v>1454</v>
      </c>
      <c r="D268" s="7" t="s">
        <v>6</v>
      </c>
      <c r="E268" s="9">
        <v>44287</v>
      </c>
    </row>
    <row r="269" spans="1:5" x14ac:dyDescent="0.35">
      <c r="A269" s="7">
        <v>6121036</v>
      </c>
      <c r="B269" s="8" t="s">
        <v>1688</v>
      </c>
      <c r="C269" s="7" t="s">
        <v>1454</v>
      </c>
      <c r="D269" s="7" t="s">
        <v>6</v>
      </c>
      <c r="E269" s="9">
        <v>44287</v>
      </c>
    </row>
    <row r="270" spans="1:5" x14ac:dyDescent="0.35">
      <c r="A270" s="7">
        <v>6121037</v>
      </c>
      <c r="B270" s="8" t="s">
        <v>1689</v>
      </c>
      <c r="C270" s="7" t="s">
        <v>1454</v>
      </c>
      <c r="D270" s="7" t="s">
        <v>6</v>
      </c>
      <c r="E270" s="9">
        <v>44287</v>
      </c>
    </row>
    <row r="271" spans="1:5" x14ac:dyDescent="0.35">
      <c r="A271" s="7">
        <v>6121040</v>
      </c>
      <c r="B271" s="11" t="s">
        <v>1690</v>
      </c>
      <c r="C271" s="7" t="s">
        <v>1454</v>
      </c>
      <c r="D271" s="7" t="s">
        <v>6</v>
      </c>
      <c r="E271" s="9">
        <v>44287</v>
      </c>
    </row>
    <row r="272" spans="1:5" x14ac:dyDescent="0.35">
      <c r="A272" s="7">
        <v>6121041</v>
      </c>
      <c r="B272" s="11" t="s">
        <v>1691</v>
      </c>
      <c r="C272" s="7" t="s">
        <v>1454</v>
      </c>
      <c r="D272" s="7" t="s">
        <v>6</v>
      </c>
      <c r="E272" s="9">
        <v>44287</v>
      </c>
    </row>
    <row r="273" spans="1:5" x14ac:dyDescent="0.35">
      <c r="A273" s="7">
        <v>6121042</v>
      </c>
      <c r="B273" s="8" t="s">
        <v>1483</v>
      </c>
      <c r="C273" s="7" t="s">
        <v>1454</v>
      </c>
      <c r="D273" s="7" t="s">
        <v>6</v>
      </c>
      <c r="E273" s="9">
        <v>44287</v>
      </c>
    </row>
    <row r="274" spans="1:5" x14ac:dyDescent="0.35">
      <c r="A274" s="7">
        <v>6121043</v>
      </c>
      <c r="B274" s="8" t="s">
        <v>1484</v>
      </c>
      <c r="C274" s="7" t="s">
        <v>1454</v>
      </c>
      <c r="D274" s="7" t="s">
        <v>6</v>
      </c>
      <c r="E274" s="9">
        <v>44287</v>
      </c>
    </row>
    <row r="275" spans="1:5" x14ac:dyDescent="0.35">
      <c r="A275" s="7">
        <v>6121044</v>
      </c>
      <c r="B275" s="8" t="s">
        <v>176</v>
      </c>
      <c r="C275" s="7" t="s">
        <v>1454</v>
      </c>
      <c r="D275" s="7" t="s">
        <v>6</v>
      </c>
      <c r="E275" s="9">
        <v>44287</v>
      </c>
    </row>
    <row r="276" spans="1:5" x14ac:dyDescent="0.35">
      <c r="A276" s="7">
        <v>6121045</v>
      </c>
      <c r="B276" s="8" t="s">
        <v>1575</v>
      </c>
      <c r="C276" s="7" t="s">
        <v>1454</v>
      </c>
      <c r="D276" s="7" t="s">
        <v>6</v>
      </c>
      <c r="E276" s="9">
        <v>44287</v>
      </c>
    </row>
    <row r="277" spans="1:5" x14ac:dyDescent="0.35">
      <c r="A277" s="7">
        <v>6121046</v>
      </c>
      <c r="B277" s="8" t="s">
        <v>1577</v>
      </c>
      <c r="C277" s="7" t="s">
        <v>1454</v>
      </c>
      <c r="D277" s="7" t="s">
        <v>6</v>
      </c>
      <c r="E277" s="9">
        <v>44287</v>
      </c>
    </row>
    <row r="278" spans="1:5" x14ac:dyDescent="0.35">
      <c r="A278" s="7">
        <v>6121047</v>
      </c>
      <c r="B278" s="8" t="s">
        <v>1578</v>
      </c>
      <c r="C278" s="7" t="s">
        <v>1454</v>
      </c>
      <c r="D278" s="7" t="s">
        <v>6</v>
      </c>
      <c r="E278" s="9">
        <v>44287</v>
      </c>
    </row>
    <row r="279" spans="1:5" x14ac:dyDescent="0.35">
      <c r="A279" s="7">
        <v>6121048</v>
      </c>
      <c r="B279" s="8" t="s">
        <v>1580</v>
      </c>
      <c r="C279" s="7" t="s">
        <v>1454</v>
      </c>
      <c r="D279" s="7" t="s">
        <v>6</v>
      </c>
      <c r="E279" s="9">
        <v>44287</v>
      </c>
    </row>
    <row r="280" spans="1:5" x14ac:dyDescent="0.35">
      <c r="A280" s="7">
        <v>6121080</v>
      </c>
      <c r="B280" s="8" t="s">
        <v>1692</v>
      </c>
      <c r="C280" s="7" t="s">
        <v>1454</v>
      </c>
      <c r="D280" s="7" t="s">
        <v>6</v>
      </c>
      <c r="E280" s="9">
        <v>44287</v>
      </c>
    </row>
    <row r="281" spans="1:5" x14ac:dyDescent="0.35">
      <c r="A281" s="7">
        <v>6130000</v>
      </c>
      <c r="B281" s="8" t="s">
        <v>1693</v>
      </c>
      <c r="C281" s="7" t="s">
        <v>1453</v>
      </c>
      <c r="D281" s="7" t="s">
        <v>6</v>
      </c>
      <c r="E281" s="9">
        <v>44287</v>
      </c>
    </row>
    <row r="282" spans="1:5" x14ac:dyDescent="0.35">
      <c r="A282" s="7">
        <v>6132000</v>
      </c>
      <c r="B282" s="8" t="s">
        <v>1694</v>
      </c>
      <c r="C282" s="7" t="s">
        <v>0</v>
      </c>
      <c r="D282" s="7" t="s">
        <v>6</v>
      </c>
      <c r="E282" s="9">
        <v>44287</v>
      </c>
    </row>
    <row r="283" spans="1:5" x14ac:dyDescent="0.35">
      <c r="A283" s="7">
        <v>6132001</v>
      </c>
      <c r="B283" s="8" t="s">
        <v>1695</v>
      </c>
      <c r="C283" s="7" t="s">
        <v>1454</v>
      </c>
      <c r="D283" s="7" t="s">
        <v>6</v>
      </c>
      <c r="E283" s="9">
        <v>44287</v>
      </c>
    </row>
    <row r="284" spans="1:5" x14ac:dyDescent="0.35">
      <c r="A284" s="7">
        <v>6132002</v>
      </c>
      <c r="B284" s="8" t="s">
        <v>1696</v>
      </c>
      <c r="C284" s="7" t="s">
        <v>1454</v>
      </c>
      <c r="D284" s="7" t="s">
        <v>6</v>
      </c>
      <c r="E284" s="9">
        <v>44287</v>
      </c>
    </row>
    <row r="285" spans="1:5" x14ac:dyDescent="0.35">
      <c r="A285" s="7">
        <v>6132003</v>
      </c>
      <c r="B285" s="8" t="s">
        <v>1697</v>
      </c>
      <c r="C285" s="7" t="s">
        <v>1454</v>
      </c>
      <c r="D285" s="7" t="s">
        <v>6</v>
      </c>
      <c r="E285" s="9">
        <v>44287</v>
      </c>
    </row>
    <row r="286" spans="1:5" x14ac:dyDescent="0.35">
      <c r="A286" s="7">
        <v>6132004</v>
      </c>
      <c r="B286" s="8" t="s">
        <v>1698</v>
      </c>
      <c r="C286" s="7" t="s">
        <v>1454</v>
      </c>
      <c r="D286" s="7" t="s">
        <v>6</v>
      </c>
      <c r="E286" s="9">
        <v>44287</v>
      </c>
    </row>
    <row r="287" spans="1:5" x14ac:dyDescent="0.35">
      <c r="A287" s="7">
        <v>6132005</v>
      </c>
      <c r="B287" s="8" t="s">
        <v>1699</v>
      </c>
      <c r="C287" s="7" t="s">
        <v>1454</v>
      </c>
      <c r="D287" s="7" t="s">
        <v>6</v>
      </c>
      <c r="E287" s="9">
        <v>44287</v>
      </c>
    </row>
    <row r="288" spans="1:5" x14ac:dyDescent="0.35">
      <c r="A288" s="7">
        <v>6132006</v>
      </c>
      <c r="B288" s="8" t="s">
        <v>1700</v>
      </c>
      <c r="C288" s="7" t="s">
        <v>1454</v>
      </c>
      <c r="D288" s="7" t="s">
        <v>6</v>
      </c>
      <c r="E288" s="9">
        <v>44287</v>
      </c>
    </row>
    <row r="289" spans="1:5" x14ac:dyDescent="0.35">
      <c r="A289" s="7">
        <v>6133000</v>
      </c>
      <c r="B289" s="8" t="s">
        <v>1701</v>
      </c>
      <c r="C289" s="7" t="s">
        <v>0</v>
      </c>
      <c r="D289" s="7" t="s">
        <v>6</v>
      </c>
      <c r="E289" s="9">
        <v>44287</v>
      </c>
    </row>
    <row r="290" spans="1:5" x14ac:dyDescent="0.35">
      <c r="A290" s="7">
        <v>6133001</v>
      </c>
      <c r="B290" s="8" t="s">
        <v>1702</v>
      </c>
      <c r="C290" s="7" t="s">
        <v>1454</v>
      </c>
      <c r="D290" s="7" t="s">
        <v>6</v>
      </c>
      <c r="E290" s="9">
        <v>44287</v>
      </c>
    </row>
    <row r="291" spans="1:5" x14ac:dyDescent="0.35">
      <c r="A291" s="7">
        <v>6133002</v>
      </c>
      <c r="B291" s="8" t="s">
        <v>1703</v>
      </c>
      <c r="C291" s="7" t="s">
        <v>1454</v>
      </c>
      <c r="D291" s="7" t="s">
        <v>6</v>
      </c>
      <c r="E291" s="9">
        <v>44287</v>
      </c>
    </row>
    <row r="292" spans="1:5" x14ac:dyDescent="0.35">
      <c r="A292" s="7">
        <v>6140000</v>
      </c>
      <c r="B292" s="8" t="s">
        <v>1704</v>
      </c>
      <c r="C292" s="7" t="s">
        <v>1453</v>
      </c>
      <c r="D292" s="7" t="s">
        <v>6</v>
      </c>
      <c r="E292" s="9">
        <v>44287</v>
      </c>
    </row>
    <row r="293" spans="1:5" x14ac:dyDescent="0.35">
      <c r="A293" s="7">
        <v>6141000</v>
      </c>
      <c r="B293" s="8" t="s">
        <v>1705</v>
      </c>
      <c r="C293" s="7" t="s">
        <v>0</v>
      </c>
      <c r="D293" s="7" t="s">
        <v>6</v>
      </c>
      <c r="E293" s="9">
        <v>44287</v>
      </c>
    </row>
    <row r="294" spans="1:5" x14ac:dyDescent="0.35">
      <c r="A294" s="7">
        <v>6141001</v>
      </c>
      <c r="B294" s="8" t="s">
        <v>1706</v>
      </c>
      <c r="C294" s="7" t="s">
        <v>1454</v>
      </c>
      <c r="D294" s="7" t="s">
        <v>6</v>
      </c>
      <c r="E294" s="9">
        <v>44287</v>
      </c>
    </row>
    <row r="295" spans="1:5" x14ac:dyDescent="0.35">
      <c r="A295" s="7">
        <v>6141002</v>
      </c>
      <c r="B295" s="8" t="s">
        <v>1707</v>
      </c>
      <c r="C295" s="7" t="s">
        <v>1454</v>
      </c>
      <c r="D295" s="7" t="s">
        <v>6</v>
      </c>
      <c r="E295" s="9">
        <v>44287</v>
      </c>
    </row>
  </sheetData>
  <dataValidations count="2">
    <dataValidation type="textLength" operator="equal" allowBlank="1" showInputMessage="1" showErrorMessage="1" sqref="A2:A295" xr:uid="{7319A8AF-8865-4C30-A23E-6DFACB441BCF}">
      <formula1>TOTAL_DIGITOS</formula1>
    </dataValidation>
    <dataValidation type="textLength" allowBlank="1" showInputMessage="1" showErrorMessage="1" sqref="A1" xr:uid="{FE102E1E-5538-42DC-ADA2-BD460DE4C34E}">
      <formula1>0</formula1>
      <formula2>10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45B7-5176-4C19-BD0A-7073C24B36EF}">
  <sheetPr codeName="Hoja4"/>
  <dimension ref="A2:C30"/>
  <sheetViews>
    <sheetView topLeftCell="A10" workbookViewId="0">
      <selection activeCell="B18" sqref="B18"/>
    </sheetView>
  </sheetViews>
  <sheetFormatPr baseColWidth="10" defaultRowHeight="14.5" x14ac:dyDescent="0.35"/>
  <cols>
    <col min="1" max="1" width="22.90625" bestFit="1" customWidth="1"/>
    <col min="2" max="2" width="22.36328125" bestFit="1" customWidth="1"/>
    <col min="3" max="3" width="13.6328125" bestFit="1" customWidth="1"/>
  </cols>
  <sheetData>
    <row r="2" spans="1:3" x14ac:dyDescent="0.35">
      <c r="A2" s="1" t="s">
        <v>1767</v>
      </c>
    </row>
    <row r="3" spans="1:3" x14ac:dyDescent="0.35">
      <c r="A3" s="122" t="s">
        <v>1765</v>
      </c>
      <c r="B3" s="16">
        <v>45292</v>
      </c>
    </row>
    <row r="4" spans="1:3" x14ac:dyDescent="0.35">
      <c r="A4" s="122" t="s">
        <v>1766</v>
      </c>
      <c r="B4" s="16">
        <v>45657</v>
      </c>
      <c r="C4" s="16"/>
    </row>
    <row r="5" spans="1:3" x14ac:dyDescent="0.35">
      <c r="B5" s="16"/>
      <c r="C5" s="16"/>
    </row>
    <row r="6" spans="1:3" x14ac:dyDescent="0.35">
      <c r="B6" s="16"/>
      <c r="C6" s="16"/>
    </row>
    <row r="7" spans="1:3" x14ac:dyDescent="0.35">
      <c r="A7" s="1" t="s">
        <v>1720</v>
      </c>
      <c r="B7" s="18" t="s">
        <v>1721</v>
      </c>
    </row>
    <row r="8" spans="1:3" x14ac:dyDescent="0.35">
      <c r="A8" t="s">
        <v>1708</v>
      </c>
      <c r="B8">
        <v>1</v>
      </c>
    </row>
    <row r="9" spans="1:3" x14ac:dyDescent="0.35">
      <c r="A9" t="s">
        <v>1709</v>
      </c>
      <c r="B9">
        <v>1</v>
      </c>
    </row>
    <row r="10" spans="1:3" x14ac:dyDescent="0.35">
      <c r="A10" t="s">
        <v>1710</v>
      </c>
      <c r="B10">
        <v>1</v>
      </c>
    </row>
    <row r="11" spans="1:3" x14ac:dyDescent="0.35">
      <c r="A11" t="s">
        <v>1711</v>
      </c>
      <c r="B11">
        <v>1</v>
      </c>
    </row>
    <row r="12" spans="1:3" x14ac:dyDescent="0.35">
      <c r="A12" t="s">
        <v>1712</v>
      </c>
      <c r="B12">
        <v>3</v>
      </c>
    </row>
    <row r="13" spans="1:3" x14ac:dyDescent="0.35">
      <c r="A13" s="1" t="s">
        <v>1713</v>
      </c>
      <c r="B13" s="1">
        <f>SUM(B8:B12)</f>
        <v>7</v>
      </c>
    </row>
    <row r="15" spans="1:3" x14ac:dyDescent="0.35">
      <c r="A15" s="1" t="s">
        <v>1714</v>
      </c>
      <c r="B15" s="17" t="s">
        <v>1716</v>
      </c>
    </row>
    <row r="16" spans="1:3" x14ac:dyDescent="0.35">
      <c r="A16" s="1" t="s">
        <v>1717</v>
      </c>
      <c r="B16" t="s">
        <v>1718</v>
      </c>
    </row>
    <row r="18" spans="1:2" x14ac:dyDescent="0.35">
      <c r="A18" s="1" t="s">
        <v>1754</v>
      </c>
      <c r="B18" t="s">
        <v>1825</v>
      </c>
    </row>
    <row r="20" spans="1:2" x14ac:dyDescent="0.35">
      <c r="A20" s="1" t="s">
        <v>1715</v>
      </c>
    </row>
    <row r="21" spans="1:2" x14ac:dyDescent="0.35">
      <c r="A21" t="s">
        <v>1755</v>
      </c>
      <c r="B21" s="17" t="s">
        <v>1719</v>
      </c>
    </row>
    <row r="22" spans="1:2" x14ac:dyDescent="0.35">
      <c r="A22" t="s">
        <v>1756</v>
      </c>
      <c r="B22" s="17" t="s">
        <v>1719</v>
      </c>
    </row>
    <row r="23" spans="1:2" x14ac:dyDescent="0.35">
      <c r="A23" t="s">
        <v>1757</v>
      </c>
      <c r="B23" s="17" t="s">
        <v>1719</v>
      </c>
    </row>
    <row r="24" spans="1:2" x14ac:dyDescent="0.35">
      <c r="A24" t="s">
        <v>1758</v>
      </c>
      <c r="B24" s="17" t="s">
        <v>1719</v>
      </c>
    </row>
    <row r="25" spans="1:2" x14ac:dyDescent="0.35">
      <c r="A25" t="s">
        <v>1759</v>
      </c>
      <c r="B25" s="17" t="s">
        <v>1719</v>
      </c>
    </row>
    <row r="26" spans="1:2" x14ac:dyDescent="0.35">
      <c r="A26" t="s">
        <v>1760</v>
      </c>
      <c r="B26" s="17" t="s">
        <v>1719</v>
      </c>
    </row>
    <row r="27" spans="1:2" x14ac:dyDescent="0.35">
      <c r="A27" t="s">
        <v>1761</v>
      </c>
      <c r="B27" s="17" t="s">
        <v>1719</v>
      </c>
    </row>
    <row r="28" spans="1:2" x14ac:dyDescent="0.35">
      <c r="A28" t="s">
        <v>1762</v>
      </c>
      <c r="B28" s="17" t="s">
        <v>1719</v>
      </c>
    </row>
    <row r="29" spans="1:2" x14ac:dyDescent="0.35">
      <c r="A29" t="s">
        <v>1763</v>
      </c>
      <c r="B29" s="17" t="s">
        <v>1719</v>
      </c>
    </row>
    <row r="30" spans="1:2" x14ac:dyDescent="0.35">
      <c r="A30" t="s">
        <v>1764</v>
      </c>
      <c r="B30" s="17" t="s">
        <v>1719</v>
      </c>
    </row>
  </sheetData>
  <phoneticPr fontId="9" type="noConversion"/>
  <hyperlinks>
    <hyperlink ref="B15" r:id="rId1" xr:uid="{0F393775-B4B1-4E99-9B48-E960C5E51DAF}"/>
    <hyperlink ref="B21" r:id="rId2" xr:uid="{E5F0DF9B-0DD4-4DAA-893E-FE12BC391465}"/>
    <hyperlink ref="B22:B29" r:id="rId3" display="destinatario1@gmail.com" xr:uid="{8F577838-B9D2-44BB-A8A6-EFA88024B2B1}"/>
    <hyperlink ref="B30" r:id="rId4" xr:uid="{E7933DD8-0192-45E2-808C-FDAFAD56AFB7}"/>
  </hyperlinks>
  <pageMargins left="0.7" right="0.7" top="0.75" bottom="0.75" header="0.3" footer="0.3"/>
  <pageSetup orientation="portrait" horizontalDpi="4294967294" verticalDpi="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C9C65-78E5-4EEF-A07A-6C8413CC5090}">
  <sheetPr codeName="Hoja1"/>
  <dimension ref="A1:I98"/>
  <sheetViews>
    <sheetView showGridLines="0" tabSelected="1" zoomScaleNormal="100" workbookViewId="0">
      <selection activeCell="G59" sqref="G59"/>
    </sheetView>
  </sheetViews>
  <sheetFormatPr baseColWidth="10" defaultColWidth="11.453125" defaultRowHeight="18.5" x14ac:dyDescent="0.45"/>
  <cols>
    <col min="1" max="1" width="14.1796875" style="48" bestFit="1" customWidth="1"/>
    <col min="2" max="2" width="67.7265625" style="48" bestFit="1" customWidth="1"/>
    <col min="3" max="4" width="16.26953125" style="44" hidden="1" customWidth="1"/>
    <col min="5" max="5" width="16.26953125" style="44" customWidth="1"/>
    <col min="6" max="6" width="16.26953125" style="48" customWidth="1"/>
    <col min="7" max="7" width="17.54296875" style="44" bestFit="1" customWidth="1"/>
    <col min="8" max="8" width="16.453125" style="48" bestFit="1" customWidth="1"/>
    <col min="9" max="9" width="19.453125" style="48" customWidth="1"/>
    <col min="10" max="16384" width="11.453125" style="48"/>
  </cols>
  <sheetData>
    <row r="1" spans="1:9" s="21" customFormat="1" ht="26" x14ac:dyDescent="0.35">
      <c r="A1" s="89"/>
      <c r="B1" s="89" t="s">
        <v>7</v>
      </c>
      <c r="C1" s="19"/>
      <c r="D1" s="19"/>
      <c r="E1" s="19"/>
      <c r="F1" s="20"/>
      <c r="G1" s="19"/>
    </row>
    <row r="2" spans="1:9" s="21" customFormat="1" x14ac:dyDescent="0.35">
      <c r="A2" s="22"/>
      <c r="B2" s="22" t="s">
        <v>1397</v>
      </c>
      <c r="C2" s="23"/>
      <c r="D2" s="23"/>
      <c r="E2" s="23"/>
      <c r="F2" s="24"/>
      <c r="G2" s="34"/>
    </row>
    <row r="3" spans="1:9" s="21" customFormat="1" ht="19" thickBot="1" x14ac:dyDescent="0.4">
      <c r="A3" s="25"/>
      <c r="B3" s="25">
        <v>45657</v>
      </c>
      <c r="C3" s="26"/>
      <c r="D3" s="26"/>
      <c r="E3" s="26"/>
      <c r="F3" s="27"/>
      <c r="G3" s="88"/>
      <c r="I3" s="28"/>
    </row>
    <row r="4" spans="1:9" s="21" customFormat="1" x14ac:dyDescent="0.35">
      <c r="A4" s="76"/>
      <c r="B4" s="77" t="s">
        <v>1741</v>
      </c>
      <c r="C4" s="23"/>
      <c r="D4" s="23"/>
      <c r="E4" s="23"/>
      <c r="F4" s="24"/>
      <c r="G4" s="78"/>
      <c r="I4" s="28"/>
    </row>
    <row r="5" spans="1:9" s="21" customFormat="1" x14ac:dyDescent="0.35">
      <c r="A5" s="29">
        <v>1111000</v>
      </c>
      <c r="B5" s="29" t="s">
        <v>1399</v>
      </c>
      <c r="C5" s="23">
        <v>94017.85</v>
      </c>
      <c r="D5" s="23">
        <v>79256.299999997951</v>
      </c>
      <c r="E5" s="23"/>
      <c r="F5" s="24"/>
      <c r="G5" s="23">
        <f t="shared" ref="G5:G10" si="0">+D5</f>
        <v>79256.299999997951</v>
      </c>
    </row>
    <row r="6" spans="1:9" s="21" customFormat="1" x14ac:dyDescent="0.35">
      <c r="A6" s="29">
        <v>1112000</v>
      </c>
      <c r="B6" s="29" t="s">
        <v>1400</v>
      </c>
      <c r="C6" s="23">
        <v>481.77</v>
      </c>
      <c r="D6" s="23">
        <v>3168.8099999991246</v>
      </c>
      <c r="E6" s="23"/>
      <c r="F6" s="24"/>
      <c r="G6" s="23">
        <f t="shared" si="0"/>
        <v>3168.8099999991246</v>
      </c>
    </row>
    <row r="7" spans="1:9" s="21" customFormat="1" x14ac:dyDescent="0.35">
      <c r="A7" s="29">
        <v>1123000</v>
      </c>
      <c r="B7" s="29" t="s">
        <v>1401</v>
      </c>
      <c r="C7" s="23">
        <v>0</v>
      </c>
      <c r="D7" s="23">
        <v>436067.36</v>
      </c>
      <c r="E7" s="23"/>
      <c r="F7" s="24"/>
      <c r="G7" s="23">
        <f t="shared" si="0"/>
        <v>436067.36</v>
      </c>
    </row>
    <row r="8" spans="1:9" s="21" customFormat="1" x14ac:dyDescent="0.35">
      <c r="A8" s="29">
        <v>1141000</v>
      </c>
      <c r="B8" s="29" t="s">
        <v>1402</v>
      </c>
      <c r="C8" s="23">
        <v>2.36</v>
      </c>
      <c r="D8" s="23">
        <v>2.3399999999819556</v>
      </c>
      <c r="E8" s="23"/>
      <c r="F8" s="24"/>
      <c r="G8" s="23">
        <f t="shared" si="0"/>
        <v>2.3399999999819556</v>
      </c>
    </row>
    <row r="9" spans="1:9" s="21" customFormat="1" x14ac:dyDescent="0.35">
      <c r="A9" s="29">
        <v>1142000</v>
      </c>
      <c r="B9" s="29" t="s">
        <v>1403</v>
      </c>
      <c r="C9" s="23">
        <v>498.55</v>
      </c>
      <c r="D9" s="23">
        <v>659.82999999999447</v>
      </c>
      <c r="E9" s="23"/>
      <c r="F9" s="24"/>
      <c r="G9" s="23">
        <f t="shared" si="0"/>
        <v>659.82999999999447</v>
      </c>
    </row>
    <row r="10" spans="1:9" s="21" customFormat="1" x14ac:dyDescent="0.35">
      <c r="A10" s="29">
        <v>1211000</v>
      </c>
      <c r="B10" s="29" t="s">
        <v>1404</v>
      </c>
      <c r="C10" s="23"/>
      <c r="D10" s="23"/>
      <c r="E10" s="23"/>
      <c r="F10" s="24"/>
      <c r="G10" s="23">
        <f t="shared" si="0"/>
        <v>0</v>
      </c>
    </row>
    <row r="11" spans="1:9" s="21" customFormat="1" x14ac:dyDescent="0.35">
      <c r="A11" s="29">
        <v>1241000</v>
      </c>
      <c r="B11" s="29" t="s">
        <v>1449</v>
      </c>
      <c r="C11" s="23">
        <v>83692.95</v>
      </c>
      <c r="D11" s="23">
        <v>97603.62000000001</v>
      </c>
      <c r="E11" s="23"/>
      <c r="F11" s="24"/>
      <c r="G11" s="23">
        <f>+D11</f>
        <v>97603.62000000001</v>
      </c>
    </row>
    <row r="12" spans="1:9" s="21" customFormat="1" x14ac:dyDescent="0.35">
      <c r="A12" s="30">
        <v>1242000</v>
      </c>
      <c r="B12" s="30" t="s">
        <v>1405</v>
      </c>
      <c r="C12" s="31">
        <v>-78578.38</v>
      </c>
      <c r="D12" s="31">
        <v>-97603.62</v>
      </c>
      <c r="E12" s="31"/>
      <c r="F12" s="32"/>
      <c r="G12" s="31">
        <f>+D12</f>
        <v>-97603.62</v>
      </c>
    </row>
    <row r="13" spans="1:9" s="21" customFormat="1" ht="19" thickBot="1" x14ac:dyDescent="0.4">
      <c r="A13" s="75"/>
      <c r="B13" s="38" t="s">
        <v>1421</v>
      </c>
      <c r="C13" s="39"/>
      <c r="D13" s="40"/>
      <c r="E13" s="40"/>
      <c r="F13" s="41"/>
      <c r="G13" s="39">
        <f>SUM(G5:G12)</f>
        <v>519154.6399999971</v>
      </c>
    </row>
    <row r="14" spans="1:9" s="21" customFormat="1" ht="19" thickTop="1" x14ac:dyDescent="0.35">
      <c r="A14" s="29"/>
      <c r="B14" s="33" t="s">
        <v>1422</v>
      </c>
      <c r="C14" s="34"/>
      <c r="D14" s="23"/>
      <c r="E14" s="23"/>
      <c r="F14" s="24"/>
      <c r="G14" s="34"/>
    </row>
    <row r="15" spans="1:9" s="21" customFormat="1" x14ac:dyDescent="0.35">
      <c r="A15" s="29"/>
      <c r="B15" s="33" t="s">
        <v>1420</v>
      </c>
      <c r="C15" s="34"/>
      <c r="D15" s="23"/>
      <c r="E15" s="23"/>
      <c r="F15" s="24"/>
      <c r="G15" s="34"/>
    </row>
    <row r="16" spans="1:9" s="21" customFormat="1" x14ac:dyDescent="0.35">
      <c r="A16" s="29">
        <v>2114000</v>
      </c>
      <c r="B16" s="29" t="s">
        <v>1406</v>
      </c>
      <c r="C16" s="23">
        <v>0</v>
      </c>
      <c r="D16" s="23">
        <v>-6.9849193096160889E-10</v>
      </c>
      <c r="E16" s="23"/>
      <c r="F16" s="24"/>
      <c r="G16" s="23">
        <f t="shared" ref="G16:G22" si="1">+D16</f>
        <v>-6.9849193096160889E-10</v>
      </c>
    </row>
    <row r="17" spans="1:9" s="21" customFormat="1" x14ac:dyDescent="0.35">
      <c r="A17" s="29">
        <v>2121000</v>
      </c>
      <c r="B17" s="29" t="s">
        <v>1407</v>
      </c>
      <c r="C17" s="23">
        <v>-78869.23</v>
      </c>
      <c r="D17" s="23">
        <v>-155185.53000000049</v>
      </c>
      <c r="E17" s="23"/>
      <c r="F17" s="24"/>
      <c r="G17" s="23">
        <f t="shared" si="1"/>
        <v>-155185.53000000049</v>
      </c>
    </row>
    <row r="18" spans="1:9" s="21" customFormat="1" x14ac:dyDescent="0.35">
      <c r="A18" s="29">
        <v>2122000</v>
      </c>
      <c r="B18" s="29" t="s">
        <v>1408</v>
      </c>
      <c r="C18" s="23">
        <v>0</v>
      </c>
      <c r="D18" s="23">
        <v>-328.68000000000006</v>
      </c>
      <c r="E18" s="23"/>
      <c r="F18" s="24"/>
      <c r="G18" s="23">
        <f t="shared" si="1"/>
        <v>-328.68000000000006</v>
      </c>
    </row>
    <row r="19" spans="1:9" s="21" customFormat="1" x14ac:dyDescent="0.35">
      <c r="A19" s="29">
        <v>2124000</v>
      </c>
      <c r="B19" s="29" t="s">
        <v>1409</v>
      </c>
      <c r="C19" s="23">
        <v>-439.75</v>
      </c>
      <c r="D19" s="23">
        <v>-13963.17000000002</v>
      </c>
      <c r="E19" s="23"/>
      <c r="F19" s="24"/>
      <c r="G19" s="23">
        <f t="shared" si="1"/>
        <v>-13963.17000000002</v>
      </c>
    </row>
    <row r="20" spans="1:9" s="21" customFormat="1" x14ac:dyDescent="0.35">
      <c r="A20" s="29">
        <v>2131000</v>
      </c>
      <c r="B20" s="29" t="s">
        <v>1410</v>
      </c>
      <c r="C20" s="23">
        <v>-142.19999999999999</v>
      </c>
      <c r="D20" s="23">
        <v>-5.000000000336513E-3</v>
      </c>
      <c r="E20" s="23"/>
      <c r="F20" s="24"/>
      <c r="G20" s="23">
        <f t="shared" si="1"/>
        <v>-5.000000000336513E-3</v>
      </c>
    </row>
    <row r="21" spans="1:9" s="21" customFormat="1" x14ac:dyDescent="0.35">
      <c r="A21" s="29">
        <v>2141000</v>
      </c>
      <c r="B21" s="29" t="s">
        <v>1411</v>
      </c>
      <c r="C21" s="23">
        <v>-135.46</v>
      </c>
      <c r="D21" s="23">
        <v>0</v>
      </c>
      <c r="E21" s="23"/>
      <c r="F21" s="24"/>
      <c r="G21" s="23">
        <f t="shared" si="1"/>
        <v>0</v>
      </c>
    </row>
    <row r="22" spans="1:9" s="21" customFormat="1" x14ac:dyDescent="0.35">
      <c r="A22" s="29">
        <v>2161000</v>
      </c>
      <c r="B22" s="29" t="s">
        <v>1412</v>
      </c>
      <c r="C22" s="23">
        <v>-267</v>
      </c>
      <c r="D22" s="23">
        <v>-210.51500000007218</v>
      </c>
      <c r="E22" s="23"/>
      <c r="F22" s="24"/>
      <c r="G22" s="23">
        <f t="shared" si="1"/>
        <v>-210.51500000007218</v>
      </c>
    </row>
    <row r="23" spans="1:9" s="21" customFormat="1" x14ac:dyDescent="0.35">
      <c r="A23" s="29">
        <v>2222000</v>
      </c>
      <c r="B23" s="29" t="s">
        <v>1406</v>
      </c>
      <c r="C23" s="23"/>
      <c r="D23" s="23"/>
      <c r="E23" s="23"/>
      <c r="F23" s="24"/>
      <c r="G23" s="23">
        <f>+D23</f>
        <v>0</v>
      </c>
    </row>
    <row r="24" spans="1:9" s="21" customFormat="1" x14ac:dyDescent="0.35">
      <c r="A24" s="29">
        <v>2241000</v>
      </c>
      <c r="B24" s="29" t="s">
        <v>1413</v>
      </c>
      <c r="C24" s="23">
        <v>-269.33</v>
      </c>
      <c r="D24" s="23">
        <v>-285200.33</v>
      </c>
      <c r="E24" s="23"/>
      <c r="F24" s="24"/>
      <c r="G24" s="23">
        <f>+D24</f>
        <v>-285200.33</v>
      </c>
    </row>
    <row r="25" spans="1:9" s="35" customFormat="1" x14ac:dyDescent="0.35">
      <c r="A25" s="72"/>
      <c r="B25" s="72" t="s">
        <v>1423</v>
      </c>
      <c r="C25" s="73"/>
      <c r="D25" s="73"/>
      <c r="E25" s="73"/>
      <c r="F25" s="74"/>
      <c r="G25" s="73">
        <f>SUM(G16:G24)</f>
        <v>-454888.23000000126</v>
      </c>
    </row>
    <row r="26" spans="1:9" s="21" customFormat="1" x14ac:dyDescent="0.35">
      <c r="A26" s="29"/>
      <c r="B26" s="33" t="s">
        <v>1614</v>
      </c>
      <c r="C26" s="23"/>
      <c r="D26" s="23"/>
      <c r="E26" s="23"/>
      <c r="F26" s="24"/>
      <c r="G26" s="23"/>
    </row>
    <row r="27" spans="1:9" s="21" customFormat="1" x14ac:dyDescent="0.35">
      <c r="A27" s="29">
        <v>3121000</v>
      </c>
      <c r="B27" s="29" t="s">
        <v>1414</v>
      </c>
      <c r="C27" s="23">
        <v>-83692.95</v>
      </c>
      <c r="D27" s="23">
        <v>-97603.62000000001</v>
      </c>
      <c r="E27" s="23"/>
      <c r="F27" s="24"/>
      <c r="G27" s="23">
        <f>+D27</f>
        <v>-97603.62000000001</v>
      </c>
      <c r="I27" s="36"/>
    </row>
    <row r="28" spans="1:9" s="21" customFormat="1" x14ac:dyDescent="0.35">
      <c r="A28" s="29">
        <v>3131000</v>
      </c>
      <c r="B28" s="29" t="s">
        <v>1415</v>
      </c>
      <c r="C28" s="23">
        <v>72070.11</v>
      </c>
      <c r="D28" s="23">
        <v>84048.930000000008</v>
      </c>
      <c r="E28" s="23"/>
      <c r="F28" s="24"/>
      <c r="G28" s="23">
        <f>+D28</f>
        <v>84048.930000000008</v>
      </c>
      <c r="I28" s="36"/>
    </row>
    <row r="29" spans="1:9" s="21" customFormat="1" x14ac:dyDescent="0.35">
      <c r="A29" s="29">
        <v>3141000</v>
      </c>
      <c r="B29" s="29" t="s">
        <v>1416</v>
      </c>
      <c r="C29" s="23">
        <v>-8369.2900000000009</v>
      </c>
      <c r="D29" s="23">
        <v>-9760.36</v>
      </c>
      <c r="E29" s="23"/>
      <c r="F29" s="29"/>
      <c r="G29" s="23">
        <f>+D29</f>
        <v>-9760.36</v>
      </c>
      <c r="I29" s="36"/>
    </row>
    <row r="30" spans="1:9" s="21" customFormat="1" x14ac:dyDescent="0.35">
      <c r="A30" s="29"/>
      <c r="B30" s="29" t="s">
        <v>1417</v>
      </c>
      <c r="C30" s="23"/>
      <c r="D30" s="23"/>
      <c r="E30" s="23"/>
      <c r="F30" s="24"/>
      <c r="G30" s="23">
        <f>+G49</f>
        <v>-40951.364999998434</v>
      </c>
      <c r="I30" s="36"/>
    </row>
    <row r="31" spans="1:9" s="35" customFormat="1" x14ac:dyDescent="0.35">
      <c r="A31" s="72"/>
      <c r="B31" s="72" t="s">
        <v>1418</v>
      </c>
      <c r="C31" s="73"/>
      <c r="D31" s="73"/>
      <c r="E31" s="73"/>
      <c r="F31" s="74"/>
      <c r="G31" s="73">
        <f>SUM(G27:G30)</f>
        <v>-64266.414999998437</v>
      </c>
      <c r="I31" s="37"/>
    </row>
    <row r="32" spans="1:9" s="21" customFormat="1" ht="19" thickBot="1" x14ac:dyDescent="0.4">
      <c r="A32" s="38"/>
      <c r="B32" s="38" t="s">
        <v>1419</v>
      </c>
      <c r="C32" s="39"/>
      <c r="D32" s="40"/>
      <c r="E32" s="40"/>
      <c r="F32" s="41"/>
      <c r="G32" s="39">
        <f>+G31+G25</f>
        <v>-519154.64499999967</v>
      </c>
      <c r="H32" s="42"/>
      <c r="I32" s="42"/>
    </row>
    <row r="33" spans="1:9" ht="19.5" thickTop="1" thickBot="1" x14ac:dyDescent="0.5">
      <c r="A33" s="43"/>
      <c r="B33" s="43"/>
      <c r="F33" s="45"/>
      <c r="G33" s="46"/>
      <c r="H33" s="47"/>
      <c r="I33" s="47"/>
    </row>
    <row r="34" spans="1:9" ht="26" x14ac:dyDescent="0.6">
      <c r="A34" s="90"/>
      <c r="B34" s="90" t="s">
        <v>7</v>
      </c>
      <c r="C34" s="50"/>
      <c r="D34" s="50"/>
      <c r="E34" s="50"/>
      <c r="F34" s="51"/>
      <c r="G34" s="50"/>
    </row>
    <row r="35" spans="1:9" x14ac:dyDescent="0.45">
      <c r="A35" s="22"/>
      <c r="B35" s="22" t="s">
        <v>1398</v>
      </c>
      <c r="C35" s="54"/>
      <c r="D35" s="54"/>
      <c r="E35" s="54"/>
      <c r="F35" s="55"/>
      <c r="G35" s="69"/>
    </row>
    <row r="36" spans="1:9" ht="19" thickBot="1" x14ac:dyDescent="0.5">
      <c r="A36" s="57"/>
      <c r="B36" s="57" t="str">
        <f>"Periodo desde el 01/01 hasta el " &amp;TEXT($B$3,"dd/mm/yyyy")</f>
        <v>Periodo desde el 01/01 hasta el 31/12/2024</v>
      </c>
      <c r="C36" s="58"/>
      <c r="D36" s="58"/>
      <c r="E36" s="58"/>
      <c r="F36" s="59"/>
      <c r="G36" s="58"/>
    </row>
    <row r="37" spans="1:9" x14ac:dyDescent="0.45">
      <c r="A37" s="61"/>
      <c r="B37" s="61"/>
      <c r="C37" s="54"/>
      <c r="D37" s="54"/>
      <c r="E37" s="54"/>
      <c r="F37" s="55"/>
      <c r="G37" s="54"/>
    </row>
    <row r="38" spans="1:9" x14ac:dyDescent="0.45">
      <c r="A38" s="61">
        <v>4112000</v>
      </c>
      <c r="B38" s="61" t="s">
        <v>1435</v>
      </c>
      <c r="C38" s="54">
        <v>0</v>
      </c>
      <c r="D38" s="54">
        <v>-2583657.67</v>
      </c>
      <c r="E38" s="54"/>
      <c r="F38" s="55"/>
      <c r="G38" s="54">
        <f>+D38</f>
        <v>-2583657.67</v>
      </c>
    </row>
    <row r="39" spans="1:9" x14ac:dyDescent="0.45">
      <c r="A39" s="61">
        <v>4131000</v>
      </c>
      <c r="B39" s="61" t="s">
        <v>1436</v>
      </c>
      <c r="C39" s="54"/>
      <c r="D39" s="54"/>
      <c r="E39" s="54"/>
      <c r="F39" s="55"/>
      <c r="G39" s="54">
        <f>+D39</f>
        <v>0</v>
      </c>
    </row>
    <row r="40" spans="1:9" x14ac:dyDescent="0.45">
      <c r="A40" s="61">
        <v>4141000</v>
      </c>
      <c r="B40" s="61" t="s">
        <v>1437</v>
      </c>
      <c r="C40" s="54">
        <v>0</v>
      </c>
      <c r="D40" s="54">
        <v>-4285.1499999999996</v>
      </c>
      <c r="E40" s="54"/>
      <c r="F40" s="55"/>
      <c r="G40" s="54">
        <f>+D40</f>
        <v>-4285.1499999999996</v>
      </c>
    </row>
    <row r="41" spans="1:9" x14ac:dyDescent="0.45">
      <c r="A41" s="61">
        <v>5131000</v>
      </c>
      <c r="B41" s="61" t="s">
        <v>1433</v>
      </c>
      <c r="C41" s="54">
        <v>0</v>
      </c>
      <c r="D41" s="54">
        <v>1145872.0550000011</v>
      </c>
      <c r="E41" s="54"/>
      <c r="F41" s="55"/>
      <c r="G41" s="54">
        <f>+D41</f>
        <v>1145872.0550000011</v>
      </c>
    </row>
    <row r="42" spans="1:9" x14ac:dyDescent="0.45">
      <c r="A42" s="61">
        <v>5132000</v>
      </c>
      <c r="B42" s="61" t="s">
        <v>1434</v>
      </c>
      <c r="C42" s="54">
        <v>0</v>
      </c>
      <c r="D42" s="54">
        <v>557042.92000000004</v>
      </c>
      <c r="E42" s="54"/>
      <c r="F42" s="55"/>
      <c r="G42" s="54">
        <f>+D42</f>
        <v>557042.92000000004</v>
      </c>
    </row>
    <row r="43" spans="1:9" x14ac:dyDescent="0.45">
      <c r="A43" s="79"/>
      <c r="B43" s="80" t="s">
        <v>1432</v>
      </c>
      <c r="C43" s="81"/>
      <c r="D43" s="81"/>
      <c r="E43" s="81"/>
      <c r="F43" s="82"/>
      <c r="G43" s="83">
        <f>SUM(G38:G42)</f>
        <v>-885027.84499999869</v>
      </c>
    </row>
    <row r="44" spans="1:9" x14ac:dyDescent="0.45">
      <c r="A44" s="61">
        <v>6121000</v>
      </c>
      <c r="B44" s="61" t="s">
        <v>1430</v>
      </c>
      <c r="C44" s="54">
        <v>0</v>
      </c>
      <c r="D44" s="54">
        <v>795435.91000000027</v>
      </c>
      <c r="E44" s="54"/>
      <c r="F44" s="55"/>
      <c r="G44" s="54">
        <f>+D44</f>
        <v>795435.91000000027</v>
      </c>
    </row>
    <row r="45" spans="1:9" x14ac:dyDescent="0.45">
      <c r="A45" s="61">
        <v>6132000</v>
      </c>
      <c r="B45" s="61" t="s">
        <v>1429</v>
      </c>
      <c r="C45" s="54"/>
      <c r="D45" s="54"/>
      <c r="E45" s="54"/>
      <c r="F45" s="55"/>
      <c r="G45" s="54">
        <f>+D45</f>
        <v>0</v>
      </c>
    </row>
    <row r="46" spans="1:9" x14ac:dyDescent="0.45">
      <c r="A46" s="61">
        <v>6133000</v>
      </c>
      <c r="B46" s="61" t="s">
        <v>1428</v>
      </c>
      <c r="C46" s="54">
        <v>0</v>
      </c>
      <c r="D46" s="54">
        <v>8269.51</v>
      </c>
      <c r="E46" s="54"/>
      <c r="F46" s="55"/>
      <c r="G46" s="54">
        <f>+D46</f>
        <v>8269.51</v>
      </c>
    </row>
    <row r="47" spans="1:9" x14ac:dyDescent="0.45">
      <c r="A47" s="79"/>
      <c r="B47" s="80" t="s">
        <v>1426</v>
      </c>
      <c r="C47" s="81"/>
      <c r="D47" s="81"/>
      <c r="E47" s="81"/>
      <c r="F47" s="82"/>
      <c r="G47" s="83">
        <f>SUM(G43:G46)</f>
        <v>-81322.424999998431</v>
      </c>
    </row>
    <row r="48" spans="1:9" x14ac:dyDescent="0.45">
      <c r="A48" s="61">
        <v>6141000</v>
      </c>
      <c r="B48" s="61" t="s">
        <v>1425</v>
      </c>
      <c r="C48" s="54">
        <v>0</v>
      </c>
      <c r="D48" s="54">
        <v>40371.06</v>
      </c>
      <c r="E48" s="54"/>
      <c r="F48" s="55"/>
      <c r="G48" s="54">
        <f>+D48</f>
        <v>40371.06</v>
      </c>
    </row>
    <row r="49" spans="1:7" ht="19" thickBot="1" x14ac:dyDescent="0.5">
      <c r="A49" s="70"/>
      <c r="B49" s="62" t="s">
        <v>1427</v>
      </c>
      <c r="C49" s="63"/>
      <c r="D49" s="63"/>
      <c r="E49" s="63"/>
      <c r="F49" s="64"/>
      <c r="G49" s="71">
        <f>+G47+G48</f>
        <v>-40951.364999998434</v>
      </c>
    </row>
    <row r="50" spans="1:7" ht="19.5" thickTop="1" thickBot="1" x14ac:dyDescent="0.5">
      <c r="B50" s="43"/>
      <c r="C50" s="85"/>
      <c r="D50" s="85"/>
      <c r="E50" s="85"/>
      <c r="F50" s="86"/>
      <c r="G50" s="87"/>
    </row>
    <row r="51" spans="1:7" ht="26" x14ac:dyDescent="0.6">
      <c r="A51" s="51"/>
      <c r="B51" s="90" t="s">
        <v>7</v>
      </c>
      <c r="C51" s="50"/>
      <c r="D51" s="50"/>
      <c r="E51" s="50"/>
      <c r="F51" s="51"/>
      <c r="G51" s="50"/>
    </row>
    <row r="52" spans="1:7" x14ac:dyDescent="0.45">
      <c r="A52" s="55"/>
      <c r="B52" s="22" t="s">
        <v>1440</v>
      </c>
      <c r="C52" s="54"/>
      <c r="D52" s="54"/>
      <c r="E52" s="54"/>
      <c r="F52" s="55"/>
      <c r="G52" s="69"/>
    </row>
    <row r="53" spans="1:7" ht="19" thickBot="1" x14ac:dyDescent="0.5">
      <c r="A53" s="59"/>
      <c r="B53" s="57" t="str">
        <f>"Periodo desde el 01/01 hasta el " &amp;TEXT($B$3,"dd/mm/yyyy")</f>
        <v>Periodo desde el 01/01 hasta el 31/12/2024</v>
      </c>
      <c r="C53" s="58"/>
      <c r="D53" s="58"/>
      <c r="E53" s="58"/>
      <c r="F53" s="59"/>
      <c r="G53" s="58"/>
    </row>
    <row r="54" spans="1:7" x14ac:dyDescent="0.45">
      <c r="A54" s="61"/>
      <c r="B54" s="61"/>
      <c r="C54" s="54"/>
      <c r="D54" s="54"/>
      <c r="E54" s="54"/>
      <c r="F54" s="55"/>
      <c r="G54" s="54"/>
    </row>
    <row r="55" spans="1:7" x14ac:dyDescent="0.45">
      <c r="A55" s="61"/>
      <c r="B55" s="84" t="s">
        <v>1446</v>
      </c>
      <c r="C55" s="54"/>
      <c r="D55" s="54"/>
      <c r="E55" s="54"/>
      <c r="F55" s="55"/>
      <c r="G55" s="54"/>
    </row>
    <row r="56" spans="1:7" x14ac:dyDescent="0.45">
      <c r="A56" s="61"/>
      <c r="B56" s="61" t="s">
        <v>1441</v>
      </c>
      <c r="C56" s="54"/>
      <c r="D56" s="54"/>
      <c r="E56" s="54"/>
      <c r="F56" s="55"/>
      <c r="G56" s="54">
        <f>+G49</f>
        <v>-40951.364999998434</v>
      </c>
    </row>
    <row r="57" spans="1:7" x14ac:dyDescent="0.45">
      <c r="A57" s="61"/>
      <c r="B57" s="61" t="s">
        <v>1442</v>
      </c>
      <c r="C57" s="54"/>
      <c r="D57" s="54"/>
      <c r="E57" s="54"/>
      <c r="F57" s="55"/>
      <c r="G57" s="54">
        <f>(+G12-C12)</f>
        <v>-19025.239999999991</v>
      </c>
    </row>
    <row r="58" spans="1:7" x14ac:dyDescent="0.45">
      <c r="A58" s="61"/>
      <c r="B58" s="61" t="s">
        <v>1443</v>
      </c>
      <c r="C58" s="54"/>
      <c r="D58" s="54"/>
      <c r="E58" s="54"/>
      <c r="F58" s="55"/>
      <c r="G58" s="54">
        <f>+(SUM(G7:G10)-SUM(C7:C10))</f>
        <v>436228.62</v>
      </c>
    </row>
    <row r="59" spans="1:7" x14ac:dyDescent="0.45">
      <c r="A59" s="61"/>
      <c r="B59" s="61" t="s">
        <v>1444</v>
      </c>
      <c r="C59" s="54"/>
      <c r="D59" s="54"/>
      <c r="E59" s="54"/>
      <c r="F59" s="55"/>
      <c r="G59" s="54">
        <f>(SUM(G14:G24)-SUM(C14:C24))</f>
        <v>-374765.26000000129</v>
      </c>
    </row>
    <row r="60" spans="1:7" x14ac:dyDescent="0.45">
      <c r="A60" s="72"/>
      <c r="B60" s="72" t="s">
        <v>1445</v>
      </c>
      <c r="C60" s="73"/>
      <c r="D60" s="73"/>
      <c r="E60" s="73"/>
      <c r="F60" s="74"/>
      <c r="G60" s="73">
        <f>SUM(G56:G59)</f>
        <v>1486.7550000002957</v>
      </c>
    </row>
    <row r="61" spans="1:7" x14ac:dyDescent="0.45">
      <c r="A61" s="61"/>
      <c r="B61" s="84" t="s">
        <v>1447</v>
      </c>
      <c r="C61" s="54"/>
      <c r="D61" s="54"/>
      <c r="E61" s="54"/>
      <c r="F61" s="55"/>
      <c r="G61" s="54"/>
    </row>
    <row r="62" spans="1:7" x14ac:dyDescent="0.45">
      <c r="A62" s="61"/>
      <c r="B62" s="61" t="s">
        <v>1448</v>
      </c>
      <c r="C62" s="54"/>
      <c r="D62" s="54"/>
      <c r="E62" s="54"/>
      <c r="F62" s="55"/>
      <c r="G62" s="54">
        <f>-C11+G11</f>
        <v>13910.670000000013</v>
      </c>
    </row>
    <row r="63" spans="1:7" x14ac:dyDescent="0.45">
      <c r="A63" s="61"/>
      <c r="B63" s="61" t="s">
        <v>1450</v>
      </c>
      <c r="C63" s="54"/>
      <c r="D63" s="54"/>
      <c r="E63" s="54"/>
      <c r="F63" s="55"/>
      <c r="G63" s="54">
        <f>+G27-C27</f>
        <v>-13910.670000000013</v>
      </c>
    </row>
    <row r="64" spans="1:7" x14ac:dyDescent="0.45">
      <c r="A64" s="72"/>
      <c r="B64" s="72" t="s">
        <v>1722</v>
      </c>
      <c r="C64" s="73"/>
      <c r="D64" s="73"/>
      <c r="E64" s="73"/>
      <c r="F64" s="74"/>
      <c r="G64" s="73">
        <f>SUM(G62:G63)</f>
        <v>0</v>
      </c>
    </row>
    <row r="65" spans="1:7" x14ac:dyDescent="0.45">
      <c r="A65" s="61"/>
      <c r="B65" s="84" t="s">
        <v>1723</v>
      </c>
      <c r="C65" s="54"/>
      <c r="D65" s="54"/>
      <c r="E65" s="54"/>
      <c r="F65" s="55"/>
      <c r="G65" s="54"/>
    </row>
    <row r="66" spans="1:7" x14ac:dyDescent="0.45">
      <c r="A66" s="61"/>
      <c r="B66" s="61" t="s">
        <v>1726</v>
      </c>
      <c r="C66" s="54"/>
      <c r="D66" s="54"/>
      <c r="E66" s="54"/>
      <c r="F66" s="55"/>
      <c r="G66" s="54">
        <f>(+G28+G29-C28-C29)</f>
        <v>10587.750000000007</v>
      </c>
    </row>
    <row r="67" spans="1:7" x14ac:dyDescent="0.45">
      <c r="A67" s="72"/>
      <c r="B67" s="72" t="s">
        <v>1727</v>
      </c>
      <c r="C67" s="73"/>
      <c r="D67" s="73"/>
      <c r="E67" s="73"/>
      <c r="F67" s="74"/>
      <c r="G67" s="73">
        <f>+G66</f>
        <v>10587.750000000007</v>
      </c>
    </row>
    <row r="68" spans="1:7" x14ac:dyDescent="0.45">
      <c r="A68" s="65"/>
      <c r="B68" s="66" t="s">
        <v>1724</v>
      </c>
      <c r="C68" s="67"/>
      <c r="D68" s="67"/>
      <c r="E68" s="67"/>
      <c r="F68" s="66"/>
      <c r="G68" s="67">
        <f>-G67-G64-G60</f>
        <v>-12074.505000000303</v>
      </c>
    </row>
    <row r="69" spans="1:7" x14ac:dyDescent="0.45">
      <c r="A69" s="61"/>
      <c r="B69" s="61" t="s">
        <v>1725</v>
      </c>
      <c r="C69" s="54"/>
      <c r="D69" s="54"/>
      <c r="E69" s="54"/>
      <c r="F69" s="55"/>
      <c r="G69" s="54">
        <f>+C6+C5</f>
        <v>94499.62000000001</v>
      </c>
    </row>
    <row r="70" spans="1:7" ht="19" thickBot="1" x14ac:dyDescent="0.5">
      <c r="A70" s="70"/>
      <c r="B70" s="62" t="s">
        <v>1728</v>
      </c>
      <c r="C70" s="71"/>
      <c r="D70" s="71"/>
      <c r="E70" s="71"/>
      <c r="F70" s="62"/>
      <c r="G70" s="71">
        <f>+G68+G69</f>
        <v>82425.1149999997</v>
      </c>
    </row>
    <row r="71" spans="1:7" ht="19.5" thickTop="1" thickBot="1" x14ac:dyDescent="0.5"/>
    <row r="72" spans="1:7" ht="26" x14ac:dyDescent="0.6">
      <c r="A72" s="94"/>
      <c r="B72" s="90" t="s">
        <v>7</v>
      </c>
      <c r="C72" s="50"/>
      <c r="D72" s="50"/>
      <c r="E72" s="50"/>
      <c r="F72" s="51"/>
      <c r="G72" s="52"/>
    </row>
    <row r="73" spans="1:7" x14ac:dyDescent="0.45">
      <c r="A73" s="95"/>
      <c r="B73" s="22" t="s">
        <v>1729</v>
      </c>
      <c r="C73" s="54"/>
      <c r="D73" s="54"/>
      <c r="E73" s="54"/>
      <c r="F73" s="55"/>
      <c r="G73" s="56"/>
    </row>
    <row r="74" spans="1:7" ht="19" thickBot="1" x14ac:dyDescent="0.5">
      <c r="A74" s="96"/>
      <c r="B74" s="57" t="str">
        <f>"Periodo desde el 01/01 hasta el " &amp;TEXT($B$3,"dd/mm/yyyy")</f>
        <v>Periodo desde el 01/01 hasta el 31/12/2024</v>
      </c>
      <c r="C74" s="58"/>
      <c r="D74" s="58"/>
      <c r="E74" s="58"/>
      <c r="F74" s="59"/>
      <c r="G74" s="60"/>
    </row>
    <row r="75" spans="1:7" x14ac:dyDescent="0.45">
      <c r="A75" s="49"/>
      <c r="B75" s="68"/>
      <c r="C75" s="50"/>
      <c r="D75" s="50"/>
      <c r="E75" s="111" t="s">
        <v>1751</v>
      </c>
      <c r="F75" s="108" t="s">
        <v>1752</v>
      </c>
      <c r="G75" s="109" t="s">
        <v>1739</v>
      </c>
    </row>
    <row r="76" spans="1:7" x14ac:dyDescent="0.45">
      <c r="A76" s="53"/>
      <c r="B76" s="61" t="s">
        <v>1730</v>
      </c>
      <c r="C76" s="54"/>
      <c r="D76" s="54"/>
      <c r="E76" s="112">
        <v>1.5</v>
      </c>
      <c r="F76" s="113">
        <v>2</v>
      </c>
      <c r="G76" s="118">
        <f>+SUM(G5:G10)/-SUM(G16:G23)</f>
        <v>3.0594676461904067</v>
      </c>
    </row>
    <row r="77" spans="1:7" x14ac:dyDescent="0.45">
      <c r="A77" s="53"/>
      <c r="B77" s="61" t="s">
        <v>1735</v>
      </c>
      <c r="C77" s="54"/>
      <c r="D77" s="54"/>
      <c r="E77" s="112">
        <v>0.2</v>
      </c>
      <c r="F77" s="113">
        <v>0.4</v>
      </c>
      <c r="G77" s="118">
        <f>+SUM(G5:G6)/-SUM(G16:G23)</f>
        <v>0.48574535956892895</v>
      </c>
    </row>
    <row r="78" spans="1:7" x14ac:dyDescent="0.45">
      <c r="A78" s="53"/>
      <c r="B78" s="61" t="s">
        <v>1734</v>
      </c>
      <c r="C78" s="54"/>
      <c r="D78" s="54"/>
      <c r="E78" s="112">
        <v>1.5</v>
      </c>
      <c r="F78" s="113">
        <v>2</v>
      </c>
      <c r="G78" s="118">
        <f>+G13/-G25</f>
        <v>1.1412795622344321</v>
      </c>
    </row>
    <row r="79" spans="1:7" x14ac:dyDescent="0.45">
      <c r="A79" s="53"/>
      <c r="B79" s="61" t="s">
        <v>1736</v>
      </c>
      <c r="C79" s="54"/>
      <c r="D79" s="54"/>
      <c r="E79" s="112">
        <v>0</v>
      </c>
      <c r="F79" s="113">
        <v>0.5</v>
      </c>
      <c r="G79" s="118">
        <f>+G25/G32</f>
        <v>0.87620949630528988</v>
      </c>
    </row>
    <row r="80" spans="1:7" x14ac:dyDescent="0.45">
      <c r="A80" s="53"/>
      <c r="B80" s="61" t="s">
        <v>1737</v>
      </c>
      <c r="C80" s="54"/>
      <c r="D80" s="54"/>
      <c r="E80" s="112">
        <v>0</v>
      </c>
      <c r="F80" s="113">
        <v>0.5</v>
      </c>
      <c r="G80" s="118">
        <f>+SUM(G16:G23)/G25</f>
        <v>0.37303207427459883</v>
      </c>
    </row>
    <row r="81" spans="1:7" x14ac:dyDescent="0.45">
      <c r="A81" s="53"/>
      <c r="B81" s="61" t="s">
        <v>1731</v>
      </c>
      <c r="C81" s="54"/>
      <c r="D81" s="54"/>
      <c r="E81" s="116"/>
      <c r="F81" s="114">
        <v>0.12</v>
      </c>
      <c r="G81" s="119">
        <f>G46/-SUM(G43:G45)</f>
        <v>9.2301946598208257E-2</v>
      </c>
    </row>
    <row r="82" spans="1:7" x14ac:dyDescent="0.45">
      <c r="A82" s="53"/>
      <c r="B82" s="61" t="s">
        <v>1732</v>
      </c>
      <c r="C82" s="54"/>
      <c r="D82" s="54"/>
      <c r="E82" s="116">
        <v>0.1</v>
      </c>
      <c r="F82" s="114"/>
      <c r="G82" s="119">
        <f>+G49/-G13</f>
        <v>7.888086100896384E-2</v>
      </c>
    </row>
    <row r="83" spans="1:7" x14ac:dyDescent="0.45">
      <c r="A83" s="53"/>
      <c r="B83" s="61" t="s">
        <v>1742</v>
      </c>
      <c r="C83" s="54"/>
      <c r="D83" s="54"/>
      <c r="E83" s="116">
        <v>0.15</v>
      </c>
      <c r="F83" s="114"/>
      <c r="G83" s="119">
        <f>+G49/(G31-G30)</f>
        <v>1.7564347921191861</v>
      </c>
    </row>
    <row r="84" spans="1:7" x14ac:dyDescent="0.45">
      <c r="A84" s="53"/>
      <c r="B84" s="61" t="s">
        <v>1733</v>
      </c>
      <c r="C84" s="54"/>
      <c r="D84" s="54"/>
      <c r="E84" s="116">
        <v>0.4</v>
      </c>
      <c r="F84" s="114"/>
      <c r="G84" s="119">
        <f>+G43/G38</f>
        <v>0.34254841702770888</v>
      </c>
    </row>
    <row r="85" spans="1:7" ht="19" thickBot="1" x14ac:dyDescent="0.5">
      <c r="A85" s="91"/>
      <c r="B85" s="92" t="s">
        <v>1738</v>
      </c>
      <c r="C85" s="93"/>
      <c r="D85" s="93"/>
      <c r="E85" s="117">
        <v>0.15</v>
      </c>
      <c r="F85" s="115"/>
      <c r="G85" s="120">
        <f>+G49/G38</f>
        <v>1.585015130893809E-2</v>
      </c>
    </row>
    <row r="86" spans="1:7" x14ac:dyDescent="0.45">
      <c r="A86" s="110" t="s">
        <v>1740</v>
      </c>
      <c r="B86" s="97"/>
      <c r="C86" s="98"/>
      <c r="D86" s="98"/>
      <c r="E86" s="98"/>
      <c r="F86" s="99"/>
      <c r="G86" s="100"/>
    </row>
    <row r="87" spans="1:7" x14ac:dyDescent="0.45">
      <c r="A87" s="121" t="s">
        <v>1753</v>
      </c>
      <c r="C87" s="102"/>
      <c r="D87" s="102"/>
      <c r="E87" s="102"/>
      <c r="G87" s="103"/>
    </row>
    <row r="88" spans="1:7" x14ac:dyDescent="0.45">
      <c r="A88" s="101"/>
      <c r="C88" s="102"/>
      <c r="D88" s="102"/>
      <c r="E88" s="102"/>
      <c r="G88" s="103"/>
    </row>
    <row r="89" spans="1:7" x14ac:dyDescent="0.45">
      <c r="A89" s="101"/>
      <c r="C89" s="102"/>
      <c r="D89" s="102"/>
      <c r="E89" s="102"/>
      <c r="G89" s="103"/>
    </row>
    <row r="90" spans="1:7" x14ac:dyDescent="0.45">
      <c r="A90" s="101"/>
      <c r="C90" s="102"/>
      <c r="D90" s="102"/>
      <c r="E90" s="102"/>
      <c r="G90" s="103"/>
    </row>
    <row r="91" spans="1:7" x14ac:dyDescent="0.45">
      <c r="A91" s="101"/>
      <c r="C91" s="102"/>
      <c r="D91" s="102"/>
      <c r="E91" s="102"/>
      <c r="G91" s="103"/>
    </row>
    <row r="92" spans="1:7" x14ac:dyDescent="0.45">
      <c r="A92" s="101"/>
      <c r="C92" s="102"/>
      <c r="D92" s="102"/>
      <c r="E92" s="102"/>
      <c r="G92" s="103"/>
    </row>
    <row r="93" spans="1:7" x14ac:dyDescent="0.45">
      <c r="A93" s="101"/>
      <c r="C93" s="102"/>
      <c r="D93" s="102"/>
      <c r="E93" s="102"/>
      <c r="G93" s="103"/>
    </row>
    <row r="94" spans="1:7" x14ac:dyDescent="0.45">
      <c r="A94" s="101"/>
      <c r="C94" s="102"/>
      <c r="D94" s="102"/>
      <c r="E94" s="102"/>
      <c r="G94" s="103"/>
    </row>
    <row r="95" spans="1:7" x14ac:dyDescent="0.45">
      <c r="A95" s="101"/>
      <c r="C95" s="102"/>
      <c r="D95" s="102"/>
      <c r="E95" s="102"/>
      <c r="G95" s="103"/>
    </row>
    <row r="96" spans="1:7" x14ac:dyDescent="0.45">
      <c r="A96" s="101"/>
      <c r="C96" s="102"/>
      <c r="D96" s="102"/>
      <c r="E96" s="102"/>
      <c r="G96" s="103"/>
    </row>
    <row r="97" spans="1:7" x14ac:dyDescent="0.45">
      <c r="A97" s="101"/>
      <c r="C97" s="102"/>
      <c r="D97" s="102"/>
      <c r="E97" s="102"/>
      <c r="G97" s="103"/>
    </row>
    <row r="98" spans="1:7" ht="19" thickBot="1" x14ac:dyDescent="0.5">
      <c r="A98" s="104"/>
      <c r="B98" s="105"/>
      <c r="C98" s="106"/>
      <c r="D98" s="106"/>
      <c r="E98" s="106"/>
      <c r="F98" s="105"/>
      <c r="G98" s="107"/>
    </row>
  </sheetData>
  <sheetProtection sheet="1" objects="1" scenarios="1"/>
  <conditionalFormatting sqref="G76">
    <cfRule type="cellIs" dxfId="26" priority="19" operator="lessThan">
      <formula>$E$76</formula>
    </cfRule>
    <cfRule type="cellIs" dxfId="25" priority="20" operator="greaterThan">
      <formula>$F$76</formula>
    </cfRule>
  </conditionalFormatting>
  <conditionalFormatting sqref="G77">
    <cfRule type="cellIs" dxfId="24" priority="8" operator="lessThan">
      <formula>$E$77</formula>
    </cfRule>
    <cfRule type="cellIs" dxfId="23" priority="17" operator="lessThan">
      <formula>$E$77</formula>
    </cfRule>
    <cfRule type="cellIs" dxfId="22" priority="18" operator="greaterThan">
      <formula>$F$77</formula>
    </cfRule>
  </conditionalFormatting>
  <conditionalFormatting sqref="G78">
    <cfRule type="cellIs" dxfId="21" priority="7" operator="lessThan">
      <formula>$E$78</formula>
    </cfRule>
    <cfRule type="cellIs" dxfId="20" priority="16" operator="greaterThan">
      <formula>$F$78</formula>
    </cfRule>
  </conditionalFormatting>
  <conditionalFormatting sqref="G79">
    <cfRule type="cellIs" dxfId="19" priority="15" operator="greaterThan">
      <formula>$F$79</formula>
    </cfRule>
  </conditionalFormatting>
  <conditionalFormatting sqref="G80">
    <cfRule type="cellIs" dxfId="18" priority="6" operator="lessThan">
      <formula>$E$80</formula>
    </cfRule>
    <cfRule type="cellIs" dxfId="17" priority="14" operator="greaterThan">
      <formula>$F$80</formula>
    </cfRule>
  </conditionalFormatting>
  <conditionalFormatting sqref="G81">
    <cfRule type="cellIs" dxfId="16" priority="5" operator="lessThan">
      <formula>$E$81</formula>
    </cfRule>
    <cfRule type="cellIs" dxfId="15" priority="13" operator="greaterThan">
      <formula>$F$81</formula>
    </cfRule>
  </conditionalFormatting>
  <conditionalFormatting sqref="G82">
    <cfRule type="cellIs" dxfId="14" priority="4" operator="lessThan">
      <formula>$E$82</formula>
    </cfRule>
  </conditionalFormatting>
  <conditionalFormatting sqref="G83">
    <cfRule type="cellIs" dxfId="13" priority="3" operator="lessThan">
      <formula>$E$83</formula>
    </cfRule>
  </conditionalFormatting>
  <conditionalFormatting sqref="G84">
    <cfRule type="cellIs" dxfId="12" priority="2" operator="lessThan">
      <formula>$E$84</formula>
    </cfRule>
  </conditionalFormatting>
  <conditionalFormatting sqref="G85">
    <cfRule type="cellIs" dxfId="11" priority="1" operator="lessThan">
      <formula>$E$85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horizontalDpi="4294967294" verticalDpi="0" r:id="rId1"/>
  <rowBreaks count="3" manualBreakCount="3">
    <brk id="32" max="5" man="1"/>
    <brk id="49" max="5" man="1"/>
    <brk id="70" max="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AD853-4D72-4A8B-8479-708333BD8629}">
  <sheetPr codeName="Hoja3"/>
  <dimension ref="A1:I4161"/>
  <sheetViews>
    <sheetView workbookViewId="0">
      <selection activeCell="D4139" sqref="D4139"/>
    </sheetView>
  </sheetViews>
  <sheetFormatPr baseColWidth="10" defaultRowHeight="14.5" x14ac:dyDescent="0.35"/>
  <cols>
    <col min="1" max="1" width="10.453125" bestFit="1" customWidth="1"/>
    <col min="2" max="2" width="8.90625" bestFit="1" customWidth="1"/>
    <col min="3" max="3" width="10" bestFit="1" customWidth="1"/>
    <col min="4" max="4" width="44.36328125" bestFit="1" customWidth="1"/>
    <col min="5" max="5" width="73.90625" bestFit="1" customWidth="1"/>
    <col min="6" max="7" width="13.36328125" style="3" bestFit="1" customWidth="1"/>
    <col min="8" max="8" width="14.1796875" style="3" bestFit="1" customWidth="1"/>
    <col min="9" max="9" width="13.26953125" bestFit="1" customWidth="1"/>
  </cols>
  <sheetData>
    <row r="1" spans="1:9" x14ac:dyDescent="0.35">
      <c r="A1" t="s">
        <v>8</v>
      </c>
      <c r="B1" t="s">
        <v>9</v>
      </c>
      <c r="C1" t="s">
        <v>10</v>
      </c>
      <c r="D1" t="s">
        <v>0</v>
      </c>
      <c r="E1" t="s">
        <v>11</v>
      </c>
      <c r="F1" s="3" t="s">
        <v>12</v>
      </c>
      <c r="G1" s="3" t="s">
        <v>13</v>
      </c>
      <c r="H1" s="3" t="s">
        <v>14</v>
      </c>
      <c r="I1" t="s">
        <v>15</v>
      </c>
    </row>
    <row r="2" spans="1:9" x14ac:dyDescent="0.35">
      <c r="A2" s="2">
        <v>45291</v>
      </c>
      <c r="B2">
        <v>73</v>
      </c>
      <c r="C2">
        <v>1111001</v>
      </c>
      <c r="D2" t="s">
        <v>16</v>
      </c>
      <c r="E2" t="s">
        <v>17</v>
      </c>
      <c r="F2" s="3">
        <v>76393.88</v>
      </c>
      <c r="G2" s="3">
        <v>0</v>
      </c>
      <c r="H2" s="3">
        <v>76393.88</v>
      </c>
      <c r="I2" t="s">
        <v>18</v>
      </c>
    </row>
    <row r="3" spans="1:9" x14ac:dyDescent="0.35">
      <c r="A3" s="2">
        <v>45291</v>
      </c>
      <c r="B3">
        <v>73</v>
      </c>
      <c r="C3">
        <v>1111003</v>
      </c>
      <c r="D3" t="s">
        <v>19</v>
      </c>
      <c r="E3" t="s">
        <v>17</v>
      </c>
      <c r="F3" s="3">
        <v>17623.97</v>
      </c>
      <c r="G3" s="3">
        <v>0</v>
      </c>
      <c r="H3" s="3">
        <v>17623.97</v>
      </c>
      <c r="I3" t="s">
        <v>18</v>
      </c>
    </row>
    <row r="4" spans="1:9" x14ac:dyDescent="0.35">
      <c r="A4" s="2">
        <v>45291</v>
      </c>
      <c r="B4">
        <v>73</v>
      </c>
      <c r="C4">
        <v>1112001</v>
      </c>
      <c r="D4" t="s">
        <v>20</v>
      </c>
      <c r="E4" t="s">
        <v>17</v>
      </c>
      <c r="F4" s="3">
        <v>313.51</v>
      </c>
      <c r="G4" s="3">
        <v>0</v>
      </c>
      <c r="H4" s="3">
        <v>313.51</v>
      </c>
      <c r="I4" t="s">
        <v>18</v>
      </c>
    </row>
    <row r="5" spans="1:9" x14ac:dyDescent="0.35">
      <c r="A5" s="2">
        <v>45291</v>
      </c>
      <c r="B5">
        <v>73</v>
      </c>
      <c r="C5">
        <v>1112002</v>
      </c>
      <c r="D5" t="s">
        <v>21</v>
      </c>
      <c r="E5" t="s">
        <v>17</v>
      </c>
      <c r="F5" s="3">
        <v>136</v>
      </c>
      <c r="G5" s="3">
        <v>0</v>
      </c>
      <c r="H5" s="3">
        <v>136</v>
      </c>
      <c r="I5" t="s">
        <v>18</v>
      </c>
    </row>
    <row r="6" spans="1:9" x14ac:dyDescent="0.35">
      <c r="A6" s="2">
        <v>45291</v>
      </c>
      <c r="B6">
        <v>73</v>
      </c>
      <c r="C6">
        <v>1112003</v>
      </c>
      <c r="D6" t="s">
        <v>22</v>
      </c>
      <c r="E6" t="s">
        <v>17</v>
      </c>
      <c r="F6" s="3">
        <v>32.26</v>
      </c>
      <c r="G6" s="3">
        <v>0</v>
      </c>
      <c r="H6" s="3">
        <v>32.26</v>
      </c>
      <c r="I6" t="s">
        <v>18</v>
      </c>
    </row>
    <row r="7" spans="1:9" x14ac:dyDescent="0.35">
      <c r="A7" s="2">
        <v>45291</v>
      </c>
      <c r="B7">
        <v>73</v>
      </c>
      <c r="C7">
        <v>1141002</v>
      </c>
      <c r="D7" t="s">
        <v>23</v>
      </c>
      <c r="E7" t="s">
        <v>17</v>
      </c>
      <c r="F7" s="3">
        <v>2.36</v>
      </c>
      <c r="G7" s="3">
        <v>0</v>
      </c>
      <c r="H7" s="3">
        <v>2.36</v>
      </c>
      <c r="I7" t="s">
        <v>18</v>
      </c>
    </row>
    <row r="8" spans="1:9" x14ac:dyDescent="0.35">
      <c r="A8" s="2">
        <v>45291</v>
      </c>
      <c r="B8">
        <v>73</v>
      </c>
      <c r="C8">
        <v>1142003</v>
      </c>
      <c r="D8" t="s">
        <v>24</v>
      </c>
      <c r="E8" t="s">
        <v>17</v>
      </c>
      <c r="F8" s="3">
        <v>498.55</v>
      </c>
      <c r="G8" s="3">
        <v>0</v>
      </c>
      <c r="H8" s="3">
        <v>498.55</v>
      </c>
      <c r="I8" t="s">
        <v>18</v>
      </c>
    </row>
    <row r="9" spans="1:9" x14ac:dyDescent="0.35">
      <c r="A9" s="2">
        <v>45291</v>
      </c>
      <c r="B9">
        <v>73</v>
      </c>
      <c r="C9">
        <v>1241080</v>
      </c>
      <c r="D9" t="s">
        <v>25</v>
      </c>
      <c r="E9" t="s">
        <v>17</v>
      </c>
      <c r="F9" s="3">
        <v>83692.95</v>
      </c>
      <c r="G9" s="3">
        <v>0</v>
      </c>
      <c r="H9" s="3">
        <v>83692.95</v>
      </c>
      <c r="I9" t="s">
        <v>18</v>
      </c>
    </row>
    <row r="10" spans="1:9" x14ac:dyDescent="0.35">
      <c r="A10" s="2">
        <v>45291</v>
      </c>
      <c r="B10">
        <v>73</v>
      </c>
      <c r="C10">
        <v>1242080</v>
      </c>
      <c r="D10" t="s">
        <v>26</v>
      </c>
      <c r="E10" t="s">
        <v>17</v>
      </c>
      <c r="F10" s="3">
        <v>0</v>
      </c>
      <c r="G10" s="3">
        <v>78578.38</v>
      </c>
      <c r="H10" s="3">
        <v>-78578.38</v>
      </c>
      <c r="I10" t="s">
        <v>18</v>
      </c>
    </row>
    <row r="11" spans="1:9" x14ac:dyDescent="0.35">
      <c r="A11" s="2">
        <v>45291</v>
      </c>
      <c r="B11">
        <v>73</v>
      </c>
      <c r="C11">
        <v>2121001</v>
      </c>
      <c r="D11" t="s">
        <v>27</v>
      </c>
      <c r="E11" t="s">
        <v>17</v>
      </c>
      <c r="F11" s="3">
        <v>0</v>
      </c>
      <c r="G11" s="3">
        <v>0.06</v>
      </c>
      <c r="H11" s="3">
        <v>-0.06</v>
      </c>
      <c r="I11" t="s">
        <v>18</v>
      </c>
    </row>
    <row r="12" spans="1:9" x14ac:dyDescent="0.35">
      <c r="A12" s="2">
        <v>45291</v>
      </c>
      <c r="B12">
        <v>73</v>
      </c>
      <c r="C12">
        <v>2121003</v>
      </c>
      <c r="D12" t="s">
        <v>28</v>
      </c>
      <c r="E12" t="s">
        <v>17</v>
      </c>
      <c r="F12" s="3">
        <v>0</v>
      </c>
      <c r="G12" s="3">
        <v>78869.17</v>
      </c>
      <c r="H12" s="3">
        <v>-78869.17</v>
      </c>
      <c r="I12" t="s">
        <v>18</v>
      </c>
    </row>
    <row r="13" spans="1:9" x14ac:dyDescent="0.35">
      <c r="A13" s="2">
        <v>45291</v>
      </c>
      <c r="B13">
        <v>73</v>
      </c>
      <c r="C13">
        <v>2124004</v>
      </c>
      <c r="D13" t="s">
        <v>29</v>
      </c>
      <c r="E13" t="s">
        <v>17</v>
      </c>
      <c r="F13" s="3">
        <v>0</v>
      </c>
      <c r="G13" s="3">
        <v>361.81</v>
      </c>
      <c r="H13" s="3">
        <v>-361.81</v>
      </c>
      <c r="I13" t="s">
        <v>18</v>
      </c>
    </row>
    <row r="14" spans="1:9" x14ac:dyDescent="0.35">
      <c r="A14" s="2">
        <v>45291</v>
      </c>
      <c r="B14">
        <v>73</v>
      </c>
      <c r="C14">
        <v>2124007</v>
      </c>
      <c r="D14" t="s">
        <v>30</v>
      </c>
      <c r="E14" t="s">
        <v>17</v>
      </c>
      <c r="F14" s="3">
        <v>0</v>
      </c>
      <c r="G14" s="3">
        <v>77.94</v>
      </c>
      <c r="H14" s="3">
        <v>-77.94</v>
      </c>
      <c r="I14" t="s">
        <v>18</v>
      </c>
    </row>
    <row r="15" spans="1:9" x14ac:dyDescent="0.35">
      <c r="A15" s="2">
        <v>45291</v>
      </c>
      <c r="B15">
        <v>73</v>
      </c>
      <c r="C15">
        <v>2131002</v>
      </c>
      <c r="D15" t="s">
        <v>31</v>
      </c>
      <c r="E15" t="s">
        <v>17</v>
      </c>
      <c r="F15" s="3">
        <v>0</v>
      </c>
      <c r="G15" s="3">
        <v>43.2</v>
      </c>
      <c r="H15" s="3">
        <v>-43.2</v>
      </c>
      <c r="I15" t="s">
        <v>18</v>
      </c>
    </row>
    <row r="16" spans="1:9" x14ac:dyDescent="0.35">
      <c r="A16" s="2">
        <v>45291</v>
      </c>
      <c r="B16">
        <v>73</v>
      </c>
      <c r="C16">
        <v>2131003</v>
      </c>
      <c r="D16" t="s">
        <v>32</v>
      </c>
      <c r="E16" t="s">
        <v>17</v>
      </c>
      <c r="F16" s="3">
        <v>0</v>
      </c>
      <c r="G16" s="3">
        <v>5.4</v>
      </c>
      <c r="H16" s="3">
        <v>-5.4</v>
      </c>
      <c r="I16" t="s">
        <v>18</v>
      </c>
    </row>
    <row r="17" spans="1:9" x14ac:dyDescent="0.35">
      <c r="A17" s="2">
        <v>45291</v>
      </c>
      <c r="B17">
        <v>73</v>
      </c>
      <c r="C17">
        <v>2131004</v>
      </c>
      <c r="D17" t="s">
        <v>33</v>
      </c>
      <c r="E17" t="s">
        <v>17</v>
      </c>
      <c r="F17" s="3">
        <v>0</v>
      </c>
      <c r="G17" s="3">
        <v>23.4</v>
      </c>
      <c r="H17" s="3">
        <v>-23.4</v>
      </c>
      <c r="I17" t="s">
        <v>18</v>
      </c>
    </row>
    <row r="18" spans="1:9" x14ac:dyDescent="0.35">
      <c r="A18" s="2">
        <v>45291</v>
      </c>
      <c r="B18">
        <v>73</v>
      </c>
      <c r="C18">
        <v>2131005</v>
      </c>
      <c r="D18" t="s">
        <v>34</v>
      </c>
      <c r="E18" t="s">
        <v>17</v>
      </c>
      <c r="F18" s="3">
        <v>0</v>
      </c>
      <c r="G18" s="3">
        <v>70.2</v>
      </c>
      <c r="H18" s="3">
        <v>-70.2</v>
      </c>
      <c r="I18" t="s">
        <v>18</v>
      </c>
    </row>
    <row r="19" spans="1:9" x14ac:dyDescent="0.35">
      <c r="A19" s="2">
        <v>45291</v>
      </c>
      <c r="B19">
        <v>73</v>
      </c>
      <c r="C19">
        <v>2141001</v>
      </c>
      <c r="D19" t="s">
        <v>35</v>
      </c>
      <c r="E19" t="s">
        <v>17</v>
      </c>
      <c r="F19" s="3">
        <v>0</v>
      </c>
      <c r="G19" s="3">
        <v>106.2</v>
      </c>
      <c r="H19" s="3">
        <v>-106.2</v>
      </c>
      <c r="I19" t="s">
        <v>18</v>
      </c>
    </row>
    <row r="20" spans="1:9" x14ac:dyDescent="0.35">
      <c r="A20" s="2">
        <v>45291</v>
      </c>
      <c r="B20">
        <v>73</v>
      </c>
      <c r="C20">
        <v>2141002</v>
      </c>
      <c r="D20" t="s">
        <v>36</v>
      </c>
      <c r="E20" t="s">
        <v>17</v>
      </c>
      <c r="F20" s="3">
        <v>0</v>
      </c>
      <c r="G20" s="3">
        <v>23.4</v>
      </c>
      <c r="H20" s="3">
        <v>-23.4</v>
      </c>
      <c r="I20" t="s">
        <v>18</v>
      </c>
    </row>
    <row r="21" spans="1:9" x14ac:dyDescent="0.35">
      <c r="A21" s="2">
        <v>45291</v>
      </c>
      <c r="B21">
        <v>73</v>
      </c>
      <c r="C21">
        <v>2141003</v>
      </c>
      <c r="D21" t="s">
        <v>37</v>
      </c>
      <c r="E21" t="s">
        <v>17</v>
      </c>
      <c r="F21" s="3">
        <v>0</v>
      </c>
      <c r="G21" s="3">
        <v>5.86</v>
      </c>
      <c r="H21" s="3">
        <v>-5.86</v>
      </c>
      <c r="I21" t="s">
        <v>18</v>
      </c>
    </row>
    <row r="22" spans="1:9" x14ac:dyDescent="0.35">
      <c r="A22" s="2">
        <v>45291</v>
      </c>
      <c r="B22">
        <v>73</v>
      </c>
      <c r="C22">
        <v>2161004</v>
      </c>
      <c r="D22" t="s">
        <v>38</v>
      </c>
      <c r="E22" t="s">
        <v>17</v>
      </c>
      <c r="F22" s="3">
        <v>0</v>
      </c>
      <c r="G22" s="3">
        <v>132.33000000000001</v>
      </c>
      <c r="H22" s="3">
        <v>-132.33000000000001</v>
      </c>
      <c r="I22" t="s">
        <v>18</v>
      </c>
    </row>
    <row r="23" spans="1:9" x14ac:dyDescent="0.35">
      <c r="A23" s="2">
        <v>45291</v>
      </c>
      <c r="B23">
        <v>73</v>
      </c>
      <c r="C23">
        <v>2161005</v>
      </c>
      <c r="D23" t="s">
        <v>39</v>
      </c>
      <c r="E23" t="s">
        <v>17</v>
      </c>
      <c r="F23" s="3">
        <v>0</v>
      </c>
      <c r="G23" s="3">
        <v>134.66999999999999</v>
      </c>
      <c r="H23" s="3">
        <v>-134.66999999999999</v>
      </c>
      <c r="I23" t="s">
        <v>18</v>
      </c>
    </row>
    <row r="24" spans="1:9" x14ac:dyDescent="0.35">
      <c r="A24" s="2">
        <v>45291</v>
      </c>
      <c r="B24">
        <v>73</v>
      </c>
      <c r="C24">
        <v>2241001</v>
      </c>
      <c r="D24" t="s">
        <v>40</v>
      </c>
      <c r="E24" t="s">
        <v>17</v>
      </c>
      <c r="F24" s="3">
        <v>0</v>
      </c>
      <c r="G24" s="3">
        <v>269.33</v>
      </c>
      <c r="H24" s="3">
        <v>-269.33</v>
      </c>
      <c r="I24" t="s">
        <v>18</v>
      </c>
    </row>
    <row r="25" spans="1:9" x14ac:dyDescent="0.35">
      <c r="A25" s="2">
        <v>45291</v>
      </c>
      <c r="B25">
        <v>73</v>
      </c>
      <c r="C25">
        <v>3121080</v>
      </c>
      <c r="D25" t="s">
        <v>41</v>
      </c>
      <c r="E25" t="s">
        <v>17</v>
      </c>
      <c r="F25" s="3">
        <v>0</v>
      </c>
      <c r="G25" s="3">
        <v>83692.95</v>
      </c>
      <c r="H25" s="3">
        <v>-83692.95</v>
      </c>
      <c r="I25" t="s">
        <v>18</v>
      </c>
    </row>
    <row r="26" spans="1:9" x14ac:dyDescent="0.35">
      <c r="A26" s="2">
        <v>45291</v>
      </c>
      <c r="B26">
        <v>73</v>
      </c>
      <c r="C26">
        <v>3131001</v>
      </c>
      <c r="D26" t="s">
        <v>42</v>
      </c>
      <c r="E26" t="s">
        <v>17</v>
      </c>
      <c r="F26" s="3">
        <v>0</v>
      </c>
      <c r="G26" s="3">
        <v>14877.56</v>
      </c>
      <c r="H26" s="3">
        <v>-14877.56</v>
      </c>
      <c r="I26" t="s">
        <v>18</v>
      </c>
    </row>
    <row r="27" spans="1:9" x14ac:dyDescent="0.35">
      <c r="A27" s="2">
        <v>45291</v>
      </c>
      <c r="B27">
        <v>73</v>
      </c>
      <c r="C27">
        <v>3131080</v>
      </c>
      <c r="D27" t="s">
        <v>43</v>
      </c>
      <c r="E27" t="s">
        <v>17</v>
      </c>
      <c r="F27" s="3">
        <v>86947.67</v>
      </c>
      <c r="G27" s="3">
        <v>0</v>
      </c>
      <c r="H27" s="3">
        <v>86947.67</v>
      </c>
      <c r="I27" t="s">
        <v>18</v>
      </c>
    </row>
    <row r="28" spans="1:9" x14ac:dyDescent="0.35">
      <c r="A28" s="2">
        <v>45291</v>
      </c>
      <c r="B28">
        <v>73</v>
      </c>
      <c r="C28">
        <v>3141080</v>
      </c>
      <c r="D28" t="s">
        <v>44</v>
      </c>
      <c r="E28" t="s">
        <v>17</v>
      </c>
      <c r="F28" s="3">
        <v>0</v>
      </c>
      <c r="G28" s="3">
        <v>8369.2900000000009</v>
      </c>
      <c r="H28" s="3">
        <v>-8369.2900000000009</v>
      </c>
      <c r="I28" t="s">
        <v>18</v>
      </c>
    </row>
    <row r="29" spans="1:9" x14ac:dyDescent="0.35">
      <c r="A29" s="2">
        <v>45306</v>
      </c>
      <c r="B29">
        <v>75</v>
      </c>
      <c r="C29">
        <v>6121027</v>
      </c>
      <c r="D29" t="s">
        <v>45</v>
      </c>
      <c r="E29" t="s">
        <v>46</v>
      </c>
      <c r="F29" s="3">
        <v>297.66000000000003</v>
      </c>
      <c r="G29" s="3">
        <v>0</v>
      </c>
      <c r="H29" s="3">
        <v>297.66000000000003</v>
      </c>
      <c r="I29" t="s">
        <v>47</v>
      </c>
    </row>
    <row r="30" spans="1:9" x14ac:dyDescent="0.35">
      <c r="A30" s="2">
        <v>45306</v>
      </c>
      <c r="B30">
        <v>75</v>
      </c>
      <c r="C30">
        <v>2114010</v>
      </c>
      <c r="D30" t="s">
        <v>48</v>
      </c>
      <c r="E30" t="s">
        <v>46</v>
      </c>
      <c r="F30" s="3">
        <v>0</v>
      </c>
      <c r="G30" s="3">
        <v>297.66000000000003</v>
      </c>
      <c r="H30" s="3">
        <v>-297.66000000000003</v>
      </c>
      <c r="I30" t="s">
        <v>47</v>
      </c>
    </row>
    <row r="31" spans="1:9" x14ac:dyDescent="0.35">
      <c r="A31" s="2">
        <v>45306</v>
      </c>
      <c r="B31">
        <v>75</v>
      </c>
      <c r="C31">
        <v>6121023</v>
      </c>
      <c r="D31" t="s">
        <v>49</v>
      </c>
      <c r="E31" t="s">
        <v>50</v>
      </c>
      <c r="F31" s="3">
        <v>250.25</v>
      </c>
      <c r="G31" s="3">
        <v>0</v>
      </c>
      <c r="H31" s="3">
        <v>250.25</v>
      </c>
      <c r="I31" t="s">
        <v>51</v>
      </c>
    </row>
    <row r="32" spans="1:9" x14ac:dyDescent="0.35">
      <c r="A32" s="2">
        <v>45306</v>
      </c>
      <c r="B32">
        <v>75</v>
      </c>
      <c r="C32">
        <v>2114010</v>
      </c>
      <c r="D32" t="s">
        <v>48</v>
      </c>
      <c r="E32" t="s">
        <v>50</v>
      </c>
      <c r="F32" s="3">
        <v>0</v>
      </c>
      <c r="G32" s="3">
        <v>250.25</v>
      </c>
      <c r="H32" s="3">
        <v>-250.25</v>
      </c>
      <c r="I32" t="s">
        <v>51</v>
      </c>
    </row>
    <row r="33" spans="1:9" x14ac:dyDescent="0.35">
      <c r="A33" s="2">
        <v>45306</v>
      </c>
      <c r="B33">
        <v>75</v>
      </c>
      <c r="C33">
        <v>6121023</v>
      </c>
      <c r="D33" t="s">
        <v>49</v>
      </c>
      <c r="E33" t="s">
        <v>52</v>
      </c>
      <c r="F33" s="3">
        <v>90.9</v>
      </c>
      <c r="G33" s="3">
        <v>0</v>
      </c>
      <c r="H33" s="3">
        <v>90.9</v>
      </c>
      <c r="I33" t="s">
        <v>53</v>
      </c>
    </row>
    <row r="34" spans="1:9" x14ac:dyDescent="0.35">
      <c r="A34" s="2">
        <v>45306</v>
      </c>
      <c r="B34">
        <v>75</v>
      </c>
      <c r="C34">
        <v>2114010</v>
      </c>
      <c r="D34" t="s">
        <v>48</v>
      </c>
      <c r="E34" t="s">
        <v>52</v>
      </c>
      <c r="F34" s="3">
        <v>0</v>
      </c>
      <c r="G34" s="3">
        <v>90.9</v>
      </c>
      <c r="H34" s="3">
        <v>-90.9</v>
      </c>
      <c r="I34" t="s">
        <v>53</v>
      </c>
    </row>
    <row r="35" spans="1:9" x14ac:dyDescent="0.35">
      <c r="A35" s="2">
        <v>45306</v>
      </c>
      <c r="B35">
        <v>75</v>
      </c>
      <c r="C35">
        <v>6121023</v>
      </c>
      <c r="D35" t="s">
        <v>49</v>
      </c>
      <c r="E35" t="s">
        <v>52</v>
      </c>
      <c r="F35" s="3">
        <v>85.88</v>
      </c>
      <c r="G35" s="3">
        <v>0</v>
      </c>
      <c r="H35" s="3">
        <v>85.88</v>
      </c>
      <c r="I35" t="s">
        <v>54</v>
      </c>
    </row>
    <row r="36" spans="1:9" x14ac:dyDescent="0.35">
      <c r="A36" s="2">
        <v>45306</v>
      </c>
      <c r="B36">
        <v>75</v>
      </c>
      <c r="C36">
        <v>2114010</v>
      </c>
      <c r="D36" t="s">
        <v>48</v>
      </c>
      <c r="E36" t="s">
        <v>52</v>
      </c>
      <c r="F36" s="3">
        <v>0</v>
      </c>
      <c r="G36" s="3">
        <v>85.88</v>
      </c>
      <c r="H36" s="3">
        <v>-85.88</v>
      </c>
      <c r="I36" t="s">
        <v>54</v>
      </c>
    </row>
    <row r="37" spans="1:9" x14ac:dyDescent="0.35">
      <c r="A37" s="2">
        <v>45306</v>
      </c>
      <c r="B37">
        <v>75</v>
      </c>
      <c r="C37">
        <v>6121023</v>
      </c>
      <c r="D37" t="s">
        <v>49</v>
      </c>
      <c r="E37" t="s">
        <v>52</v>
      </c>
      <c r="F37" s="3">
        <v>1953.43</v>
      </c>
      <c r="G37" s="3">
        <v>0</v>
      </c>
      <c r="H37" s="3">
        <v>1953.43</v>
      </c>
      <c r="I37" t="s">
        <v>55</v>
      </c>
    </row>
    <row r="38" spans="1:9" x14ac:dyDescent="0.35">
      <c r="A38" s="2">
        <v>45306</v>
      </c>
      <c r="B38">
        <v>75</v>
      </c>
      <c r="C38">
        <v>2114010</v>
      </c>
      <c r="D38" t="s">
        <v>48</v>
      </c>
      <c r="E38" t="s">
        <v>52</v>
      </c>
      <c r="F38" s="3">
        <v>0</v>
      </c>
      <c r="G38" s="3">
        <v>1953.43</v>
      </c>
      <c r="H38" s="3">
        <v>-1953.43</v>
      </c>
      <c r="I38" t="s">
        <v>55</v>
      </c>
    </row>
    <row r="39" spans="1:9" x14ac:dyDescent="0.35">
      <c r="A39" s="2">
        <v>45306</v>
      </c>
      <c r="B39">
        <v>75</v>
      </c>
      <c r="C39">
        <v>6121023</v>
      </c>
      <c r="D39" t="s">
        <v>49</v>
      </c>
      <c r="E39" t="s">
        <v>52</v>
      </c>
      <c r="F39" s="3">
        <v>1251.75</v>
      </c>
      <c r="G39" s="3">
        <v>0</v>
      </c>
      <c r="H39" s="3">
        <v>1251.75</v>
      </c>
      <c r="I39" t="s">
        <v>56</v>
      </c>
    </row>
    <row r="40" spans="1:9" x14ac:dyDescent="0.35">
      <c r="A40" s="2">
        <v>45306</v>
      </c>
      <c r="B40">
        <v>75</v>
      </c>
      <c r="C40">
        <v>2114010</v>
      </c>
      <c r="D40" t="s">
        <v>48</v>
      </c>
      <c r="E40" t="s">
        <v>52</v>
      </c>
      <c r="F40" s="3">
        <v>0</v>
      </c>
      <c r="G40" s="3">
        <v>1251.75</v>
      </c>
      <c r="H40" s="3">
        <v>-1251.75</v>
      </c>
      <c r="I40" t="s">
        <v>56</v>
      </c>
    </row>
    <row r="41" spans="1:9" x14ac:dyDescent="0.35">
      <c r="A41" s="2">
        <v>45306</v>
      </c>
      <c r="B41">
        <v>75</v>
      </c>
      <c r="C41">
        <v>6121023</v>
      </c>
      <c r="D41" t="s">
        <v>49</v>
      </c>
      <c r="E41" t="s">
        <v>52</v>
      </c>
      <c r="F41" s="3">
        <v>327.02999999999997</v>
      </c>
      <c r="G41" s="3">
        <v>0</v>
      </c>
      <c r="H41" s="3">
        <v>327.02999999999997</v>
      </c>
      <c r="I41" t="s">
        <v>57</v>
      </c>
    </row>
    <row r="42" spans="1:9" x14ac:dyDescent="0.35">
      <c r="A42" s="2">
        <v>45306</v>
      </c>
      <c r="B42">
        <v>75</v>
      </c>
      <c r="C42">
        <v>2114010</v>
      </c>
      <c r="D42" t="s">
        <v>48</v>
      </c>
      <c r="E42" t="s">
        <v>52</v>
      </c>
      <c r="F42" s="3">
        <v>0</v>
      </c>
      <c r="G42" s="3">
        <v>327.02999999999997</v>
      </c>
      <c r="H42" s="3">
        <v>-327.02999999999997</v>
      </c>
      <c r="I42" t="s">
        <v>57</v>
      </c>
    </row>
    <row r="43" spans="1:9" x14ac:dyDescent="0.35">
      <c r="A43" s="2">
        <v>45306</v>
      </c>
      <c r="B43">
        <v>75</v>
      </c>
      <c r="C43">
        <v>4112003</v>
      </c>
      <c r="D43" t="s">
        <v>58</v>
      </c>
      <c r="E43" t="s">
        <v>59</v>
      </c>
      <c r="F43" s="3">
        <v>0</v>
      </c>
      <c r="G43" s="3">
        <v>931.25</v>
      </c>
      <c r="H43" s="3">
        <v>-931.25</v>
      </c>
      <c r="I43" t="s">
        <v>60</v>
      </c>
    </row>
    <row r="44" spans="1:9" x14ac:dyDescent="0.35">
      <c r="A44" s="2">
        <v>45306</v>
      </c>
      <c r="B44">
        <v>75</v>
      </c>
      <c r="C44">
        <v>2121001</v>
      </c>
      <c r="D44" t="s">
        <v>27</v>
      </c>
      <c r="E44" t="s">
        <v>59</v>
      </c>
      <c r="F44" s="3">
        <v>0</v>
      </c>
      <c r="G44" s="3">
        <v>149</v>
      </c>
      <c r="H44" s="3">
        <v>-149</v>
      </c>
      <c r="I44" t="s">
        <v>60</v>
      </c>
    </row>
    <row r="45" spans="1:9" x14ac:dyDescent="0.35">
      <c r="A45" s="2">
        <v>45306</v>
      </c>
      <c r="B45">
        <v>75</v>
      </c>
      <c r="C45">
        <v>1111001</v>
      </c>
      <c r="D45" t="s">
        <v>16</v>
      </c>
      <c r="E45" t="s">
        <v>59</v>
      </c>
      <c r="F45" s="3">
        <v>1080.25</v>
      </c>
      <c r="G45" s="3">
        <v>0</v>
      </c>
      <c r="H45" s="3">
        <v>1080.25</v>
      </c>
      <c r="I45" t="s">
        <v>60</v>
      </c>
    </row>
    <row r="46" spans="1:9" x14ac:dyDescent="0.35">
      <c r="A46" s="2">
        <v>45306</v>
      </c>
      <c r="B46">
        <v>75</v>
      </c>
      <c r="C46">
        <v>4112003</v>
      </c>
      <c r="D46" t="s">
        <v>58</v>
      </c>
      <c r="E46" t="s">
        <v>59</v>
      </c>
      <c r="F46" s="3">
        <v>0</v>
      </c>
      <c r="G46" s="3">
        <v>1707.13</v>
      </c>
      <c r="H46" s="3">
        <v>-1707.13</v>
      </c>
      <c r="I46" t="s">
        <v>61</v>
      </c>
    </row>
    <row r="47" spans="1:9" x14ac:dyDescent="0.35">
      <c r="A47" s="2">
        <v>45306</v>
      </c>
      <c r="B47">
        <v>75</v>
      </c>
      <c r="C47">
        <v>2121001</v>
      </c>
      <c r="D47" t="s">
        <v>27</v>
      </c>
      <c r="E47" t="s">
        <v>59</v>
      </c>
      <c r="F47" s="3">
        <v>0</v>
      </c>
      <c r="G47" s="3">
        <v>273.14</v>
      </c>
      <c r="H47" s="3">
        <v>-273.14</v>
      </c>
      <c r="I47" t="s">
        <v>61</v>
      </c>
    </row>
    <row r="48" spans="1:9" x14ac:dyDescent="0.35">
      <c r="A48" s="2">
        <v>45306</v>
      </c>
      <c r="B48">
        <v>75</v>
      </c>
      <c r="C48">
        <v>1111001</v>
      </c>
      <c r="D48" t="s">
        <v>16</v>
      </c>
      <c r="E48" t="s">
        <v>59</v>
      </c>
      <c r="F48" s="3">
        <v>1980.27</v>
      </c>
      <c r="G48" s="3">
        <v>0</v>
      </c>
      <c r="H48" s="3">
        <v>1980.27</v>
      </c>
      <c r="I48" t="s">
        <v>61</v>
      </c>
    </row>
    <row r="49" spans="1:9" x14ac:dyDescent="0.35">
      <c r="A49" s="2">
        <v>45306</v>
      </c>
      <c r="B49">
        <v>75</v>
      </c>
      <c r="C49">
        <v>4112003</v>
      </c>
      <c r="D49" t="s">
        <v>58</v>
      </c>
      <c r="E49" t="s">
        <v>59</v>
      </c>
      <c r="F49" s="3">
        <v>0</v>
      </c>
      <c r="G49" s="3">
        <v>1939.88</v>
      </c>
      <c r="H49" s="3">
        <v>-1939.88</v>
      </c>
      <c r="I49" t="s">
        <v>62</v>
      </c>
    </row>
    <row r="50" spans="1:9" x14ac:dyDescent="0.35">
      <c r="A50" s="2">
        <v>45306</v>
      </c>
      <c r="B50">
        <v>75</v>
      </c>
      <c r="C50">
        <v>2121001</v>
      </c>
      <c r="D50" t="s">
        <v>27</v>
      </c>
      <c r="E50" t="s">
        <v>59</v>
      </c>
      <c r="F50" s="3">
        <v>0</v>
      </c>
      <c r="G50" s="3">
        <v>310.38</v>
      </c>
      <c r="H50" s="3">
        <v>-310.38</v>
      </c>
      <c r="I50" t="s">
        <v>62</v>
      </c>
    </row>
    <row r="51" spans="1:9" x14ac:dyDescent="0.35">
      <c r="A51" s="2">
        <v>45306</v>
      </c>
      <c r="B51">
        <v>75</v>
      </c>
      <c r="C51">
        <v>1111001</v>
      </c>
      <c r="D51" t="s">
        <v>16</v>
      </c>
      <c r="E51" t="s">
        <v>59</v>
      </c>
      <c r="F51" s="3">
        <v>2250.2600000000002</v>
      </c>
      <c r="G51" s="3">
        <v>0</v>
      </c>
      <c r="H51" s="3">
        <v>2250.2600000000002</v>
      </c>
      <c r="I51" t="s">
        <v>62</v>
      </c>
    </row>
    <row r="52" spans="1:9" x14ac:dyDescent="0.35">
      <c r="A52" s="2">
        <v>45306</v>
      </c>
      <c r="B52">
        <v>75</v>
      </c>
      <c r="C52">
        <v>4112003</v>
      </c>
      <c r="D52" t="s">
        <v>58</v>
      </c>
      <c r="E52" t="s">
        <v>59</v>
      </c>
      <c r="F52" s="3">
        <v>0</v>
      </c>
      <c r="G52" s="3">
        <v>3026.17</v>
      </c>
      <c r="H52" s="3">
        <v>-3026.17</v>
      </c>
      <c r="I52" t="s">
        <v>63</v>
      </c>
    </row>
    <row r="53" spans="1:9" x14ac:dyDescent="0.35">
      <c r="A53" s="2">
        <v>45306</v>
      </c>
      <c r="B53">
        <v>75</v>
      </c>
      <c r="C53">
        <v>2121001</v>
      </c>
      <c r="D53" t="s">
        <v>27</v>
      </c>
      <c r="E53" t="s">
        <v>59</v>
      </c>
      <c r="F53" s="3">
        <v>0</v>
      </c>
      <c r="G53" s="3">
        <v>484.19</v>
      </c>
      <c r="H53" s="3">
        <v>-484.19</v>
      </c>
      <c r="I53" t="s">
        <v>63</v>
      </c>
    </row>
    <row r="54" spans="1:9" x14ac:dyDescent="0.35">
      <c r="A54" s="2">
        <v>45306</v>
      </c>
      <c r="B54">
        <v>75</v>
      </c>
      <c r="C54">
        <v>1111001</v>
      </c>
      <c r="D54" t="s">
        <v>16</v>
      </c>
      <c r="E54" t="s">
        <v>59</v>
      </c>
      <c r="F54" s="3">
        <v>3510.36</v>
      </c>
      <c r="G54" s="3">
        <v>0</v>
      </c>
      <c r="H54" s="3">
        <v>3510.36</v>
      </c>
      <c r="I54" t="s">
        <v>63</v>
      </c>
    </row>
    <row r="55" spans="1:9" x14ac:dyDescent="0.35">
      <c r="A55" s="2">
        <v>45306</v>
      </c>
      <c r="B55">
        <v>75</v>
      </c>
      <c r="C55">
        <v>4112003</v>
      </c>
      <c r="D55" t="s">
        <v>58</v>
      </c>
      <c r="E55" t="s">
        <v>59</v>
      </c>
      <c r="F55" s="3">
        <v>0</v>
      </c>
      <c r="G55" s="3">
        <v>2327.81</v>
      </c>
      <c r="H55" s="3">
        <v>-2327.81</v>
      </c>
      <c r="I55" t="s">
        <v>64</v>
      </c>
    </row>
    <row r="56" spans="1:9" x14ac:dyDescent="0.35">
      <c r="A56" s="2">
        <v>45306</v>
      </c>
      <c r="B56">
        <v>75</v>
      </c>
      <c r="C56">
        <v>2121001</v>
      </c>
      <c r="D56" t="s">
        <v>27</v>
      </c>
      <c r="E56" t="s">
        <v>59</v>
      </c>
      <c r="F56" s="3">
        <v>0</v>
      </c>
      <c r="G56" s="3">
        <v>372.45</v>
      </c>
      <c r="H56" s="3">
        <v>-372.45</v>
      </c>
      <c r="I56" t="s">
        <v>64</v>
      </c>
    </row>
    <row r="57" spans="1:9" x14ac:dyDescent="0.35">
      <c r="A57" s="2">
        <v>45306</v>
      </c>
      <c r="B57">
        <v>75</v>
      </c>
      <c r="C57">
        <v>1111001</v>
      </c>
      <c r="D57" t="s">
        <v>16</v>
      </c>
      <c r="E57" t="s">
        <v>59</v>
      </c>
      <c r="F57" s="3">
        <v>2700.26</v>
      </c>
      <c r="G57" s="3">
        <v>0</v>
      </c>
      <c r="H57" s="3">
        <v>2700.26</v>
      </c>
      <c r="I57" t="s">
        <v>64</v>
      </c>
    </row>
    <row r="58" spans="1:9" x14ac:dyDescent="0.35">
      <c r="A58" s="2">
        <v>45306</v>
      </c>
      <c r="B58">
        <v>75</v>
      </c>
      <c r="C58">
        <v>4112003</v>
      </c>
      <c r="D58" t="s">
        <v>58</v>
      </c>
      <c r="E58" t="s">
        <v>59</v>
      </c>
      <c r="F58" s="3">
        <v>0</v>
      </c>
      <c r="G58" s="3">
        <v>2793.24</v>
      </c>
      <c r="H58" s="3">
        <v>-2793.24</v>
      </c>
      <c r="I58" t="s">
        <v>65</v>
      </c>
    </row>
    <row r="59" spans="1:9" x14ac:dyDescent="0.35">
      <c r="A59" s="2">
        <v>45306</v>
      </c>
      <c r="B59">
        <v>75</v>
      </c>
      <c r="C59">
        <v>2121001</v>
      </c>
      <c r="D59" t="s">
        <v>27</v>
      </c>
      <c r="E59" t="s">
        <v>59</v>
      </c>
      <c r="F59" s="3">
        <v>0</v>
      </c>
      <c r="G59" s="3">
        <v>446.92</v>
      </c>
      <c r="H59" s="3">
        <v>-446.92</v>
      </c>
      <c r="I59" t="s">
        <v>65</v>
      </c>
    </row>
    <row r="60" spans="1:9" x14ac:dyDescent="0.35">
      <c r="A60" s="2">
        <v>45306</v>
      </c>
      <c r="B60">
        <v>75</v>
      </c>
      <c r="C60">
        <v>1111001</v>
      </c>
      <c r="D60" t="s">
        <v>16</v>
      </c>
      <c r="E60" t="s">
        <v>59</v>
      </c>
      <c r="F60" s="3">
        <v>3240.16</v>
      </c>
      <c r="G60" s="3">
        <v>0</v>
      </c>
      <c r="H60" s="3">
        <v>3240.16</v>
      </c>
      <c r="I60" t="s">
        <v>65</v>
      </c>
    </row>
    <row r="61" spans="1:9" x14ac:dyDescent="0.35">
      <c r="A61" s="2">
        <v>45306</v>
      </c>
      <c r="B61">
        <v>75</v>
      </c>
      <c r="C61">
        <v>4112003</v>
      </c>
      <c r="D61" t="s">
        <v>58</v>
      </c>
      <c r="E61" t="s">
        <v>59</v>
      </c>
      <c r="F61" s="3">
        <v>0</v>
      </c>
      <c r="G61" s="3">
        <v>2560.84</v>
      </c>
      <c r="H61" s="3">
        <v>-2560.84</v>
      </c>
      <c r="I61" t="s">
        <v>66</v>
      </c>
    </row>
    <row r="62" spans="1:9" x14ac:dyDescent="0.35">
      <c r="A62" s="2">
        <v>45306</v>
      </c>
      <c r="B62">
        <v>75</v>
      </c>
      <c r="C62">
        <v>2121001</v>
      </c>
      <c r="D62" t="s">
        <v>27</v>
      </c>
      <c r="E62" t="s">
        <v>59</v>
      </c>
      <c r="F62" s="3">
        <v>0</v>
      </c>
      <c r="G62" s="3">
        <v>409.73</v>
      </c>
      <c r="H62" s="3">
        <v>-409.73</v>
      </c>
      <c r="I62" t="s">
        <v>66</v>
      </c>
    </row>
    <row r="63" spans="1:9" x14ac:dyDescent="0.35">
      <c r="A63" s="2">
        <v>45306</v>
      </c>
      <c r="B63">
        <v>75</v>
      </c>
      <c r="C63">
        <v>1111001</v>
      </c>
      <c r="D63" t="s">
        <v>16</v>
      </c>
      <c r="E63" t="s">
        <v>59</v>
      </c>
      <c r="F63" s="3">
        <v>2970.57</v>
      </c>
      <c r="G63" s="3">
        <v>0</v>
      </c>
      <c r="H63" s="3">
        <v>2970.57</v>
      </c>
      <c r="I63" t="s">
        <v>66</v>
      </c>
    </row>
    <row r="64" spans="1:9" x14ac:dyDescent="0.35">
      <c r="A64" s="2">
        <v>45306</v>
      </c>
      <c r="B64">
        <v>75</v>
      </c>
      <c r="C64">
        <v>4112003</v>
      </c>
      <c r="D64" t="s">
        <v>58</v>
      </c>
      <c r="E64" t="s">
        <v>59</v>
      </c>
      <c r="F64" s="3">
        <v>0</v>
      </c>
      <c r="G64" s="3">
        <v>2281.52</v>
      </c>
      <c r="H64" s="3">
        <v>-2281.52</v>
      </c>
      <c r="I64" t="s">
        <v>67</v>
      </c>
    </row>
    <row r="65" spans="1:9" x14ac:dyDescent="0.35">
      <c r="A65" s="2">
        <v>45306</v>
      </c>
      <c r="B65">
        <v>75</v>
      </c>
      <c r="C65">
        <v>2121001</v>
      </c>
      <c r="D65" t="s">
        <v>27</v>
      </c>
      <c r="E65" t="s">
        <v>59</v>
      </c>
      <c r="F65" s="3">
        <v>0</v>
      </c>
      <c r="G65" s="3">
        <v>365.04</v>
      </c>
      <c r="H65" s="3">
        <v>-365.04</v>
      </c>
      <c r="I65" t="s">
        <v>67</v>
      </c>
    </row>
    <row r="66" spans="1:9" x14ac:dyDescent="0.35">
      <c r="A66" s="2">
        <v>45306</v>
      </c>
      <c r="B66">
        <v>75</v>
      </c>
      <c r="C66">
        <v>1111001</v>
      </c>
      <c r="D66" t="s">
        <v>16</v>
      </c>
      <c r="E66" t="s">
        <v>59</v>
      </c>
      <c r="F66" s="3">
        <v>2646.56</v>
      </c>
      <c r="G66" s="3">
        <v>0</v>
      </c>
      <c r="H66" s="3">
        <v>2646.56</v>
      </c>
      <c r="I66" t="s">
        <v>67</v>
      </c>
    </row>
    <row r="67" spans="1:9" x14ac:dyDescent="0.35">
      <c r="A67" s="2">
        <v>45306</v>
      </c>
      <c r="B67">
        <v>75</v>
      </c>
      <c r="C67">
        <v>4112003</v>
      </c>
      <c r="D67" t="s">
        <v>58</v>
      </c>
      <c r="E67" t="s">
        <v>59</v>
      </c>
      <c r="F67" s="3">
        <v>0</v>
      </c>
      <c r="G67" s="3">
        <v>3499.77</v>
      </c>
      <c r="H67" s="3">
        <v>-3499.77</v>
      </c>
      <c r="I67" t="s">
        <v>68</v>
      </c>
    </row>
    <row r="68" spans="1:9" x14ac:dyDescent="0.35">
      <c r="A68" s="2">
        <v>45306</v>
      </c>
      <c r="B68">
        <v>75</v>
      </c>
      <c r="C68">
        <v>2121001</v>
      </c>
      <c r="D68" t="s">
        <v>27</v>
      </c>
      <c r="E68" t="s">
        <v>59</v>
      </c>
      <c r="F68" s="3">
        <v>0</v>
      </c>
      <c r="G68" s="3">
        <v>559.96</v>
      </c>
      <c r="H68" s="3">
        <v>-559.96</v>
      </c>
      <c r="I68" t="s">
        <v>68</v>
      </c>
    </row>
    <row r="69" spans="1:9" x14ac:dyDescent="0.35">
      <c r="A69" s="2">
        <v>45306</v>
      </c>
      <c r="B69">
        <v>75</v>
      </c>
      <c r="C69">
        <v>1111001</v>
      </c>
      <c r="D69" t="s">
        <v>16</v>
      </c>
      <c r="E69" t="s">
        <v>59</v>
      </c>
      <c r="F69" s="3">
        <v>4059.73</v>
      </c>
      <c r="G69" s="3">
        <v>0</v>
      </c>
      <c r="H69" s="3">
        <v>4059.73</v>
      </c>
      <c r="I69" t="s">
        <v>68</v>
      </c>
    </row>
    <row r="70" spans="1:9" x14ac:dyDescent="0.35">
      <c r="A70" s="2">
        <v>45306</v>
      </c>
      <c r="B70">
        <v>75</v>
      </c>
      <c r="C70">
        <v>4112003</v>
      </c>
      <c r="D70" t="s">
        <v>58</v>
      </c>
      <c r="E70" t="s">
        <v>59</v>
      </c>
      <c r="F70" s="3">
        <v>0</v>
      </c>
      <c r="G70" s="3">
        <v>5121.3999999999996</v>
      </c>
      <c r="H70" s="3">
        <v>-5121.3999999999996</v>
      </c>
      <c r="I70" t="s">
        <v>69</v>
      </c>
    </row>
    <row r="71" spans="1:9" x14ac:dyDescent="0.35">
      <c r="A71" s="2">
        <v>45306</v>
      </c>
      <c r="B71">
        <v>75</v>
      </c>
      <c r="C71">
        <v>2121001</v>
      </c>
      <c r="D71" t="s">
        <v>27</v>
      </c>
      <c r="E71" t="s">
        <v>59</v>
      </c>
      <c r="F71" s="3">
        <v>0</v>
      </c>
      <c r="G71" s="3">
        <v>819.42</v>
      </c>
      <c r="H71" s="3">
        <v>-819.42</v>
      </c>
      <c r="I71" t="s">
        <v>69</v>
      </c>
    </row>
    <row r="72" spans="1:9" x14ac:dyDescent="0.35">
      <c r="A72" s="2">
        <v>45306</v>
      </c>
      <c r="B72">
        <v>75</v>
      </c>
      <c r="C72">
        <v>1111001</v>
      </c>
      <c r="D72" t="s">
        <v>16</v>
      </c>
      <c r="E72" t="s">
        <v>59</v>
      </c>
      <c r="F72" s="3">
        <v>5940.82</v>
      </c>
      <c r="G72" s="3">
        <v>0</v>
      </c>
      <c r="H72" s="3">
        <v>5940.82</v>
      </c>
      <c r="I72" t="s">
        <v>69</v>
      </c>
    </row>
    <row r="73" spans="1:9" x14ac:dyDescent="0.35">
      <c r="A73" s="2">
        <v>45306</v>
      </c>
      <c r="B73">
        <v>75</v>
      </c>
      <c r="C73">
        <v>4112003</v>
      </c>
      <c r="D73" t="s">
        <v>58</v>
      </c>
      <c r="E73" t="s">
        <v>59</v>
      </c>
      <c r="F73" s="3">
        <v>0</v>
      </c>
      <c r="G73" s="3">
        <v>4966.2</v>
      </c>
      <c r="H73" s="3">
        <v>-4966.2</v>
      </c>
      <c r="I73" t="s">
        <v>70</v>
      </c>
    </row>
    <row r="74" spans="1:9" x14ac:dyDescent="0.35">
      <c r="A74" s="2">
        <v>45306</v>
      </c>
      <c r="B74">
        <v>75</v>
      </c>
      <c r="C74">
        <v>2121001</v>
      </c>
      <c r="D74" t="s">
        <v>27</v>
      </c>
      <c r="E74" t="s">
        <v>59</v>
      </c>
      <c r="F74" s="3">
        <v>0</v>
      </c>
      <c r="G74" s="3">
        <v>794.59</v>
      </c>
      <c r="H74" s="3">
        <v>-794.59</v>
      </c>
      <c r="I74" t="s">
        <v>70</v>
      </c>
    </row>
    <row r="75" spans="1:9" x14ac:dyDescent="0.35">
      <c r="A75" s="2">
        <v>45306</v>
      </c>
      <c r="B75">
        <v>75</v>
      </c>
      <c r="C75">
        <v>1111001</v>
      </c>
      <c r="D75" t="s">
        <v>16</v>
      </c>
      <c r="E75" t="s">
        <v>59</v>
      </c>
      <c r="F75" s="3">
        <v>5760.79</v>
      </c>
      <c r="G75" s="3">
        <v>0</v>
      </c>
      <c r="H75" s="3">
        <v>5760.79</v>
      </c>
      <c r="I75" t="s">
        <v>70</v>
      </c>
    </row>
    <row r="76" spans="1:9" x14ac:dyDescent="0.35">
      <c r="A76" s="2">
        <v>45306</v>
      </c>
      <c r="B76">
        <v>75</v>
      </c>
      <c r="C76">
        <v>4112003</v>
      </c>
      <c r="D76" t="s">
        <v>58</v>
      </c>
      <c r="E76" t="s">
        <v>59</v>
      </c>
      <c r="F76" s="3">
        <v>0</v>
      </c>
      <c r="G76" s="3">
        <v>4112.49</v>
      </c>
      <c r="H76" s="3">
        <v>-4112.49</v>
      </c>
      <c r="I76" t="s">
        <v>71</v>
      </c>
    </row>
    <row r="77" spans="1:9" x14ac:dyDescent="0.35">
      <c r="A77" s="2">
        <v>45306</v>
      </c>
      <c r="B77">
        <v>75</v>
      </c>
      <c r="C77">
        <v>2121001</v>
      </c>
      <c r="D77" t="s">
        <v>27</v>
      </c>
      <c r="E77" t="s">
        <v>59</v>
      </c>
      <c r="F77" s="3">
        <v>0</v>
      </c>
      <c r="G77" s="3">
        <v>658</v>
      </c>
      <c r="H77" s="3">
        <v>-658</v>
      </c>
      <c r="I77" t="s">
        <v>71</v>
      </c>
    </row>
    <row r="78" spans="1:9" x14ac:dyDescent="0.35">
      <c r="A78" s="2">
        <v>45306</v>
      </c>
      <c r="B78">
        <v>75</v>
      </c>
      <c r="C78">
        <v>1111001</v>
      </c>
      <c r="D78" t="s">
        <v>16</v>
      </c>
      <c r="E78" t="s">
        <v>59</v>
      </c>
      <c r="F78" s="3">
        <v>4770.49</v>
      </c>
      <c r="G78" s="3">
        <v>0</v>
      </c>
      <c r="H78" s="3">
        <v>4770.49</v>
      </c>
      <c r="I78" t="s">
        <v>71</v>
      </c>
    </row>
    <row r="79" spans="1:9" x14ac:dyDescent="0.35">
      <c r="A79" s="2">
        <v>45306</v>
      </c>
      <c r="B79">
        <v>75</v>
      </c>
      <c r="C79">
        <v>4112003</v>
      </c>
      <c r="D79" t="s">
        <v>58</v>
      </c>
      <c r="E79" t="s">
        <v>59</v>
      </c>
      <c r="F79" s="3">
        <v>0</v>
      </c>
      <c r="G79" s="3">
        <v>2095.06</v>
      </c>
      <c r="H79" s="3">
        <v>-2095.06</v>
      </c>
      <c r="I79" t="s">
        <v>72</v>
      </c>
    </row>
    <row r="80" spans="1:9" x14ac:dyDescent="0.35">
      <c r="A80" s="2">
        <v>45306</v>
      </c>
      <c r="B80">
        <v>75</v>
      </c>
      <c r="C80">
        <v>2121001</v>
      </c>
      <c r="D80" t="s">
        <v>27</v>
      </c>
      <c r="E80" t="s">
        <v>59</v>
      </c>
      <c r="F80" s="3">
        <v>0</v>
      </c>
      <c r="G80" s="3">
        <v>335.21</v>
      </c>
      <c r="H80" s="3">
        <v>-335.21</v>
      </c>
      <c r="I80" t="s">
        <v>72</v>
      </c>
    </row>
    <row r="81" spans="1:9" x14ac:dyDescent="0.35">
      <c r="A81" s="2">
        <v>45306</v>
      </c>
      <c r="B81">
        <v>75</v>
      </c>
      <c r="C81">
        <v>1111001</v>
      </c>
      <c r="D81" t="s">
        <v>16</v>
      </c>
      <c r="E81" t="s">
        <v>59</v>
      </c>
      <c r="F81" s="3">
        <v>2430.27</v>
      </c>
      <c r="G81" s="3">
        <v>0</v>
      </c>
      <c r="H81" s="3">
        <v>2430.27</v>
      </c>
      <c r="I81" t="s">
        <v>72</v>
      </c>
    </row>
    <row r="82" spans="1:9" x14ac:dyDescent="0.35">
      <c r="A82" s="2">
        <v>45306</v>
      </c>
      <c r="B82">
        <v>75</v>
      </c>
      <c r="C82">
        <v>4112003</v>
      </c>
      <c r="D82" t="s">
        <v>58</v>
      </c>
      <c r="E82" t="s">
        <v>59</v>
      </c>
      <c r="F82" s="3">
        <v>0</v>
      </c>
      <c r="G82" s="3">
        <v>5152.5200000000004</v>
      </c>
      <c r="H82" s="3">
        <v>-5152.5200000000004</v>
      </c>
      <c r="I82" t="s">
        <v>73</v>
      </c>
    </row>
    <row r="83" spans="1:9" x14ac:dyDescent="0.35">
      <c r="A83" s="2">
        <v>45306</v>
      </c>
      <c r="B83">
        <v>75</v>
      </c>
      <c r="C83">
        <v>2121001</v>
      </c>
      <c r="D83" t="s">
        <v>27</v>
      </c>
      <c r="E83" t="s">
        <v>59</v>
      </c>
      <c r="F83" s="3">
        <v>0</v>
      </c>
      <c r="G83" s="3">
        <v>824.4</v>
      </c>
      <c r="H83" s="3">
        <v>-824.4</v>
      </c>
      <c r="I83" t="s">
        <v>73</v>
      </c>
    </row>
    <row r="84" spans="1:9" x14ac:dyDescent="0.35">
      <c r="A84" s="2">
        <v>45306</v>
      </c>
      <c r="B84">
        <v>75</v>
      </c>
      <c r="C84">
        <v>1111001</v>
      </c>
      <c r="D84" t="s">
        <v>16</v>
      </c>
      <c r="E84" t="s">
        <v>59</v>
      </c>
      <c r="F84" s="3">
        <v>5976.92</v>
      </c>
      <c r="G84" s="3">
        <v>0</v>
      </c>
      <c r="H84" s="3">
        <v>5976.92</v>
      </c>
      <c r="I84" t="s">
        <v>73</v>
      </c>
    </row>
    <row r="85" spans="1:9" x14ac:dyDescent="0.35">
      <c r="A85" s="2">
        <v>45306</v>
      </c>
      <c r="B85">
        <v>75</v>
      </c>
      <c r="C85">
        <v>4112004</v>
      </c>
      <c r="D85" t="s">
        <v>74</v>
      </c>
      <c r="E85" t="s">
        <v>75</v>
      </c>
      <c r="F85" s="3">
        <v>0</v>
      </c>
      <c r="G85" s="3">
        <v>2252.73</v>
      </c>
      <c r="H85" s="3">
        <v>-2252.73</v>
      </c>
      <c r="I85" t="s">
        <v>76</v>
      </c>
    </row>
    <row r="86" spans="1:9" x14ac:dyDescent="0.35">
      <c r="A86" s="2">
        <v>45306</v>
      </c>
      <c r="B86">
        <v>75</v>
      </c>
      <c r="C86">
        <v>2121001</v>
      </c>
      <c r="D86" t="s">
        <v>27</v>
      </c>
      <c r="E86" t="s">
        <v>75</v>
      </c>
      <c r="F86" s="3">
        <v>0</v>
      </c>
      <c r="G86" s="3">
        <v>360.44</v>
      </c>
      <c r="H86" s="3">
        <v>-360.44</v>
      </c>
      <c r="I86" t="s">
        <v>76</v>
      </c>
    </row>
    <row r="87" spans="1:9" x14ac:dyDescent="0.35">
      <c r="A87" s="2">
        <v>45306</v>
      </c>
      <c r="B87">
        <v>75</v>
      </c>
      <c r="C87">
        <v>1111001</v>
      </c>
      <c r="D87" t="s">
        <v>16</v>
      </c>
      <c r="E87" t="s">
        <v>75</v>
      </c>
      <c r="F87" s="3">
        <v>78.400000000000006</v>
      </c>
      <c r="G87" s="3">
        <v>0</v>
      </c>
      <c r="H87" s="3">
        <v>78.400000000000006</v>
      </c>
      <c r="I87" t="s">
        <v>76</v>
      </c>
    </row>
    <row r="88" spans="1:9" x14ac:dyDescent="0.35">
      <c r="A88" s="2">
        <v>45306</v>
      </c>
      <c r="B88">
        <v>75</v>
      </c>
      <c r="C88">
        <v>2124007</v>
      </c>
      <c r="D88" t="s">
        <v>30</v>
      </c>
      <c r="E88" t="s">
        <v>75</v>
      </c>
      <c r="F88" s="3">
        <v>0</v>
      </c>
      <c r="G88" s="3">
        <v>78.400000000000006</v>
      </c>
      <c r="H88" s="3">
        <v>-78.400000000000006</v>
      </c>
      <c r="I88" t="s">
        <v>76</v>
      </c>
    </row>
    <row r="89" spans="1:9" x14ac:dyDescent="0.35">
      <c r="A89" s="2">
        <v>45306</v>
      </c>
      <c r="B89">
        <v>75</v>
      </c>
      <c r="C89">
        <v>1111001</v>
      </c>
      <c r="D89" t="s">
        <v>16</v>
      </c>
      <c r="E89" t="s">
        <v>75</v>
      </c>
      <c r="F89" s="3">
        <v>2613.17</v>
      </c>
      <c r="G89" s="3">
        <v>0</v>
      </c>
      <c r="H89" s="3">
        <v>2613.17</v>
      </c>
      <c r="I89" t="s">
        <v>76</v>
      </c>
    </row>
    <row r="90" spans="1:9" x14ac:dyDescent="0.35">
      <c r="A90" s="2">
        <v>45306</v>
      </c>
      <c r="B90">
        <v>75</v>
      </c>
      <c r="C90">
        <v>4112004</v>
      </c>
      <c r="D90" t="s">
        <v>74</v>
      </c>
      <c r="E90" t="s">
        <v>75</v>
      </c>
      <c r="F90" s="3">
        <v>0</v>
      </c>
      <c r="G90" s="3">
        <v>1501.82</v>
      </c>
      <c r="H90" s="3">
        <v>-1501.82</v>
      </c>
      <c r="I90" t="s">
        <v>77</v>
      </c>
    </row>
    <row r="91" spans="1:9" x14ac:dyDescent="0.35">
      <c r="A91" s="2">
        <v>45306</v>
      </c>
      <c r="B91">
        <v>75</v>
      </c>
      <c r="C91">
        <v>2121001</v>
      </c>
      <c r="D91" t="s">
        <v>27</v>
      </c>
      <c r="E91" t="s">
        <v>75</v>
      </c>
      <c r="F91" s="3">
        <v>0</v>
      </c>
      <c r="G91" s="3">
        <v>240.29</v>
      </c>
      <c r="H91" s="3">
        <v>-240.29</v>
      </c>
      <c r="I91" t="s">
        <v>77</v>
      </c>
    </row>
    <row r="92" spans="1:9" x14ac:dyDescent="0.35">
      <c r="A92" s="2">
        <v>45306</v>
      </c>
      <c r="B92">
        <v>75</v>
      </c>
      <c r="C92">
        <v>1111001</v>
      </c>
      <c r="D92" t="s">
        <v>16</v>
      </c>
      <c r="E92" t="s">
        <v>75</v>
      </c>
      <c r="F92" s="3">
        <v>52.26</v>
      </c>
      <c r="G92" s="3">
        <v>0</v>
      </c>
      <c r="H92" s="3">
        <v>52.26</v>
      </c>
      <c r="I92" t="s">
        <v>77</v>
      </c>
    </row>
    <row r="93" spans="1:9" x14ac:dyDescent="0.35">
      <c r="A93" s="2">
        <v>45306</v>
      </c>
      <c r="B93">
        <v>75</v>
      </c>
      <c r="C93">
        <v>2124007</v>
      </c>
      <c r="D93" t="s">
        <v>30</v>
      </c>
      <c r="E93" t="s">
        <v>75</v>
      </c>
      <c r="F93" s="3">
        <v>0</v>
      </c>
      <c r="G93" s="3">
        <v>52.26</v>
      </c>
      <c r="H93" s="3">
        <v>-52.26</v>
      </c>
      <c r="I93" t="s">
        <v>77</v>
      </c>
    </row>
    <row r="94" spans="1:9" x14ac:dyDescent="0.35">
      <c r="A94" s="2">
        <v>45306</v>
      </c>
      <c r="B94">
        <v>75</v>
      </c>
      <c r="C94">
        <v>1111001</v>
      </c>
      <c r="D94" t="s">
        <v>16</v>
      </c>
      <c r="E94" t="s">
        <v>75</v>
      </c>
      <c r="F94" s="3">
        <v>1742.11</v>
      </c>
      <c r="G94" s="3">
        <v>0</v>
      </c>
      <c r="H94" s="3">
        <v>1742.11</v>
      </c>
      <c r="I94" t="s">
        <v>77</v>
      </c>
    </row>
    <row r="95" spans="1:9" x14ac:dyDescent="0.35">
      <c r="A95" s="2">
        <v>45306</v>
      </c>
      <c r="B95">
        <v>75</v>
      </c>
      <c r="C95">
        <v>4112004</v>
      </c>
      <c r="D95" t="s">
        <v>74</v>
      </c>
      <c r="E95" t="s">
        <v>75</v>
      </c>
      <c r="F95" s="3">
        <v>0</v>
      </c>
      <c r="G95" s="3">
        <v>1201.4000000000001</v>
      </c>
      <c r="H95" s="3">
        <v>-1201.4000000000001</v>
      </c>
      <c r="I95" t="s">
        <v>78</v>
      </c>
    </row>
    <row r="96" spans="1:9" x14ac:dyDescent="0.35">
      <c r="A96" s="2">
        <v>45306</v>
      </c>
      <c r="B96">
        <v>75</v>
      </c>
      <c r="C96">
        <v>2121001</v>
      </c>
      <c r="D96" t="s">
        <v>27</v>
      </c>
      <c r="E96" t="s">
        <v>75</v>
      </c>
      <c r="F96" s="3">
        <v>0</v>
      </c>
      <c r="G96" s="3">
        <v>192.22</v>
      </c>
      <c r="H96" s="3">
        <v>-192.22</v>
      </c>
      <c r="I96" t="s">
        <v>78</v>
      </c>
    </row>
    <row r="97" spans="1:9" x14ac:dyDescent="0.35">
      <c r="A97" s="2">
        <v>45306</v>
      </c>
      <c r="B97">
        <v>75</v>
      </c>
      <c r="C97">
        <v>1111001</v>
      </c>
      <c r="D97" t="s">
        <v>16</v>
      </c>
      <c r="E97" t="s">
        <v>75</v>
      </c>
      <c r="F97" s="3">
        <v>41.81</v>
      </c>
      <c r="G97" s="3">
        <v>0</v>
      </c>
      <c r="H97" s="3">
        <v>41.81</v>
      </c>
      <c r="I97" t="s">
        <v>78</v>
      </c>
    </row>
    <row r="98" spans="1:9" x14ac:dyDescent="0.35">
      <c r="A98" s="2">
        <v>45306</v>
      </c>
      <c r="B98">
        <v>75</v>
      </c>
      <c r="C98">
        <v>2124007</v>
      </c>
      <c r="D98" t="s">
        <v>30</v>
      </c>
      <c r="E98" t="s">
        <v>75</v>
      </c>
      <c r="F98" s="3">
        <v>0</v>
      </c>
      <c r="G98" s="3">
        <v>41.81</v>
      </c>
      <c r="H98" s="3">
        <v>-41.81</v>
      </c>
      <c r="I98" t="s">
        <v>78</v>
      </c>
    </row>
    <row r="99" spans="1:9" x14ac:dyDescent="0.35">
      <c r="A99" s="2">
        <v>45306</v>
      </c>
      <c r="B99">
        <v>75</v>
      </c>
      <c r="C99">
        <v>1111001</v>
      </c>
      <c r="D99" t="s">
        <v>16</v>
      </c>
      <c r="E99" t="s">
        <v>75</v>
      </c>
      <c r="F99" s="3">
        <v>1393.62</v>
      </c>
      <c r="G99" s="3">
        <v>0</v>
      </c>
      <c r="H99" s="3">
        <v>1393.62</v>
      </c>
      <c r="I99" t="s">
        <v>78</v>
      </c>
    </row>
    <row r="100" spans="1:9" x14ac:dyDescent="0.35">
      <c r="A100" s="2">
        <v>45306</v>
      </c>
      <c r="B100">
        <v>75</v>
      </c>
      <c r="C100">
        <v>4112004</v>
      </c>
      <c r="D100" t="s">
        <v>74</v>
      </c>
      <c r="E100" t="s">
        <v>79</v>
      </c>
      <c r="F100" s="3">
        <v>0</v>
      </c>
      <c r="G100" s="3">
        <v>2252.73</v>
      </c>
      <c r="H100" s="3">
        <v>-2252.73</v>
      </c>
      <c r="I100" t="s">
        <v>80</v>
      </c>
    </row>
    <row r="101" spans="1:9" x14ac:dyDescent="0.35">
      <c r="A101" s="2">
        <v>45306</v>
      </c>
      <c r="B101">
        <v>75</v>
      </c>
      <c r="C101">
        <v>2121001</v>
      </c>
      <c r="D101" t="s">
        <v>27</v>
      </c>
      <c r="E101" t="s">
        <v>79</v>
      </c>
      <c r="F101" s="3">
        <v>0</v>
      </c>
      <c r="G101" s="3">
        <v>360.44</v>
      </c>
      <c r="H101" s="3">
        <v>-360.44</v>
      </c>
      <c r="I101" t="s">
        <v>80</v>
      </c>
    </row>
    <row r="102" spans="1:9" x14ac:dyDescent="0.35">
      <c r="A102" s="2">
        <v>45306</v>
      </c>
      <c r="B102">
        <v>75</v>
      </c>
      <c r="C102">
        <v>1111001</v>
      </c>
      <c r="D102" t="s">
        <v>16</v>
      </c>
      <c r="E102" t="s">
        <v>79</v>
      </c>
      <c r="F102" s="3">
        <v>78.400000000000006</v>
      </c>
      <c r="G102" s="3">
        <v>0</v>
      </c>
      <c r="H102" s="3">
        <v>78.400000000000006</v>
      </c>
      <c r="I102" t="s">
        <v>80</v>
      </c>
    </row>
    <row r="103" spans="1:9" x14ac:dyDescent="0.35">
      <c r="A103" s="2">
        <v>45306</v>
      </c>
      <c r="B103">
        <v>75</v>
      </c>
      <c r="C103">
        <v>2124007</v>
      </c>
      <c r="D103" t="s">
        <v>30</v>
      </c>
      <c r="E103" t="s">
        <v>79</v>
      </c>
      <c r="F103" s="3">
        <v>0</v>
      </c>
      <c r="G103" s="3">
        <v>78.400000000000006</v>
      </c>
      <c r="H103" s="3">
        <v>-78.400000000000006</v>
      </c>
      <c r="I103" t="s">
        <v>80</v>
      </c>
    </row>
    <row r="104" spans="1:9" x14ac:dyDescent="0.35">
      <c r="A104" s="2">
        <v>45306</v>
      </c>
      <c r="B104">
        <v>75</v>
      </c>
      <c r="C104">
        <v>1111001</v>
      </c>
      <c r="D104" t="s">
        <v>16</v>
      </c>
      <c r="E104" t="s">
        <v>79</v>
      </c>
      <c r="F104" s="3">
        <v>2613.17</v>
      </c>
      <c r="G104" s="3">
        <v>0</v>
      </c>
      <c r="H104" s="3">
        <v>2613.17</v>
      </c>
      <c r="I104" t="s">
        <v>80</v>
      </c>
    </row>
    <row r="105" spans="1:9" x14ac:dyDescent="0.35">
      <c r="A105" s="2">
        <v>45306</v>
      </c>
      <c r="B105">
        <v>75</v>
      </c>
      <c r="C105">
        <v>2121001</v>
      </c>
      <c r="D105" t="s">
        <v>27</v>
      </c>
      <c r="E105" t="s">
        <v>81</v>
      </c>
      <c r="F105" s="3">
        <v>7955.83</v>
      </c>
      <c r="G105" s="3">
        <v>0</v>
      </c>
      <c r="H105" s="3">
        <v>7955.83</v>
      </c>
      <c r="I105" t="s">
        <v>82</v>
      </c>
    </row>
    <row r="106" spans="1:9" x14ac:dyDescent="0.35">
      <c r="A106" s="2">
        <v>45306</v>
      </c>
      <c r="B106">
        <v>75</v>
      </c>
      <c r="C106">
        <v>2121003</v>
      </c>
      <c r="D106" t="s">
        <v>28</v>
      </c>
      <c r="E106" t="s">
        <v>81</v>
      </c>
      <c r="F106" s="3">
        <v>0</v>
      </c>
      <c r="G106" s="3">
        <v>7955.83</v>
      </c>
      <c r="H106" s="3">
        <v>-7955.83</v>
      </c>
      <c r="I106" t="s">
        <v>82</v>
      </c>
    </row>
    <row r="107" spans="1:9" x14ac:dyDescent="0.35">
      <c r="A107" s="2">
        <v>45306</v>
      </c>
      <c r="B107">
        <v>75</v>
      </c>
      <c r="C107">
        <v>1142004</v>
      </c>
      <c r="D107" t="s">
        <v>83</v>
      </c>
      <c r="E107" t="s">
        <v>84</v>
      </c>
      <c r="F107" s="3">
        <v>497.24</v>
      </c>
      <c r="G107" s="3">
        <v>0</v>
      </c>
      <c r="H107" s="3">
        <v>497.24</v>
      </c>
      <c r="I107" t="s">
        <v>85</v>
      </c>
    </row>
    <row r="108" spans="1:9" x14ac:dyDescent="0.35">
      <c r="A108" s="2">
        <v>45306</v>
      </c>
      <c r="B108">
        <v>75</v>
      </c>
      <c r="C108">
        <v>2124004</v>
      </c>
      <c r="D108" t="s">
        <v>29</v>
      </c>
      <c r="E108" t="s">
        <v>84</v>
      </c>
      <c r="F108" s="3">
        <v>0</v>
      </c>
      <c r="G108" s="3">
        <v>497.24</v>
      </c>
      <c r="H108" s="3">
        <v>-497.24</v>
      </c>
      <c r="I108" t="s">
        <v>85</v>
      </c>
    </row>
    <row r="109" spans="1:9" x14ac:dyDescent="0.35">
      <c r="A109" s="2">
        <v>45306</v>
      </c>
      <c r="B109">
        <v>75</v>
      </c>
      <c r="C109">
        <v>5131001</v>
      </c>
      <c r="D109" t="s">
        <v>86</v>
      </c>
      <c r="E109" t="s">
        <v>87</v>
      </c>
      <c r="F109" s="3">
        <v>390</v>
      </c>
      <c r="G109" s="3">
        <v>0</v>
      </c>
      <c r="H109" s="3">
        <v>390</v>
      </c>
      <c r="I109" t="s">
        <v>88</v>
      </c>
    </row>
    <row r="110" spans="1:9" x14ac:dyDescent="0.35">
      <c r="A110" s="2">
        <v>45306</v>
      </c>
      <c r="B110">
        <v>75</v>
      </c>
      <c r="C110">
        <v>5131008</v>
      </c>
      <c r="D110" t="s">
        <v>89</v>
      </c>
      <c r="E110" t="s">
        <v>87</v>
      </c>
      <c r="F110" s="3">
        <v>65</v>
      </c>
      <c r="G110" s="3">
        <v>0</v>
      </c>
      <c r="H110" s="3">
        <v>65</v>
      </c>
      <c r="I110" t="s">
        <v>88</v>
      </c>
    </row>
    <row r="111" spans="1:9" x14ac:dyDescent="0.35">
      <c r="A111" s="2">
        <v>45306</v>
      </c>
      <c r="B111">
        <v>75</v>
      </c>
      <c r="C111">
        <v>5131009</v>
      </c>
      <c r="D111" t="s">
        <v>90</v>
      </c>
      <c r="E111" t="s">
        <v>87</v>
      </c>
      <c r="F111" s="3">
        <v>32.5</v>
      </c>
      <c r="G111" s="3">
        <v>0</v>
      </c>
      <c r="H111" s="3">
        <v>32.5</v>
      </c>
      <c r="I111" t="s">
        <v>88</v>
      </c>
    </row>
    <row r="112" spans="1:9" x14ac:dyDescent="0.35">
      <c r="A112" s="2">
        <v>45306</v>
      </c>
      <c r="B112">
        <v>75</v>
      </c>
      <c r="C112">
        <v>5131010</v>
      </c>
      <c r="D112" t="s">
        <v>91</v>
      </c>
      <c r="E112" t="s">
        <v>87</v>
      </c>
      <c r="F112" s="3">
        <v>32.5</v>
      </c>
      <c r="G112" s="3">
        <v>0</v>
      </c>
      <c r="H112" s="3">
        <v>32.5</v>
      </c>
      <c r="I112" t="s">
        <v>88</v>
      </c>
    </row>
    <row r="113" spans="1:9" x14ac:dyDescent="0.35">
      <c r="A113" s="2">
        <v>45306</v>
      </c>
      <c r="B113">
        <v>75</v>
      </c>
      <c r="C113">
        <v>5131013</v>
      </c>
      <c r="D113" t="s">
        <v>92</v>
      </c>
      <c r="E113" t="s">
        <v>87</v>
      </c>
      <c r="F113" s="3">
        <v>7.8</v>
      </c>
      <c r="G113" s="3">
        <v>0</v>
      </c>
      <c r="H113" s="3">
        <v>7.8</v>
      </c>
      <c r="I113" t="s">
        <v>88</v>
      </c>
    </row>
    <row r="114" spans="1:9" x14ac:dyDescent="0.35">
      <c r="A114" s="2">
        <v>45306</v>
      </c>
      <c r="B114">
        <v>75</v>
      </c>
      <c r="C114">
        <v>2141003</v>
      </c>
      <c r="D114" t="s">
        <v>37</v>
      </c>
      <c r="E114" t="s">
        <v>87</v>
      </c>
      <c r="F114" s="3">
        <v>0</v>
      </c>
      <c r="G114" s="3">
        <v>7.8</v>
      </c>
      <c r="H114" s="3">
        <v>-7.8</v>
      </c>
      <c r="I114" t="s">
        <v>88</v>
      </c>
    </row>
    <row r="115" spans="1:9" x14ac:dyDescent="0.35">
      <c r="A115" s="2">
        <v>45306</v>
      </c>
      <c r="B115">
        <v>75</v>
      </c>
      <c r="C115">
        <v>2161004</v>
      </c>
      <c r="D115" t="s">
        <v>38</v>
      </c>
      <c r="E115" t="s">
        <v>87</v>
      </c>
      <c r="F115" s="3">
        <v>0</v>
      </c>
      <c r="G115" s="3">
        <v>32.5</v>
      </c>
      <c r="H115" s="3">
        <v>-32.5</v>
      </c>
      <c r="I115" t="s">
        <v>88</v>
      </c>
    </row>
    <row r="116" spans="1:9" x14ac:dyDescent="0.35">
      <c r="A116" s="2">
        <v>45306</v>
      </c>
      <c r="B116">
        <v>75</v>
      </c>
      <c r="C116">
        <v>2161005</v>
      </c>
      <c r="D116" t="s">
        <v>39</v>
      </c>
      <c r="E116" t="s">
        <v>87</v>
      </c>
      <c r="F116" s="3">
        <v>0</v>
      </c>
      <c r="G116" s="3">
        <v>32.5</v>
      </c>
      <c r="H116" s="3">
        <v>-32.5</v>
      </c>
      <c r="I116" t="s">
        <v>88</v>
      </c>
    </row>
    <row r="117" spans="1:9" x14ac:dyDescent="0.35">
      <c r="A117" s="2">
        <v>45306</v>
      </c>
      <c r="B117">
        <v>75</v>
      </c>
      <c r="C117">
        <v>2241001</v>
      </c>
      <c r="D117" t="s">
        <v>40</v>
      </c>
      <c r="E117" t="s">
        <v>87</v>
      </c>
      <c r="F117" s="3">
        <v>0</v>
      </c>
      <c r="G117" s="3">
        <v>65</v>
      </c>
      <c r="H117" s="3">
        <v>-65</v>
      </c>
      <c r="I117" t="s">
        <v>88</v>
      </c>
    </row>
    <row r="118" spans="1:9" x14ac:dyDescent="0.35">
      <c r="A118" s="2">
        <v>45306</v>
      </c>
      <c r="B118">
        <v>75</v>
      </c>
      <c r="C118">
        <v>2161001</v>
      </c>
      <c r="D118" t="s">
        <v>93</v>
      </c>
      <c r="E118" t="s">
        <v>87</v>
      </c>
      <c r="F118" s="3">
        <v>0</v>
      </c>
      <c r="G118" s="3">
        <v>390</v>
      </c>
      <c r="H118" s="3">
        <v>-390</v>
      </c>
      <c r="I118" t="s">
        <v>88</v>
      </c>
    </row>
    <row r="119" spans="1:9" x14ac:dyDescent="0.35">
      <c r="A119" s="2">
        <v>45306</v>
      </c>
      <c r="B119">
        <v>75</v>
      </c>
      <c r="C119">
        <v>6121046</v>
      </c>
      <c r="D119" t="s">
        <v>94</v>
      </c>
      <c r="E119" t="s">
        <v>95</v>
      </c>
      <c r="F119" s="3">
        <v>437.76</v>
      </c>
      <c r="G119" s="3">
        <v>0</v>
      </c>
      <c r="H119" s="3">
        <v>437.76</v>
      </c>
      <c r="I119" t="s">
        <v>96</v>
      </c>
    </row>
    <row r="120" spans="1:9" x14ac:dyDescent="0.35">
      <c r="A120" s="2">
        <v>45306</v>
      </c>
      <c r="B120">
        <v>75</v>
      </c>
      <c r="C120">
        <v>2114001</v>
      </c>
      <c r="D120" t="s">
        <v>97</v>
      </c>
      <c r="E120" t="s">
        <v>1768</v>
      </c>
      <c r="F120" s="3">
        <v>6720</v>
      </c>
      <c r="G120" s="3">
        <v>0</v>
      </c>
      <c r="H120" s="3">
        <v>6720</v>
      </c>
      <c r="I120" t="s">
        <v>96</v>
      </c>
    </row>
    <row r="121" spans="1:9" x14ac:dyDescent="0.35">
      <c r="A121" s="2">
        <v>45306</v>
      </c>
      <c r="B121">
        <v>75</v>
      </c>
      <c r="C121">
        <v>6121040</v>
      </c>
      <c r="D121" t="s">
        <v>98</v>
      </c>
      <c r="E121" t="s">
        <v>99</v>
      </c>
      <c r="F121" s="3">
        <v>278.04000000000002</v>
      </c>
      <c r="G121" s="3">
        <v>0</v>
      </c>
      <c r="H121" s="3">
        <v>278.04000000000002</v>
      </c>
      <c r="I121" t="s">
        <v>96</v>
      </c>
    </row>
    <row r="122" spans="1:9" x14ac:dyDescent="0.35">
      <c r="A122" s="2">
        <v>45306</v>
      </c>
      <c r="B122">
        <v>75</v>
      </c>
      <c r="C122">
        <v>6121019</v>
      </c>
      <c r="D122" t="s">
        <v>100</v>
      </c>
      <c r="E122" t="s">
        <v>101</v>
      </c>
      <c r="F122" s="3">
        <v>653.09</v>
      </c>
      <c r="G122" s="3">
        <v>0</v>
      </c>
      <c r="H122" s="3">
        <v>653.09</v>
      </c>
      <c r="I122" t="s">
        <v>96</v>
      </c>
    </row>
    <row r="123" spans="1:9" x14ac:dyDescent="0.35">
      <c r="A123" s="2">
        <v>45306</v>
      </c>
      <c r="B123">
        <v>75</v>
      </c>
      <c r="C123">
        <v>6121021</v>
      </c>
      <c r="D123" t="s">
        <v>102</v>
      </c>
      <c r="E123" t="s">
        <v>1769</v>
      </c>
      <c r="F123" s="3">
        <v>1176.47</v>
      </c>
      <c r="G123" s="3">
        <v>0</v>
      </c>
      <c r="H123" s="3">
        <v>1176.47</v>
      </c>
      <c r="I123" t="s">
        <v>96</v>
      </c>
    </row>
    <row r="124" spans="1:9" x14ac:dyDescent="0.35">
      <c r="A124" s="2">
        <v>45306</v>
      </c>
      <c r="B124">
        <v>75</v>
      </c>
      <c r="C124">
        <v>1111001</v>
      </c>
      <c r="D124" t="s">
        <v>16</v>
      </c>
      <c r="E124" t="s">
        <v>103</v>
      </c>
      <c r="F124" s="3">
        <v>647</v>
      </c>
      <c r="G124" s="3">
        <v>0</v>
      </c>
      <c r="H124" s="3">
        <v>647</v>
      </c>
      <c r="I124" t="s">
        <v>96</v>
      </c>
    </row>
    <row r="125" spans="1:9" x14ac:dyDescent="0.35">
      <c r="A125" s="2">
        <v>45306</v>
      </c>
      <c r="B125">
        <v>75</v>
      </c>
      <c r="C125">
        <v>6121019</v>
      </c>
      <c r="D125" t="s">
        <v>100</v>
      </c>
      <c r="E125" t="s">
        <v>104</v>
      </c>
      <c r="F125" s="3">
        <v>125</v>
      </c>
      <c r="G125" s="3">
        <v>0</v>
      </c>
      <c r="H125" s="3">
        <v>125</v>
      </c>
      <c r="I125" t="s">
        <v>96</v>
      </c>
    </row>
    <row r="126" spans="1:9" x14ac:dyDescent="0.35">
      <c r="A126" s="2">
        <v>45306</v>
      </c>
      <c r="B126">
        <v>75</v>
      </c>
      <c r="C126">
        <v>2114010</v>
      </c>
      <c r="D126" t="s">
        <v>48</v>
      </c>
      <c r="E126" t="s">
        <v>105</v>
      </c>
      <c r="F126" s="3">
        <v>12166.24</v>
      </c>
      <c r="G126" s="3">
        <v>0</v>
      </c>
      <c r="H126" s="3">
        <v>12166.24</v>
      </c>
      <c r="I126" t="s">
        <v>96</v>
      </c>
    </row>
    <row r="127" spans="1:9" x14ac:dyDescent="0.35">
      <c r="A127" s="2">
        <v>45306</v>
      </c>
      <c r="B127">
        <v>75</v>
      </c>
      <c r="C127">
        <v>6121019</v>
      </c>
      <c r="D127" t="s">
        <v>100</v>
      </c>
      <c r="E127" t="s">
        <v>106</v>
      </c>
      <c r="F127" s="3">
        <v>135</v>
      </c>
      <c r="G127" s="3">
        <v>0</v>
      </c>
      <c r="H127" s="3">
        <v>135</v>
      </c>
      <c r="I127" t="s">
        <v>96</v>
      </c>
    </row>
    <row r="128" spans="1:9" x14ac:dyDescent="0.35">
      <c r="A128" s="2">
        <v>45306</v>
      </c>
      <c r="B128">
        <v>75</v>
      </c>
      <c r="C128">
        <v>1112001</v>
      </c>
      <c r="D128" t="s">
        <v>20</v>
      </c>
      <c r="E128" t="s">
        <v>107</v>
      </c>
      <c r="F128" s="3">
        <v>0</v>
      </c>
      <c r="G128" s="3">
        <v>22338.6</v>
      </c>
      <c r="H128" s="3">
        <v>-22338.6</v>
      </c>
      <c r="I128" t="s">
        <v>96</v>
      </c>
    </row>
    <row r="129" spans="1:9" x14ac:dyDescent="0.35">
      <c r="A129" s="2">
        <v>45306</v>
      </c>
      <c r="B129">
        <v>75</v>
      </c>
      <c r="C129">
        <v>1112001</v>
      </c>
      <c r="D129" t="s">
        <v>20</v>
      </c>
      <c r="E129" t="s">
        <v>108</v>
      </c>
      <c r="F129" s="3">
        <v>22566</v>
      </c>
      <c r="G129" s="3">
        <v>0</v>
      </c>
      <c r="H129" s="3">
        <v>22566</v>
      </c>
      <c r="I129" t="s">
        <v>96</v>
      </c>
    </row>
    <row r="130" spans="1:9" x14ac:dyDescent="0.35">
      <c r="A130" s="2">
        <v>45306</v>
      </c>
      <c r="B130">
        <v>75</v>
      </c>
      <c r="C130">
        <v>1111001</v>
      </c>
      <c r="D130" t="s">
        <v>16</v>
      </c>
      <c r="E130" t="s">
        <v>109</v>
      </c>
      <c r="F130" s="3">
        <v>0</v>
      </c>
      <c r="G130" s="3">
        <v>3000</v>
      </c>
      <c r="H130" s="3">
        <v>-3000</v>
      </c>
      <c r="I130" t="s">
        <v>96</v>
      </c>
    </row>
    <row r="131" spans="1:9" x14ac:dyDescent="0.35">
      <c r="A131" s="2">
        <v>45306</v>
      </c>
      <c r="B131">
        <v>75</v>
      </c>
      <c r="C131">
        <v>1111001</v>
      </c>
      <c r="D131" t="s">
        <v>16</v>
      </c>
      <c r="E131" t="s">
        <v>110</v>
      </c>
      <c r="F131" s="3">
        <v>0</v>
      </c>
      <c r="G131" s="3">
        <v>5600</v>
      </c>
      <c r="H131" s="3">
        <v>-5600</v>
      </c>
      <c r="I131" t="s">
        <v>96</v>
      </c>
    </row>
    <row r="132" spans="1:9" x14ac:dyDescent="0.35">
      <c r="A132" s="2">
        <v>45306</v>
      </c>
      <c r="B132">
        <v>75</v>
      </c>
      <c r="C132">
        <v>1111001</v>
      </c>
      <c r="D132" t="s">
        <v>16</v>
      </c>
      <c r="E132" t="s">
        <v>111</v>
      </c>
      <c r="F132" s="3">
        <v>0</v>
      </c>
      <c r="G132" s="3">
        <v>8700</v>
      </c>
      <c r="H132" s="3">
        <v>-8700</v>
      </c>
      <c r="I132" t="s">
        <v>96</v>
      </c>
    </row>
    <row r="133" spans="1:9" x14ac:dyDescent="0.35">
      <c r="A133" s="2">
        <v>45306</v>
      </c>
      <c r="B133">
        <v>75</v>
      </c>
      <c r="C133">
        <v>1111001</v>
      </c>
      <c r="D133" t="s">
        <v>16</v>
      </c>
      <c r="E133" t="s">
        <v>112</v>
      </c>
      <c r="F133" s="3">
        <v>0</v>
      </c>
      <c r="G133" s="3">
        <v>4576</v>
      </c>
      <c r="H133" s="3">
        <v>-4576</v>
      </c>
      <c r="I133" t="s">
        <v>96</v>
      </c>
    </row>
    <row r="134" spans="1:9" x14ac:dyDescent="0.35">
      <c r="A134" s="2">
        <v>45306</v>
      </c>
      <c r="B134">
        <v>75</v>
      </c>
      <c r="C134">
        <v>1111001</v>
      </c>
      <c r="D134" t="s">
        <v>16</v>
      </c>
      <c r="E134" t="s">
        <v>113</v>
      </c>
      <c r="F134" s="3">
        <v>0</v>
      </c>
      <c r="G134" s="3">
        <v>690</v>
      </c>
      <c r="H134" s="3">
        <v>-690</v>
      </c>
      <c r="I134" t="s">
        <v>96</v>
      </c>
    </row>
    <row r="135" spans="1:9" x14ac:dyDescent="0.35">
      <c r="A135" s="2">
        <v>45306</v>
      </c>
      <c r="B135">
        <v>75</v>
      </c>
      <c r="C135">
        <v>6121046</v>
      </c>
      <c r="D135" t="s">
        <v>94</v>
      </c>
      <c r="E135" t="s">
        <v>95</v>
      </c>
      <c r="F135" s="3">
        <v>166.96</v>
      </c>
      <c r="G135" s="3">
        <v>0</v>
      </c>
      <c r="H135" s="3">
        <v>166.96</v>
      </c>
      <c r="I135" t="s">
        <v>114</v>
      </c>
    </row>
    <row r="136" spans="1:9" x14ac:dyDescent="0.35">
      <c r="A136" s="2">
        <v>45306</v>
      </c>
      <c r="B136">
        <v>75</v>
      </c>
      <c r="C136">
        <v>6121040</v>
      </c>
      <c r="D136" t="s">
        <v>98</v>
      </c>
      <c r="E136" t="s">
        <v>99</v>
      </c>
      <c r="F136" s="3">
        <v>327.16000000000003</v>
      </c>
      <c r="G136" s="3">
        <v>0</v>
      </c>
      <c r="H136" s="3">
        <v>327.16000000000003</v>
      </c>
      <c r="I136" t="s">
        <v>114</v>
      </c>
    </row>
    <row r="137" spans="1:9" x14ac:dyDescent="0.35">
      <c r="A137" s="2">
        <v>45306</v>
      </c>
      <c r="B137">
        <v>75</v>
      </c>
      <c r="C137">
        <v>5132002</v>
      </c>
      <c r="D137" t="s">
        <v>115</v>
      </c>
      <c r="E137" t="s">
        <v>116</v>
      </c>
      <c r="F137" s="3">
        <v>6649</v>
      </c>
      <c r="G137" s="3">
        <v>0</v>
      </c>
      <c r="H137" s="3">
        <v>6649</v>
      </c>
      <c r="I137" t="s">
        <v>114</v>
      </c>
    </row>
    <row r="138" spans="1:9" x14ac:dyDescent="0.35">
      <c r="A138" s="2">
        <v>45306</v>
      </c>
      <c r="B138">
        <v>75</v>
      </c>
      <c r="C138">
        <v>1111001</v>
      </c>
      <c r="D138" t="s">
        <v>16</v>
      </c>
      <c r="E138" t="s">
        <v>117</v>
      </c>
      <c r="F138" s="3">
        <v>3000</v>
      </c>
      <c r="G138" s="3">
        <v>0</v>
      </c>
      <c r="H138" s="3">
        <v>3000</v>
      </c>
      <c r="I138" t="s">
        <v>114</v>
      </c>
    </row>
    <row r="139" spans="1:9" x14ac:dyDescent="0.35">
      <c r="A139" s="2">
        <v>45306</v>
      </c>
      <c r="B139">
        <v>75</v>
      </c>
      <c r="C139">
        <v>1111001</v>
      </c>
      <c r="D139" t="s">
        <v>16</v>
      </c>
      <c r="E139" t="s">
        <v>118</v>
      </c>
      <c r="F139" s="3">
        <v>4000</v>
      </c>
      <c r="G139" s="3">
        <v>0</v>
      </c>
      <c r="H139" s="3">
        <v>4000</v>
      </c>
      <c r="I139" t="s">
        <v>114</v>
      </c>
    </row>
    <row r="140" spans="1:9" x14ac:dyDescent="0.35">
      <c r="A140" s="2">
        <v>45306</v>
      </c>
      <c r="B140">
        <v>75</v>
      </c>
      <c r="C140">
        <v>2124004</v>
      </c>
      <c r="D140" t="s">
        <v>29</v>
      </c>
      <c r="E140" t="s">
        <v>119</v>
      </c>
      <c r="F140" s="3">
        <v>799.74</v>
      </c>
      <c r="G140" s="3">
        <v>0</v>
      </c>
      <c r="H140" s="3">
        <v>799.74</v>
      </c>
      <c r="I140" t="s">
        <v>114</v>
      </c>
    </row>
    <row r="141" spans="1:9" x14ac:dyDescent="0.35">
      <c r="A141" s="2">
        <v>45306</v>
      </c>
      <c r="B141">
        <v>75</v>
      </c>
      <c r="C141">
        <v>2141001</v>
      </c>
      <c r="D141" t="s">
        <v>35</v>
      </c>
      <c r="E141" t="s">
        <v>120</v>
      </c>
      <c r="F141" s="3">
        <v>180.39</v>
      </c>
      <c r="G141" s="3">
        <v>0</v>
      </c>
      <c r="H141" s="3">
        <v>180.39</v>
      </c>
      <c r="I141" t="s">
        <v>114</v>
      </c>
    </row>
    <row r="142" spans="1:9" x14ac:dyDescent="0.35">
      <c r="A142" s="2">
        <v>45306</v>
      </c>
      <c r="B142">
        <v>75</v>
      </c>
      <c r="C142">
        <v>2141002</v>
      </c>
      <c r="D142" t="s">
        <v>36</v>
      </c>
      <c r="E142" t="s">
        <v>121</v>
      </c>
      <c r="F142" s="3">
        <v>35.1</v>
      </c>
      <c r="G142" s="3">
        <v>0</v>
      </c>
      <c r="H142" s="3">
        <v>35.1</v>
      </c>
      <c r="I142" t="s">
        <v>114</v>
      </c>
    </row>
    <row r="143" spans="1:9" x14ac:dyDescent="0.35">
      <c r="A143" s="2">
        <v>45306</v>
      </c>
      <c r="B143">
        <v>75</v>
      </c>
      <c r="C143">
        <v>2141003</v>
      </c>
      <c r="D143" t="s">
        <v>37</v>
      </c>
      <c r="E143" t="s">
        <v>122</v>
      </c>
      <c r="F143" s="3">
        <v>76.05</v>
      </c>
      <c r="G143" s="3">
        <v>0</v>
      </c>
      <c r="H143" s="3">
        <v>76.05</v>
      </c>
      <c r="I143" t="s">
        <v>114</v>
      </c>
    </row>
    <row r="144" spans="1:9" x14ac:dyDescent="0.35">
      <c r="A144" s="2">
        <v>45306</v>
      </c>
      <c r="B144">
        <v>75</v>
      </c>
      <c r="C144">
        <v>2114001</v>
      </c>
      <c r="D144" t="s">
        <v>97</v>
      </c>
      <c r="E144" t="s">
        <v>1768</v>
      </c>
      <c r="F144" s="3">
        <v>1080</v>
      </c>
      <c r="G144" s="3">
        <v>0</v>
      </c>
      <c r="H144" s="3">
        <v>1080</v>
      </c>
      <c r="I144" t="s">
        <v>114</v>
      </c>
    </row>
    <row r="145" spans="1:9" x14ac:dyDescent="0.35">
      <c r="A145" s="2">
        <v>45306</v>
      </c>
      <c r="B145">
        <v>75</v>
      </c>
      <c r="C145">
        <v>1112003</v>
      </c>
      <c r="D145" t="s">
        <v>22</v>
      </c>
      <c r="E145" t="s">
        <v>107</v>
      </c>
      <c r="F145" s="3">
        <v>0</v>
      </c>
      <c r="G145" s="3">
        <v>16314.4</v>
      </c>
      <c r="H145" s="3">
        <v>-16314.4</v>
      </c>
      <c r="I145" t="s">
        <v>114</v>
      </c>
    </row>
    <row r="146" spans="1:9" x14ac:dyDescent="0.35">
      <c r="A146" s="2">
        <v>45306</v>
      </c>
      <c r="B146">
        <v>75</v>
      </c>
      <c r="C146">
        <v>1112003</v>
      </c>
      <c r="D146" t="s">
        <v>22</v>
      </c>
      <c r="E146" t="s">
        <v>108</v>
      </c>
      <c r="F146" s="3">
        <v>18967</v>
      </c>
      <c r="G146" s="3">
        <v>0</v>
      </c>
      <c r="H146" s="3">
        <v>18967</v>
      </c>
      <c r="I146" t="s">
        <v>114</v>
      </c>
    </row>
    <row r="147" spans="1:9" x14ac:dyDescent="0.35">
      <c r="A147" s="2">
        <v>45306</v>
      </c>
      <c r="B147">
        <v>75</v>
      </c>
      <c r="C147">
        <v>1111001</v>
      </c>
      <c r="D147" t="s">
        <v>16</v>
      </c>
      <c r="E147" t="s">
        <v>111</v>
      </c>
      <c r="F147" s="3">
        <v>0</v>
      </c>
      <c r="G147" s="3">
        <v>18467</v>
      </c>
      <c r="H147" s="3">
        <v>-18467</v>
      </c>
      <c r="I147" t="s">
        <v>114</v>
      </c>
    </row>
    <row r="148" spans="1:9" x14ac:dyDescent="0.35">
      <c r="A148" s="2">
        <v>45306</v>
      </c>
      <c r="B148">
        <v>75</v>
      </c>
      <c r="C148">
        <v>2114001</v>
      </c>
      <c r="D148" t="s">
        <v>97</v>
      </c>
      <c r="E148" t="s">
        <v>1770</v>
      </c>
      <c r="F148" s="3">
        <v>0</v>
      </c>
      <c r="G148" s="3">
        <v>150</v>
      </c>
      <c r="H148" s="3">
        <v>-150</v>
      </c>
      <c r="I148" t="s">
        <v>114</v>
      </c>
    </row>
    <row r="149" spans="1:9" x14ac:dyDescent="0.35">
      <c r="A149" s="2">
        <v>45306</v>
      </c>
      <c r="B149">
        <v>75</v>
      </c>
      <c r="C149">
        <v>1111001</v>
      </c>
      <c r="D149" t="s">
        <v>16</v>
      </c>
      <c r="E149" t="s">
        <v>123</v>
      </c>
      <c r="F149" s="3">
        <v>0</v>
      </c>
      <c r="G149" s="3">
        <v>350</v>
      </c>
      <c r="H149" s="3">
        <v>-350</v>
      </c>
      <c r="I149" t="s">
        <v>114</v>
      </c>
    </row>
    <row r="150" spans="1:9" x14ac:dyDescent="0.35">
      <c r="A150" s="2">
        <v>45306</v>
      </c>
      <c r="B150">
        <v>75</v>
      </c>
      <c r="C150">
        <v>6121040</v>
      </c>
      <c r="D150" t="s">
        <v>98</v>
      </c>
      <c r="E150" t="s">
        <v>99</v>
      </c>
      <c r="F150" s="3">
        <v>1857.16</v>
      </c>
      <c r="G150" s="3">
        <v>0</v>
      </c>
      <c r="H150" s="3">
        <v>1857.16</v>
      </c>
      <c r="I150" t="s">
        <v>124</v>
      </c>
    </row>
    <row r="151" spans="1:9" x14ac:dyDescent="0.35">
      <c r="A151" s="2">
        <v>45306</v>
      </c>
      <c r="B151">
        <v>75</v>
      </c>
      <c r="C151">
        <v>6121046</v>
      </c>
      <c r="D151" t="s">
        <v>94</v>
      </c>
      <c r="E151" t="s">
        <v>95</v>
      </c>
      <c r="F151" s="3">
        <v>1409.89</v>
      </c>
      <c r="G151" s="3">
        <v>0</v>
      </c>
      <c r="H151" s="3">
        <v>1409.89</v>
      </c>
      <c r="I151" t="s">
        <v>124</v>
      </c>
    </row>
    <row r="152" spans="1:9" x14ac:dyDescent="0.35">
      <c r="A152" s="2">
        <v>45306</v>
      </c>
      <c r="B152">
        <v>75</v>
      </c>
      <c r="C152">
        <v>5131006</v>
      </c>
      <c r="D152" t="s">
        <v>125</v>
      </c>
      <c r="E152" t="s">
        <v>1771</v>
      </c>
      <c r="F152" s="3">
        <v>3131</v>
      </c>
      <c r="G152" s="3">
        <v>0</v>
      </c>
      <c r="H152" s="3">
        <v>3131</v>
      </c>
      <c r="I152" t="s">
        <v>124</v>
      </c>
    </row>
    <row r="153" spans="1:9" x14ac:dyDescent="0.35">
      <c r="A153" s="2">
        <v>45306</v>
      </c>
      <c r="B153">
        <v>75</v>
      </c>
      <c r="C153">
        <v>2114001</v>
      </c>
      <c r="D153" t="s">
        <v>97</v>
      </c>
      <c r="E153" t="s">
        <v>1768</v>
      </c>
      <c r="F153" s="3">
        <v>6933.2</v>
      </c>
      <c r="G153" s="3">
        <v>0</v>
      </c>
      <c r="H153" s="3">
        <v>6933.2</v>
      </c>
      <c r="I153" t="s">
        <v>124</v>
      </c>
    </row>
    <row r="154" spans="1:9" x14ac:dyDescent="0.35">
      <c r="A154" s="2">
        <v>45306</v>
      </c>
      <c r="B154">
        <v>75</v>
      </c>
      <c r="C154">
        <v>1111001</v>
      </c>
      <c r="D154" t="s">
        <v>16</v>
      </c>
      <c r="E154" t="s">
        <v>126</v>
      </c>
      <c r="F154" s="3">
        <v>690</v>
      </c>
      <c r="G154" s="3">
        <v>0</v>
      </c>
      <c r="H154" s="3">
        <v>690</v>
      </c>
      <c r="I154" t="s">
        <v>124</v>
      </c>
    </row>
    <row r="155" spans="1:9" x14ac:dyDescent="0.35">
      <c r="A155" s="2">
        <v>45306</v>
      </c>
      <c r="B155">
        <v>75</v>
      </c>
      <c r="C155">
        <v>5132002</v>
      </c>
      <c r="D155" t="s">
        <v>115</v>
      </c>
      <c r="E155" t="s">
        <v>127</v>
      </c>
      <c r="F155" s="3">
        <v>16000</v>
      </c>
      <c r="G155" s="3">
        <v>0</v>
      </c>
      <c r="H155" s="3">
        <v>16000</v>
      </c>
      <c r="I155" t="s">
        <v>124</v>
      </c>
    </row>
    <row r="156" spans="1:9" x14ac:dyDescent="0.35">
      <c r="A156" s="2">
        <v>45306</v>
      </c>
      <c r="B156">
        <v>75</v>
      </c>
      <c r="C156">
        <v>1111001</v>
      </c>
      <c r="D156" t="s">
        <v>16</v>
      </c>
      <c r="E156" t="s">
        <v>128</v>
      </c>
      <c r="F156" s="3">
        <v>1800</v>
      </c>
      <c r="G156" s="3">
        <v>0</v>
      </c>
      <c r="H156" s="3">
        <v>1800</v>
      </c>
      <c r="I156" t="s">
        <v>124</v>
      </c>
    </row>
    <row r="157" spans="1:9" x14ac:dyDescent="0.35">
      <c r="A157" s="2">
        <v>45306</v>
      </c>
      <c r="B157">
        <v>75</v>
      </c>
      <c r="C157">
        <v>6121020</v>
      </c>
      <c r="D157" t="s">
        <v>129</v>
      </c>
      <c r="E157" t="s">
        <v>130</v>
      </c>
      <c r="F157" s="3">
        <v>1980.28</v>
      </c>
      <c r="G157" s="3">
        <v>0</v>
      </c>
      <c r="H157" s="3">
        <v>1980.28</v>
      </c>
      <c r="I157" t="s">
        <v>124</v>
      </c>
    </row>
    <row r="158" spans="1:9" x14ac:dyDescent="0.35">
      <c r="A158" s="2">
        <v>45306</v>
      </c>
      <c r="B158">
        <v>75</v>
      </c>
      <c r="C158">
        <v>1111001</v>
      </c>
      <c r="D158" t="s">
        <v>16</v>
      </c>
      <c r="E158" t="s">
        <v>131</v>
      </c>
      <c r="F158" s="3">
        <v>1524</v>
      </c>
      <c r="G158" s="3">
        <v>0</v>
      </c>
      <c r="H158" s="3">
        <v>1524</v>
      </c>
      <c r="I158" t="s">
        <v>124</v>
      </c>
    </row>
    <row r="159" spans="1:9" x14ac:dyDescent="0.35">
      <c r="A159" s="2">
        <v>45306</v>
      </c>
      <c r="B159">
        <v>75</v>
      </c>
      <c r="C159">
        <v>1111001</v>
      </c>
      <c r="D159" t="s">
        <v>16</v>
      </c>
      <c r="E159" t="s">
        <v>132</v>
      </c>
      <c r="F159" s="3">
        <v>15600</v>
      </c>
      <c r="G159" s="3">
        <v>0</v>
      </c>
      <c r="H159" s="3">
        <v>15600</v>
      </c>
      <c r="I159" t="s">
        <v>124</v>
      </c>
    </row>
    <row r="160" spans="1:9" x14ac:dyDescent="0.35">
      <c r="A160" s="2">
        <v>45306</v>
      </c>
      <c r="B160">
        <v>75</v>
      </c>
      <c r="C160">
        <v>1111001</v>
      </c>
      <c r="D160" t="s">
        <v>16</v>
      </c>
      <c r="E160" t="s">
        <v>133</v>
      </c>
      <c r="F160" s="3">
        <v>8610</v>
      </c>
      <c r="G160" s="3">
        <v>0</v>
      </c>
      <c r="H160" s="3">
        <v>8610</v>
      </c>
      <c r="I160" t="s">
        <v>124</v>
      </c>
    </row>
    <row r="161" spans="1:9" x14ac:dyDescent="0.35">
      <c r="A161" s="2">
        <v>45306</v>
      </c>
      <c r="B161">
        <v>75</v>
      </c>
      <c r="C161">
        <v>1111001</v>
      </c>
      <c r="D161" t="s">
        <v>16</v>
      </c>
      <c r="E161" t="s">
        <v>117</v>
      </c>
      <c r="F161" s="3">
        <v>6900</v>
      </c>
      <c r="G161" s="3">
        <v>0</v>
      </c>
      <c r="H161" s="3">
        <v>6900</v>
      </c>
      <c r="I161" t="s">
        <v>124</v>
      </c>
    </row>
    <row r="162" spans="1:9" x14ac:dyDescent="0.35">
      <c r="A162" s="2">
        <v>45306</v>
      </c>
      <c r="B162">
        <v>75</v>
      </c>
      <c r="C162">
        <v>6121025</v>
      </c>
      <c r="D162" t="s">
        <v>134</v>
      </c>
      <c r="E162" t="s">
        <v>135</v>
      </c>
      <c r="F162" s="3">
        <v>5483.46</v>
      </c>
      <c r="G162" s="3">
        <v>0</v>
      </c>
      <c r="H162" s="3">
        <v>5483.46</v>
      </c>
      <c r="I162" t="s">
        <v>124</v>
      </c>
    </row>
    <row r="163" spans="1:9" x14ac:dyDescent="0.35">
      <c r="A163" s="2">
        <v>45306</v>
      </c>
      <c r="B163">
        <v>75</v>
      </c>
      <c r="C163">
        <v>2124007</v>
      </c>
      <c r="D163" t="s">
        <v>30</v>
      </c>
      <c r="E163" t="s">
        <v>136</v>
      </c>
      <c r="F163" s="3">
        <v>77.959999999999994</v>
      </c>
      <c r="G163" s="3">
        <v>0</v>
      </c>
      <c r="H163" s="3">
        <v>77.959999999999994</v>
      </c>
      <c r="I163" t="s">
        <v>124</v>
      </c>
    </row>
    <row r="164" spans="1:9" x14ac:dyDescent="0.35">
      <c r="A164" s="2">
        <v>45306</v>
      </c>
      <c r="B164">
        <v>75</v>
      </c>
      <c r="C164">
        <v>1112002</v>
      </c>
      <c r="D164" t="s">
        <v>21</v>
      </c>
      <c r="E164" t="s">
        <v>107</v>
      </c>
      <c r="F164" s="3">
        <v>0</v>
      </c>
      <c r="G164" s="3">
        <v>71996.95</v>
      </c>
      <c r="H164" s="3">
        <v>-71996.95</v>
      </c>
      <c r="I164" t="s">
        <v>124</v>
      </c>
    </row>
    <row r="165" spans="1:9" x14ac:dyDescent="0.35">
      <c r="A165" s="2">
        <v>45306</v>
      </c>
      <c r="B165">
        <v>75</v>
      </c>
      <c r="C165">
        <v>1112002</v>
      </c>
      <c r="D165" t="s">
        <v>21</v>
      </c>
      <c r="E165" t="s">
        <v>108</v>
      </c>
      <c r="F165" s="3">
        <v>71901.37</v>
      </c>
      <c r="G165" s="3">
        <v>0</v>
      </c>
      <c r="H165" s="3">
        <v>71901.37</v>
      </c>
      <c r="I165" t="s">
        <v>124</v>
      </c>
    </row>
    <row r="166" spans="1:9" x14ac:dyDescent="0.35">
      <c r="A166" s="2">
        <v>45306</v>
      </c>
      <c r="B166">
        <v>75</v>
      </c>
      <c r="C166">
        <v>1111001</v>
      </c>
      <c r="D166" t="s">
        <v>16</v>
      </c>
      <c r="E166" t="s">
        <v>137</v>
      </c>
      <c r="F166" s="3">
        <v>0</v>
      </c>
      <c r="G166" s="3">
        <v>45188.43</v>
      </c>
      <c r="H166" s="3">
        <v>-45188.43</v>
      </c>
      <c r="I166" t="s">
        <v>124</v>
      </c>
    </row>
    <row r="167" spans="1:9" x14ac:dyDescent="0.35">
      <c r="A167" s="2">
        <v>45306</v>
      </c>
      <c r="B167">
        <v>75</v>
      </c>
      <c r="C167">
        <v>1111001</v>
      </c>
      <c r="D167" t="s">
        <v>16</v>
      </c>
      <c r="E167" t="s">
        <v>138</v>
      </c>
      <c r="F167" s="3">
        <v>0</v>
      </c>
      <c r="G167" s="3">
        <v>4000</v>
      </c>
      <c r="H167" s="3">
        <v>-4000</v>
      </c>
      <c r="I167" t="s">
        <v>124</v>
      </c>
    </row>
    <row r="168" spans="1:9" x14ac:dyDescent="0.35">
      <c r="A168" s="2">
        <v>45306</v>
      </c>
      <c r="B168">
        <v>75</v>
      </c>
      <c r="C168">
        <v>1111001</v>
      </c>
      <c r="D168" t="s">
        <v>16</v>
      </c>
      <c r="E168" t="s">
        <v>139</v>
      </c>
      <c r="F168" s="3">
        <v>0</v>
      </c>
      <c r="G168" s="3">
        <v>7186.13</v>
      </c>
      <c r="H168" s="3">
        <v>-7186.13</v>
      </c>
      <c r="I168" t="s">
        <v>124</v>
      </c>
    </row>
    <row r="169" spans="1:9" x14ac:dyDescent="0.35">
      <c r="A169" s="2">
        <v>45306</v>
      </c>
      <c r="B169">
        <v>75</v>
      </c>
      <c r="C169">
        <v>1111001</v>
      </c>
      <c r="D169" t="s">
        <v>16</v>
      </c>
      <c r="E169" t="s">
        <v>140</v>
      </c>
      <c r="F169" s="3">
        <v>0</v>
      </c>
      <c r="G169" s="3">
        <v>15434</v>
      </c>
      <c r="H169" s="3">
        <v>-15434</v>
      </c>
      <c r="I169" t="s">
        <v>124</v>
      </c>
    </row>
    <row r="170" spans="1:9" x14ac:dyDescent="0.35">
      <c r="A170" s="2">
        <v>45306</v>
      </c>
      <c r="B170">
        <v>75</v>
      </c>
      <c r="C170">
        <v>4141003</v>
      </c>
      <c r="D170" t="s">
        <v>141</v>
      </c>
      <c r="E170" t="s">
        <v>142</v>
      </c>
      <c r="F170" s="3">
        <v>0</v>
      </c>
      <c r="G170" s="3">
        <v>92.81</v>
      </c>
      <c r="H170" s="3">
        <v>-92.81</v>
      </c>
      <c r="I170" t="s">
        <v>124</v>
      </c>
    </row>
    <row r="171" spans="1:9" x14ac:dyDescent="0.35">
      <c r="A171" s="2">
        <v>45306</v>
      </c>
      <c r="B171">
        <v>75</v>
      </c>
      <c r="C171">
        <v>2114010</v>
      </c>
      <c r="D171" t="s">
        <v>48</v>
      </c>
      <c r="E171" t="s">
        <v>143</v>
      </c>
      <c r="F171" s="3">
        <v>4256.8999999999996</v>
      </c>
      <c r="G171" s="3">
        <v>0</v>
      </c>
      <c r="H171" s="3">
        <v>4256.8999999999996</v>
      </c>
      <c r="I171" t="s">
        <v>144</v>
      </c>
    </row>
    <row r="172" spans="1:9" x14ac:dyDescent="0.35">
      <c r="A172" s="2">
        <v>45306</v>
      </c>
      <c r="B172">
        <v>75</v>
      </c>
      <c r="C172">
        <v>2114001</v>
      </c>
      <c r="D172" t="s">
        <v>97</v>
      </c>
      <c r="E172" t="s">
        <v>143</v>
      </c>
      <c r="F172" s="3">
        <v>0</v>
      </c>
      <c r="G172" s="3">
        <v>4256.8999999999996</v>
      </c>
      <c r="H172" s="3">
        <v>-4256.8999999999996</v>
      </c>
      <c r="I172" t="s">
        <v>144</v>
      </c>
    </row>
    <row r="173" spans="1:9" x14ac:dyDescent="0.35">
      <c r="A173" s="2">
        <v>45306</v>
      </c>
      <c r="B173">
        <v>74</v>
      </c>
      <c r="C173">
        <v>1241080</v>
      </c>
      <c r="D173" t="s">
        <v>25</v>
      </c>
      <c r="E173" t="s">
        <v>145</v>
      </c>
      <c r="F173" s="3">
        <v>0</v>
      </c>
      <c r="G173" s="3">
        <v>83692.95</v>
      </c>
      <c r="H173" s="3">
        <v>-83692.95</v>
      </c>
      <c r="I173" t="s">
        <v>146</v>
      </c>
    </row>
    <row r="174" spans="1:9" x14ac:dyDescent="0.35">
      <c r="A174" s="2">
        <v>45306</v>
      </c>
      <c r="B174">
        <v>74</v>
      </c>
      <c r="C174">
        <v>1242080</v>
      </c>
      <c r="D174" t="s">
        <v>26</v>
      </c>
      <c r="E174" t="s">
        <v>145</v>
      </c>
      <c r="F174" s="3">
        <v>78578.38</v>
      </c>
      <c r="G174" s="3">
        <v>0</v>
      </c>
      <c r="H174" s="3">
        <v>78578.38</v>
      </c>
      <c r="I174" t="s">
        <v>146</v>
      </c>
    </row>
    <row r="175" spans="1:9" x14ac:dyDescent="0.35">
      <c r="A175" s="2">
        <v>45306</v>
      </c>
      <c r="B175">
        <v>74</v>
      </c>
      <c r="C175">
        <v>3121080</v>
      </c>
      <c r="D175" t="s">
        <v>41</v>
      </c>
      <c r="E175" t="s">
        <v>145</v>
      </c>
      <c r="F175" s="3">
        <v>83692.95</v>
      </c>
      <c r="G175" s="3">
        <v>0</v>
      </c>
      <c r="H175" s="3">
        <v>83692.95</v>
      </c>
      <c r="I175" t="s">
        <v>146</v>
      </c>
    </row>
    <row r="176" spans="1:9" x14ac:dyDescent="0.35">
      <c r="A176" s="2">
        <v>45306</v>
      </c>
      <c r="B176">
        <v>74</v>
      </c>
      <c r="C176">
        <v>3131080</v>
      </c>
      <c r="D176" t="s">
        <v>43</v>
      </c>
      <c r="E176" t="s">
        <v>145</v>
      </c>
      <c r="F176" s="3">
        <v>0</v>
      </c>
      <c r="G176" s="3">
        <v>86947.67</v>
      </c>
      <c r="H176" s="3">
        <v>-86947.67</v>
      </c>
      <c r="I176" t="s">
        <v>146</v>
      </c>
    </row>
    <row r="177" spans="1:9" x14ac:dyDescent="0.35">
      <c r="A177" s="2">
        <v>45306</v>
      </c>
      <c r="B177">
        <v>74</v>
      </c>
      <c r="C177">
        <v>3141080</v>
      </c>
      <c r="D177" t="s">
        <v>44</v>
      </c>
      <c r="E177" t="s">
        <v>145</v>
      </c>
      <c r="F177" s="3">
        <v>8369.2900000000009</v>
      </c>
      <c r="G177" s="3">
        <v>0</v>
      </c>
      <c r="H177" s="3">
        <v>8369.2900000000009</v>
      </c>
      <c r="I177" t="s">
        <v>146</v>
      </c>
    </row>
    <row r="178" spans="1:9" x14ac:dyDescent="0.35">
      <c r="A178" s="2">
        <v>45306</v>
      </c>
      <c r="B178">
        <v>74</v>
      </c>
      <c r="C178">
        <v>1111001</v>
      </c>
      <c r="D178" t="s">
        <v>16</v>
      </c>
      <c r="E178" t="s">
        <v>147</v>
      </c>
      <c r="F178" s="3">
        <v>17960.169999999998</v>
      </c>
      <c r="G178" s="3">
        <v>0</v>
      </c>
      <c r="H178" s="3">
        <v>17960.169999999998</v>
      </c>
      <c r="I178" t="s">
        <v>148</v>
      </c>
    </row>
    <row r="179" spans="1:9" x14ac:dyDescent="0.35">
      <c r="A179" s="2">
        <v>45306</v>
      </c>
      <c r="B179">
        <v>74</v>
      </c>
      <c r="C179">
        <v>1111003</v>
      </c>
      <c r="D179" t="s">
        <v>19</v>
      </c>
      <c r="E179" t="s">
        <v>149</v>
      </c>
      <c r="F179" s="3">
        <v>0</v>
      </c>
      <c r="G179" s="3">
        <v>17960.169999999998</v>
      </c>
      <c r="H179" s="3">
        <v>-17960.169999999998</v>
      </c>
      <c r="I179" t="s">
        <v>148</v>
      </c>
    </row>
    <row r="180" spans="1:9" x14ac:dyDescent="0.35">
      <c r="A180" s="2">
        <v>45322</v>
      </c>
      <c r="B180">
        <v>76</v>
      </c>
      <c r="C180">
        <v>6121018</v>
      </c>
      <c r="D180" t="s">
        <v>150</v>
      </c>
      <c r="E180" t="s">
        <v>151</v>
      </c>
      <c r="F180" s="3">
        <v>5963.84</v>
      </c>
      <c r="G180" s="3">
        <v>0</v>
      </c>
      <c r="H180" s="3">
        <v>5963.84</v>
      </c>
      <c r="I180" t="s">
        <v>152</v>
      </c>
    </row>
    <row r="181" spans="1:9" x14ac:dyDescent="0.35">
      <c r="A181" s="2">
        <v>45322</v>
      </c>
      <c r="B181">
        <v>76</v>
      </c>
      <c r="C181">
        <v>1141001</v>
      </c>
      <c r="D181" t="s">
        <v>153</v>
      </c>
      <c r="E181" t="s">
        <v>151</v>
      </c>
      <c r="F181" s="3">
        <v>954.21</v>
      </c>
      <c r="G181" s="3">
        <v>0</v>
      </c>
      <c r="H181" s="3">
        <v>954.21</v>
      </c>
      <c r="I181" t="s">
        <v>152</v>
      </c>
    </row>
    <row r="182" spans="1:9" x14ac:dyDescent="0.35">
      <c r="A182" s="2">
        <v>45322</v>
      </c>
      <c r="B182">
        <v>76</v>
      </c>
      <c r="C182">
        <v>2124009</v>
      </c>
      <c r="D182" t="s">
        <v>154</v>
      </c>
      <c r="E182" t="s">
        <v>151</v>
      </c>
      <c r="F182" s="3">
        <v>0</v>
      </c>
      <c r="G182" s="3">
        <v>715.66</v>
      </c>
      <c r="H182" s="3">
        <v>-715.66</v>
      </c>
      <c r="I182" t="s">
        <v>1438</v>
      </c>
    </row>
    <row r="183" spans="1:9" x14ac:dyDescent="0.35">
      <c r="A183" s="2">
        <v>45322</v>
      </c>
      <c r="B183">
        <v>76</v>
      </c>
      <c r="C183">
        <v>2114010</v>
      </c>
      <c r="D183" t="s">
        <v>48</v>
      </c>
      <c r="E183" t="s">
        <v>151</v>
      </c>
      <c r="F183" s="3">
        <v>0</v>
      </c>
      <c r="G183" s="3">
        <v>6202.39</v>
      </c>
      <c r="H183" s="3">
        <v>-6202.39</v>
      </c>
      <c r="I183" t="s">
        <v>152</v>
      </c>
    </row>
    <row r="184" spans="1:9" x14ac:dyDescent="0.35">
      <c r="A184" s="2">
        <v>45322</v>
      </c>
      <c r="B184">
        <v>76</v>
      </c>
      <c r="C184">
        <v>6121018</v>
      </c>
      <c r="D184" t="s">
        <v>150</v>
      </c>
      <c r="E184" t="s">
        <v>151</v>
      </c>
      <c r="F184" s="3">
        <v>5963.84</v>
      </c>
      <c r="G184" s="3">
        <v>0</v>
      </c>
      <c r="H184" s="3">
        <v>5963.84</v>
      </c>
      <c r="I184" t="s">
        <v>155</v>
      </c>
    </row>
    <row r="185" spans="1:9" x14ac:dyDescent="0.35">
      <c r="A185" s="2">
        <v>45322</v>
      </c>
      <c r="B185">
        <v>76</v>
      </c>
      <c r="C185">
        <v>1141001</v>
      </c>
      <c r="D185" t="s">
        <v>153</v>
      </c>
      <c r="E185" t="s">
        <v>151</v>
      </c>
      <c r="F185" s="3">
        <v>954.21</v>
      </c>
      <c r="G185" s="3">
        <v>0</v>
      </c>
      <c r="H185" s="3">
        <v>954.21</v>
      </c>
      <c r="I185" t="s">
        <v>155</v>
      </c>
    </row>
    <row r="186" spans="1:9" x14ac:dyDescent="0.35">
      <c r="A186" s="2">
        <v>45322</v>
      </c>
      <c r="B186">
        <v>76</v>
      </c>
      <c r="C186">
        <v>2124009</v>
      </c>
      <c r="D186" t="s">
        <v>154</v>
      </c>
      <c r="E186" t="s">
        <v>151</v>
      </c>
      <c r="F186" s="3">
        <v>0</v>
      </c>
      <c r="G186" s="3">
        <v>715.66</v>
      </c>
      <c r="H186" s="3">
        <v>-715.66</v>
      </c>
      <c r="I186" t="s">
        <v>1438</v>
      </c>
    </row>
    <row r="187" spans="1:9" x14ac:dyDescent="0.35">
      <c r="A187" s="2">
        <v>45322</v>
      </c>
      <c r="B187">
        <v>76</v>
      </c>
      <c r="C187">
        <v>2114010</v>
      </c>
      <c r="D187" t="s">
        <v>48</v>
      </c>
      <c r="E187" t="s">
        <v>151</v>
      </c>
      <c r="F187" s="3">
        <v>0</v>
      </c>
      <c r="G187" s="3">
        <v>6202.39</v>
      </c>
      <c r="H187" s="3">
        <v>-6202.39</v>
      </c>
      <c r="I187" t="s">
        <v>155</v>
      </c>
    </row>
    <row r="188" spans="1:9" x14ac:dyDescent="0.35">
      <c r="A188" s="2">
        <v>45322</v>
      </c>
      <c r="B188">
        <v>76</v>
      </c>
      <c r="C188">
        <v>6121016</v>
      </c>
      <c r="D188" t="s">
        <v>156</v>
      </c>
      <c r="E188" t="s">
        <v>157</v>
      </c>
      <c r="F188" s="3">
        <v>1285.1099999999999</v>
      </c>
      <c r="G188" s="3">
        <v>0</v>
      </c>
      <c r="H188" s="3">
        <v>1285.1099999999999</v>
      </c>
      <c r="I188" t="s">
        <v>158</v>
      </c>
    </row>
    <row r="189" spans="1:9" x14ac:dyDescent="0.35">
      <c r="A189" s="2">
        <v>45322</v>
      </c>
      <c r="B189">
        <v>76</v>
      </c>
      <c r="C189">
        <v>2114010</v>
      </c>
      <c r="D189" t="s">
        <v>48</v>
      </c>
      <c r="E189" t="s">
        <v>157</v>
      </c>
      <c r="F189" s="3">
        <v>0</v>
      </c>
      <c r="G189" s="3">
        <v>1285.1099999999999</v>
      </c>
      <c r="H189" s="3">
        <v>-1285.1099999999999</v>
      </c>
      <c r="I189" t="s">
        <v>158</v>
      </c>
    </row>
    <row r="190" spans="1:9" x14ac:dyDescent="0.35">
      <c r="A190" s="2">
        <v>45322</v>
      </c>
      <c r="B190">
        <v>76</v>
      </c>
      <c r="C190">
        <v>6121023</v>
      </c>
      <c r="D190" t="s">
        <v>49</v>
      </c>
      <c r="E190" t="s">
        <v>159</v>
      </c>
      <c r="F190" s="3">
        <v>307.24</v>
      </c>
      <c r="G190" s="3">
        <v>0</v>
      </c>
      <c r="H190" s="3">
        <v>307.24</v>
      </c>
      <c r="I190" t="s">
        <v>160</v>
      </c>
    </row>
    <row r="191" spans="1:9" x14ac:dyDescent="0.35">
      <c r="A191" s="2">
        <v>45322</v>
      </c>
      <c r="B191">
        <v>76</v>
      </c>
      <c r="C191">
        <v>2114010</v>
      </c>
      <c r="D191" t="s">
        <v>48</v>
      </c>
      <c r="E191" t="s">
        <v>159</v>
      </c>
      <c r="F191" s="3">
        <v>0</v>
      </c>
      <c r="G191" s="3">
        <v>307.24</v>
      </c>
      <c r="H191" s="3">
        <v>-307.24</v>
      </c>
      <c r="I191" t="s">
        <v>160</v>
      </c>
    </row>
    <row r="192" spans="1:9" x14ac:dyDescent="0.35">
      <c r="A192" s="2">
        <v>45322</v>
      </c>
      <c r="B192">
        <v>76</v>
      </c>
      <c r="C192">
        <v>6121023</v>
      </c>
      <c r="D192" t="s">
        <v>49</v>
      </c>
      <c r="E192" t="s">
        <v>161</v>
      </c>
      <c r="F192" s="3">
        <v>288.85000000000002</v>
      </c>
      <c r="G192" s="3">
        <v>0</v>
      </c>
      <c r="H192" s="3">
        <v>288.85000000000002</v>
      </c>
      <c r="I192" t="s">
        <v>162</v>
      </c>
    </row>
    <row r="193" spans="1:9" x14ac:dyDescent="0.35">
      <c r="A193" s="2">
        <v>45322</v>
      </c>
      <c r="B193">
        <v>76</v>
      </c>
      <c r="C193">
        <v>2114010</v>
      </c>
      <c r="D193" t="s">
        <v>48</v>
      </c>
      <c r="E193" t="s">
        <v>161</v>
      </c>
      <c r="F193" s="3">
        <v>0</v>
      </c>
      <c r="G193" s="3">
        <v>288.85000000000002</v>
      </c>
      <c r="H193" s="3">
        <v>-288.85000000000002</v>
      </c>
      <c r="I193" t="s">
        <v>162</v>
      </c>
    </row>
    <row r="194" spans="1:9" x14ac:dyDescent="0.35">
      <c r="A194" s="2">
        <v>45322</v>
      </c>
      <c r="B194">
        <v>76</v>
      </c>
      <c r="C194">
        <v>6121023</v>
      </c>
      <c r="D194" t="s">
        <v>49</v>
      </c>
      <c r="E194" t="s">
        <v>52</v>
      </c>
      <c r="F194" s="3">
        <v>1117.8900000000001</v>
      </c>
      <c r="G194" s="3">
        <v>0</v>
      </c>
      <c r="H194" s="3">
        <v>1117.8900000000001</v>
      </c>
      <c r="I194" t="s">
        <v>163</v>
      </c>
    </row>
    <row r="195" spans="1:9" x14ac:dyDescent="0.35">
      <c r="A195" s="2">
        <v>45322</v>
      </c>
      <c r="B195">
        <v>76</v>
      </c>
      <c r="C195">
        <v>2114010</v>
      </c>
      <c r="D195" t="s">
        <v>48</v>
      </c>
      <c r="E195" t="s">
        <v>52</v>
      </c>
      <c r="F195" s="3">
        <v>0</v>
      </c>
      <c r="G195" s="3">
        <v>1117.8900000000001</v>
      </c>
      <c r="H195" s="3">
        <v>-1117.8900000000001</v>
      </c>
      <c r="I195" t="s">
        <v>163</v>
      </c>
    </row>
    <row r="196" spans="1:9" x14ac:dyDescent="0.35">
      <c r="A196" s="2">
        <v>45322</v>
      </c>
      <c r="B196">
        <v>76</v>
      </c>
      <c r="C196">
        <v>6121023</v>
      </c>
      <c r="D196" t="s">
        <v>49</v>
      </c>
      <c r="E196" t="s">
        <v>52</v>
      </c>
      <c r="F196" s="3">
        <v>160.61000000000001</v>
      </c>
      <c r="G196" s="3">
        <v>0</v>
      </c>
      <c r="H196" s="3">
        <v>160.61000000000001</v>
      </c>
      <c r="I196" t="s">
        <v>164</v>
      </c>
    </row>
    <row r="197" spans="1:9" x14ac:dyDescent="0.35">
      <c r="A197" s="2">
        <v>45322</v>
      </c>
      <c r="B197">
        <v>76</v>
      </c>
      <c r="C197">
        <v>2114010</v>
      </c>
      <c r="D197" t="s">
        <v>48</v>
      </c>
      <c r="E197" t="s">
        <v>52</v>
      </c>
      <c r="F197" s="3">
        <v>0</v>
      </c>
      <c r="G197" s="3">
        <v>160.61000000000001</v>
      </c>
      <c r="H197" s="3">
        <v>-160.61000000000001</v>
      </c>
      <c r="I197" t="s">
        <v>164</v>
      </c>
    </row>
    <row r="198" spans="1:9" x14ac:dyDescent="0.35">
      <c r="A198" s="2">
        <v>45322</v>
      </c>
      <c r="B198">
        <v>76</v>
      </c>
      <c r="C198">
        <v>6121023</v>
      </c>
      <c r="D198" t="s">
        <v>49</v>
      </c>
      <c r="E198" t="s">
        <v>52</v>
      </c>
      <c r="F198" s="3">
        <v>710.14</v>
      </c>
      <c r="G198" s="3">
        <v>0</v>
      </c>
      <c r="H198" s="3">
        <v>710.14</v>
      </c>
      <c r="I198" t="s">
        <v>165</v>
      </c>
    </row>
    <row r="199" spans="1:9" x14ac:dyDescent="0.35">
      <c r="A199" s="2">
        <v>45322</v>
      </c>
      <c r="B199">
        <v>76</v>
      </c>
      <c r="C199">
        <v>2114010</v>
      </c>
      <c r="D199" t="s">
        <v>48</v>
      </c>
      <c r="E199" t="s">
        <v>52</v>
      </c>
      <c r="F199" s="3">
        <v>0</v>
      </c>
      <c r="G199" s="3">
        <v>710.14</v>
      </c>
      <c r="H199" s="3">
        <v>-710.14</v>
      </c>
      <c r="I199" t="s">
        <v>165</v>
      </c>
    </row>
    <row r="200" spans="1:9" x14ac:dyDescent="0.35">
      <c r="A200" s="2">
        <v>45322</v>
      </c>
      <c r="B200">
        <v>76</v>
      </c>
      <c r="C200">
        <v>6121023</v>
      </c>
      <c r="D200" t="s">
        <v>49</v>
      </c>
      <c r="E200" t="s">
        <v>166</v>
      </c>
      <c r="F200" s="3">
        <v>364.81</v>
      </c>
      <c r="G200" s="3">
        <v>0</v>
      </c>
      <c r="H200" s="3">
        <v>364.81</v>
      </c>
      <c r="I200" t="s">
        <v>167</v>
      </c>
    </row>
    <row r="201" spans="1:9" x14ac:dyDescent="0.35">
      <c r="A201" s="2">
        <v>45322</v>
      </c>
      <c r="B201">
        <v>76</v>
      </c>
      <c r="C201">
        <v>2114010</v>
      </c>
      <c r="D201" t="s">
        <v>48</v>
      </c>
      <c r="E201" t="s">
        <v>166</v>
      </c>
      <c r="F201" s="3">
        <v>0</v>
      </c>
      <c r="G201" s="3">
        <v>364.81</v>
      </c>
      <c r="H201" s="3">
        <v>-364.81</v>
      </c>
      <c r="I201" t="s">
        <v>167</v>
      </c>
    </row>
    <row r="202" spans="1:9" x14ac:dyDescent="0.35">
      <c r="A202" s="2">
        <v>45322</v>
      </c>
      <c r="B202">
        <v>76</v>
      </c>
      <c r="C202">
        <v>6121023</v>
      </c>
      <c r="D202" t="s">
        <v>49</v>
      </c>
      <c r="E202" t="s">
        <v>166</v>
      </c>
      <c r="F202" s="3">
        <v>57.5</v>
      </c>
      <c r="G202" s="3">
        <v>0</v>
      </c>
      <c r="H202" s="3">
        <v>57.5</v>
      </c>
      <c r="I202" t="s">
        <v>168</v>
      </c>
    </row>
    <row r="203" spans="1:9" x14ac:dyDescent="0.35">
      <c r="A203" s="2">
        <v>45322</v>
      </c>
      <c r="B203">
        <v>76</v>
      </c>
      <c r="C203">
        <v>2114010</v>
      </c>
      <c r="D203" t="s">
        <v>48</v>
      </c>
      <c r="E203" t="s">
        <v>166</v>
      </c>
      <c r="F203" s="3">
        <v>0</v>
      </c>
      <c r="G203" s="3">
        <v>57.5</v>
      </c>
      <c r="H203" s="3">
        <v>-57.5</v>
      </c>
      <c r="I203" t="s">
        <v>168</v>
      </c>
    </row>
    <row r="204" spans="1:9" x14ac:dyDescent="0.35">
      <c r="A204" s="2">
        <v>45322</v>
      </c>
      <c r="B204">
        <v>76</v>
      </c>
      <c r="C204">
        <v>6121023</v>
      </c>
      <c r="D204" t="s">
        <v>49</v>
      </c>
      <c r="E204" t="s">
        <v>52</v>
      </c>
      <c r="F204" s="3">
        <v>205.22</v>
      </c>
      <c r="G204" s="3">
        <v>0</v>
      </c>
      <c r="H204" s="3">
        <v>205.22</v>
      </c>
      <c r="I204" t="s">
        <v>169</v>
      </c>
    </row>
    <row r="205" spans="1:9" x14ac:dyDescent="0.35">
      <c r="A205" s="2">
        <v>45322</v>
      </c>
      <c r="B205">
        <v>76</v>
      </c>
      <c r="C205">
        <v>2114010</v>
      </c>
      <c r="D205" t="s">
        <v>48</v>
      </c>
      <c r="E205" t="s">
        <v>52</v>
      </c>
      <c r="F205" s="3">
        <v>0</v>
      </c>
      <c r="G205" s="3">
        <v>205.22</v>
      </c>
      <c r="H205" s="3">
        <v>-205.22</v>
      </c>
      <c r="I205" t="s">
        <v>169</v>
      </c>
    </row>
    <row r="206" spans="1:9" x14ac:dyDescent="0.35">
      <c r="A206" s="2">
        <v>45322</v>
      </c>
      <c r="B206">
        <v>76</v>
      </c>
      <c r="C206">
        <v>6121023</v>
      </c>
      <c r="D206" t="s">
        <v>49</v>
      </c>
      <c r="E206" t="s">
        <v>52</v>
      </c>
      <c r="F206" s="3">
        <v>148.44999999999999</v>
      </c>
      <c r="G206" s="3">
        <v>0</v>
      </c>
      <c r="H206" s="3">
        <v>148.44999999999999</v>
      </c>
      <c r="I206" t="s">
        <v>170</v>
      </c>
    </row>
    <row r="207" spans="1:9" x14ac:dyDescent="0.35">
      <c r="A207" s="2">
        <v>45322</v>
      </c>
      <c r="B207">
        <v>76</v>
      </c>
      <c r="C207">
        <v>2114010</v>
      </c>
      <c r="D207" t="s">
        <v>48</v>
      </c>
      <c r="E207" t="s">
        <v>52</v>
      </c>
      <c r="F207" s="3">
        <v>0</v>
      </c>
      <c r="G207" s="3">
        <v>148.44999999999999</v>
      </c>
      <c r="H207" s="3">
        <v>-148.44999999999999</v>
      </c>
      <c r="I207" t="s">
        <v>170</v>
      </c>
    </row>
    <row r="208" spans="1:9" x14ac:dyDescent="0.35">
      <c r="A208" s="2">
        <v>45322</v>
      </c>
      <c r="B208">
        <v>76</v>
      </c>
      <c r="C208">
        <v>6121023</v>
      </c>
      <c r="D208" t="s">
        <v>49</v>
      </c>
      <c r="E208" t="s">
        <v>166</v>
      </c>
      <c r="F208" s="3">
        <v>1201.4100000000001</v>
      </c>
      <c r="G208" s="3">
        <v>0</v>
      </c>
      <c r="H208" s="3">
        <v>1201.4100000000001</v>
      </c>
      <c r="I208" t="s">
        <v>171</v>
      </c>
    </row>
    <row r="209" spans="1:9" x14ac:dyDescent="0.35">
      <c r="A209" s="2">
        <v>45322</v>
      </c>
      <c r="B209">
        <v>76</v>
      </c>
      <c r="C209">
        <v>2114010</v>
      </c>
      <c r="D209" t="s">
        <v>48</v>
      </c>
      <c r="E209" t="s">
        <v>166</v>
      </c>
      <c r="F209" s="3">
        <v>0</v>
      </c>
      <c r="G209" s="3">
        <v>1201.4100000000001</v>
      </c>
      <c r="H209" s="3">
        <v>-1201.4100000000001</v>
      </c>
      <c r="I209" t="s">
        <v>171</v>
      </c>
    </row>
    <row r="210" spans="1:9" x14ac:dyDescent="0.35">
      <c r="A210" s="2">
        <v>45322</v>
      </c>
      <c r="B210">
        <v>76</v>
      </c>
      <c r="C210">
        <v>6121023</v>
      </c>
      <c r="D210" t="s">
        <v>49</v>
      </c>
      <c r="E210" t="s">
        <v>172</v>
      </c>
      <c r="F210" s="3">
        <v>80.86</v>
      </c>
      <c r="G210" s="3">
        <v>0</v>
      </c>
      <c r="H210" s="3">
        <v>80.86</v>
      </c>
      <c r="I210" t="s">
        <v>173</v>
      </c>
    </row>
    <row r="211" spans="1:9" x14ac:dyDescent="0.35">
      <c r="A211" s="2">
        <v>45322</v>
      </c>
      <c r="B211">
        <v>76</v>
      </c>
      <c r="C211">
        <v>2114010</v>
      </c>
      <c r="D211" t="s">
        <v>48</v>
      </c>
      <c r="E211" t="s">
        <v>172</v>
      </c>
      <c r="F211" s="3">
        <v>0</v>
      </c>
      <c r="G211" s="3">
        <v>80.86</v>
      </c>
      <c r="H211" s="3">
        <v>-80.86</v>
      </c>
      <c r="I211" t="s">
        <v>173</v>
      </c>
    </row>
    <row r="212" spans="1:9" x14ac:dyDescent="0.35">
      <c r="A212" s="2">
        <v>45322</v>
      </c>
      <c r="B212">
        <v>76</v>
      </c>
      <c r="C212">
        <v>6121023</v>
      </c>
      <c r="D212" t="s">
        <v>49</v>
      </c>
      <c r="E212" t="s">
        <v>172</v>
      </c>
      <c r="F212" s="3">
        <v>83.78</v>
      </c>
      <c r="G212" s="3">
        <v>0</v>
      </c>
      <c r="H212" s="3">
        <v>83.78</v>
      </c>
      <c r="I212" t="s">
        <v>174</v>
      </c>
    </row>
    <row r="213" spans="1:9" x14ac:dyDescent="0.35">
      <c r="A213" s="2">
        <v>45322</v>
      </c>
      <c r="B213">
        <v>76</v>
      </c>
      <c r="C213">
        <v>2114010</v>
      </c>
      <c r="D213" t="s">
        <v>48</v>
      </c>
      <c r="E213" t="s">
        <v>172</v>
      </c>
      <c r="F213" s="3">
        <v>0</v>
      </c>
      <c r="G213" s="3">
        <v>83.78</v>
      </c>
      <c r="H213" s="3">
        <v>-83.78</v>
      </c>
      <c r="I213" t="s">
        <v>174</v>
      </c>
    </row>
    <row r="214" spans="1:9" x14ac:dyDescent="0.35">
      <c r="A214" s="2">
        <v>45322</v>
      </c>
      <c r="B214">
        <v>76</v>
      </c>
      <c r="C214">
        <v>6121023</v>
      </c>
      <c r="D214" t="s">
        <v>49</v>
      </c>
      <c r="E214" t="s">
        <v>172</v>
      </c>
      <c r="F214" s="3">
        <v>80.069999999999993</v>
      </c>
      <c r="G214" s="3">
        <v>0</v>
      </c>
      <c r="H214" s="3">
        <v>80.069999999999993</v>
      </c>
      <c r="I214" t="s">
        <v>175</v>
      </c>
    </row>
    <row r="215" spans="1:9" x14ac:dyDescent="0.35">
      <c r="A215" s="2">
        <v>45322</v>
      </c>
      <c r="B215">
        <v>76</v>
      </c>
      <c r="C215">
        <v>2114010</v>
      </c>
      <c r="D215" t="s">
        <v>48</v>
      </c>
      <c r="E215" t="s">
        <v>172</v>
      </c>
      <c r="F215" s="3">
        <v>0</v>
      </c>
      <c r="G215" s="3">
        <v>80.069999999999993</v>
      </c>
      <c r="H215" s="3">
        <v>-80.069999999999993</v>
      </c>
      <c r="I215" t="s">
        <v>175</v>
      </c>
    </row>
    <row r="216" spans="1:9" x14ac:dyDescent="0.35">
      <c r="A216" s="2">
        <v>45322</v>
      </c>
      <c r="B216">
        <v>76</v>
      </c>
      <c r="C216">
        <v>6121044</v>
      </c>
      <c r="D216" t="s">
        <v>176</v>
      </c>
      <c r="E216" t="s">
        <v>177</v>
      </c>
      <c r="F216" s="3">
        <v>7200</v>
      </c>
      <c r="G216" s="3">
        <v>0</v>
      </c>
      <c r="H216" s="3">
        <v>7200</v>
      </c>
      <c r="I216" t="s">
        <v>178</v>
      </c>
    </row>
    <row r="217" spans="1:9" x14ac:dyDescent="0.35">
      <c r="A217" s="2">
        <v>45322</v>
      </c>
      <c r="B217">
        <v>76</v>
      </c>
      <c r="C217">
        <v>2114010</v>
      </c>
      <c r="D217" t="s">
        <v>48</v>
      </c>
      <c r="E217" t="s">
        <v>177</v>
      </c>
      <c r="F217" s="3">
        <v>0</v>
      </c>
      <c r="G217" s="3">
        <v>7200</v>
      </c>
      <c r="H217" s="3">
        <v>-7200</v>
      </c>
      <c r="I217" t="s">
        <v>178</v>
      </c>
    </row>
    <row r="218" spans="1:9" x14ac:dyDescent="0.35">
      <c r="A218" s="2">
        <v>45322</v>
      </c>
      <c r="B218">
        <v>76</v>
      </c>
      <c r="C218">
        <v>4112003</v>
      </c>
      <c r="D218" t="s">
        <v>58</v>
      </c>
      <c r="E218" t="s">
        <v>59</v>
      </c>
      <c r="F218" s="3">
        <v>0</v>
      </c>
      <c r="G218" s="3">
        <v>5974.9</v>
      </c>
      <c r="H218" s="3">
        <v>-5974.9</v>
      </c>
      <c r="I218" t="s">
        <v>179</v>
      </c>
    </row>
    <row r="219" spans="1:9" x14ac:dyDescent="0.35">
      <c r="A219" s="2">
        <v>45322</v>
      </c>
      <c r="B219">
        <v>76</v>
      </c>
      <c r="C219">
        <v>2121001</v>
      </c>
      <c r="D219" t="s">
        <v>27</v>
      </c>
      <c r="E219" t="s">
        <v>59</v>
      </c>
      <c r="F219" s="3">
        <v>0</v>
      </c>
      <c r="G219" s="3">
        <v>955.98</v>
      </c>
      <c r="H219" s="3">
        <v>-955.98</v>
      </c>
      <c r="I219" t="s">
        <v>179</v>
      </c>
    </row>
    <row r="220" spans="1:9" x14ac:dyDescent="0.35">
      <c r="A220" s="2">
        <v>45322</v>
      </c>
      <c r="B220">
        <v>76</v>
      </c>
      <c r="C220">
        <v>1111001</v>
      </c>
      <c r="D220" t="s">
        <v>16</v>
      </c>
      <c r="E220" t="s">
        <v>59</v>
      </c>
      <c r="F220" s="3">
        <v>6930.88</v>
      </c>
      <c r="G220" s="3">
        <v>0</v>
      </c>
      <c r="H220" s="3">
        <v>6930.88</v>
      </c>
      <c r="I220" t="s">
        <v>179</v>
      </c>
    </row>
    <row r="221" spans="1:9" x14ac:dyDescent="0.35">
      <c r="A221" s="2">
        <v>45322</v>
      </c>
      <c r="B221">
        <v>76</v>
      </c>
      <c r="C221">
        <v>4112003</v>
      </c>
      <c r="D221" t="s">
        <v>58</v>
      </c>
      <c r="E221" t="s">
        <v>59</v>
      </c>
      <c r="F221" s="3">
        <v>0</v>
      </c>
      <c r="G221" s="3">
        <v>6849.93</v>
      </c>
      <c r="H221" s="3">
        <v>-6849.93</v>
      </c>
      <c r="I221" t="s">
        <v>180</v>
      </c>
    </row>
    <row r="222" spans="1:9" x14ac:dyDescent="0.35">
      <c r="A222" s="2">
        <v>45322</v>
      </c>
      <c r="B222">
        <v>76</v>
      </c>
      <c r="C222">
        <v>2121001</v>
      </c>
      <c r="D222" t="s">
        <v>27</v>
      </c>
      <c r="E222" t="s">
        <v>59</v>
      </c>
      <c r="F222" s="3">
        <v>0</v>
      </c>
      <c r="G222" s="3">
        <v>1095.99</v>
      </c>
      <c r="H222" s="3">
        <v>-1095.99</v>
      </c>
      <c r="I222" t="s">
        <v>180</v>
      </c>
    </row>
    <row r="223" spans="1:9" x14ac:dyDescent="0.35">
      <c r="A223" s="2">
        <v>45322</v>
      </c>
      <c r="B223">
        <v>76</v>
      </c>
      <c r="C223">
        <v>1111001</v>
      </c>
      <c r="D223" t="s">
        <v>16</v>
      </c>
      <c r="E223" t="s">
        <v>59</v>
      </c>
      <c r="F223" s="3">
        <v>7945.92</v>
      </c>
      <c r="G223" s="3">
        <v>0</v>
      </c>
      <c r="H223" s="3">
        <v>7945.92</v>
      </c>
      <c r="I223" t="s">
        <v>180</v>
      </c>
    </row>
    <row r="224" spans="1:9" x14ac:dyDescent="0.35">
      <c r="A224" s="2">
        <v>45322</v>
      </c>
      <c r="B224">
        <v>76</v>
      </c>
      <c r="C224">
        <v>4112003</v>
      </c>
      <c r="D224" t="s">
        <v>58</v>
      </c>
      <c r="E224" t="s">
        <v>59</v>
      </c>
      <c r="F224" s="3">
        <v>0</v>
      </c>
      <c r="G224" s="3">
        <v>6440.33</v>
      </c>
      <c r="H224" s="3">
        <v>-6440.33</v>
      </c>
      <c r="I224" t="s">
        <v>181</v>
      </c>
    </row>
    <row r="225" spans="1:9" x14ac:dyDescent="0.35">
      <c r="A225" s="2">
        <v>45322</v>
      </c>
      <c r="B225">
        <v>76</v>
      </c>
      <c r="C225">
        <v>2121001</v>
      </c>
      <c r="D225" t="s">
        <v>27</v>
      </c>
      <c r="E225" t="s">
        <v>59</v>
      </c>
      <c r="F225" s="3">
        <v>0</v>
      </c>
      <c r="G225" s="3">
        <v>1030.45</v>
      </c>
      <c r="H225" s="3">
        <v>-1030.45</v>
      </c>
      <c r="I225" t="s">
        <v>181</v>
      </c>
    </row>
    <row r="226" spans="1:9" x14ac:dyDescent="0.35">
      <c r="A226" s="2">
        <v>45322</v>
      </c>
      <c r="B226">
        <v>76</v>
      </c>
      <c r="C226">
        <v>1111001</v>
      </c>
      <c r="D226" t="s">
        <v>16</v>
      </c>
      <c r="E226" t="s">
        <v>59</v>
      </c>
      <c r="F226" s="3">
        <v>7470.78</v>
      </c>
      <c r="G226" s="3">
        <v>0</v>
      </c>
      <c r="H226" s="3">
        <v>7470.78</v>
      </c>
      <c r="I226" t="s">
        <v>181</v>
      </c>
    </row>
    <row r="227" spans="1:9" x14ac:dyDescent="0.35">
      <c r="A227" s="2">
        <v>45322</v>
      </c>
      <c r="B227">
        <v>76</v>
      </c>
      <c r="C227">
        <v>4112003</v>
      </c>
      <c r="D227" t="s">
        <v>58</v>
      </c>
      <c r="E227" t="s">
        <v>59</v>
      </c>
      <c r="F227" s="3">
        <v>0</v>
      </c>
      <c r="G227" s="3">
        <v>6673.36</v>
      </c>
      <c r="H227" s="3">
        <v>-6673.36</v>
      </c>
      <c r="I227" t="s">
        <v>182</v>
      </c>
    </row>
    <row r="228" spans="1:9" x14ac:dyDescent="0.35">
      <c r="A228" s="2">
        <v>45322</v>
      </c>
      <c r="B228">
        <v>76</v>
      </c>
      <c r="C228">
        <v>2121001</v>
      </c>
      <c r="D228" t="s">
        <v>27</v>
      </c>
      <c r="E228" t="s">
        <v>59</v>
      </c>
      <c r="F228" s="3">
        <v>0</v>
      </c>
      <c r="G228" s="3">
        <v>1067.74</v>
      </c>
      <c r="H228" s="3">
        <v>-1067.74</v>
      </c>
      <c r="I228" t="s">
        <v>182</v>
      </c>
    </row>
    <row r="229" spans="1:9" x14ac:dyDescent="0.35">
      <c r="A229" s="2">
        <v>45322</v>
      </c>
      <c r="B229">
        <v>76</v>
      </c>
      <c r="C229">
        <v>1111001</v>
      </c>
      <c r="D229" t="s">
        <v>16</v>
      </c>
      <c r="E229" t="s">
        <v>59</v>
      </c>
      <c r="F229" s="3">
        <v>7741.1</v>
      </c>
      <c r="G229" s="3">
        <v>0</v>
      </c>
      <c r="H229" s="3">
        <v>7741.1</v>
      </c>
      <c r="I229" t="s">
        <v>182</v>
      </c>
    </row>
    <row r="230" spans="1:9" x14ac:dyDescent="0.35">
      <c r="A230" s="2">
        <v>45322</v>
      </c>
      <c r="B230">
        <v>76</v>
      </c>
      <c r="C230">
        <v>4112003</v>
      </c>
      <c r="D230" t="s">
        <v>58</v>
      </c>
      <c r="E230" t="s">
        <v>59</v>
      </c>
      <c r="F230" s="3">
        <v>0</v>
      </c>
      <c r="G230" s="3">
        <v>4578</v>
      </c>
      <c r="H230" s="3">
        <v>-4578</v>
      </c>
      <c r="I230" t="s">
        <v>183</v>
      </c>
    </row>
    <row r="231" spans="1:9" x14ac:dyDescent="0.35">
      <c r="A231" s="2">
        <v>45322</v>
      </c>
      <c r="B231">
        <v>76</v>
      </c>
      <c r="C231">
        <v>2121001</v>
      </c>
      <c r="D231" t="s">
        <v>27</v>
      </c>
      <c r="E231" t="s">
        <v>59</v>
      </c>
      <c r="F231" s="3">
        <v>0</v>
      </c>
      <c r="G231" s="3">
        <v>732.48</v>
      </c>
      <c r="H231" s="3">
        <v>-732.48</v>
      </c>
      <c r="I231" t="s">
        <v>183</v>
      </c>
    </row>
    <row r="232" spans="1:9" x14ac:dyDescent="0.35">
      <c r="A232" s="2">
        <v>45322</v>
      </c>
      <c r="B232">
        <v>76</v>
      </c>
      <c r="C232">
        <v>1111001</v>
      </c>
      <c r="D232" t="s">
        <v>16</v>
      </c>
      <c r="E232" t="s">
        <v>59</v>
      </c>
      <c r="F232" s="3">
        <v>5310.48</v>
      </c>
      <c r="G232" s="3">
        <v>0</v>
      </c>
      <c r="H232" s="3">
        <v>5310.48</v>
      </c>
      <c r="I232" t="s">
        <v>183</v>
      </c>
    </row>
    <row r="233" spans="1:9" x14ac:dyDescent="0.35">
      <c r="A233" s="2">
        <v>45322</v>
      </c>
      <c r="B233">
        <v>76</v>
      </c>
      <c r="C233">
        <v>4112003</v>
      </c>
      <c r="D233" t="s">
        <v>58</v>
      </c>
      <c r="E233" t="s">
        <v>59</v>
      </c>
      <c r="F233" s="3">
        <v>0</v>
      </c>
      <c r="G233" s="3">
        <v>1396.66</v>
      </c>
      <c r="H233" s="3">
        <v>-1396.66</v>
      </c>
      <c r="I233" t="s">
        <v>184</v>
      </c>
    </row>
    <row r="234" spans="1:9" x14ac:dyDescent="0.35">
      <c r="A234" s="2">
        <v>45322</v>
      </c>
      <c r="B234">
        <v>76</v>
      </c>
      <c r="C234">
        <v>2121001</v>
      </c>
      <c r="D234" t="s">
        <v>27</v>
      </c>
      <c r="E234" t="s">
        <v>59</v>
      </c>
      <c r="F234" s="3">
        <v>0</v>
      </c>
      <c r="G234" s="3">
        <v>223.47</v>
      </c>
      <c r="H234" s="3">
        <v>-223.47</v>
      </c>
      <c r="I234" t="s">
        <v>184</v>
      </c>
    </row>
    <row r="235" spans="1:9" x14ac:dyDescent="0.35">
      <c r="A235" s="2">
        <v>45322</v>
      </c>
      <c r="B235">
        <v>76</v>
      </c>
      <c r="C235">
        <v>1111001</v>
      </c>
      <c r="D235" t="s">
        <v>16</v>
      </c>
      <c r="E235" t="s">
        <v>59</v>
      </c>
      <c r="F235" s="3">
        <v>1620.13</v>
      </c>
      <c r="G235" s="3">
        <v>0</v>
      </c>
      <c r="H235" s="3">
        <v>1620.13</v>
      </c>
      <c r="I235" t="s">
        <v>184</v>
      </c>
    </row>
    <row r="236" spans="1:9" x14ac:dyDescent="0.35">
      <c r="A236" s="2">
        <v>45322</v>
      </c>
      <c r="B236">
        <v>76</v>
      </c>
      <c r="C236">
        <v>4112003</v>
      </c>
      <c r="D236" t="s">
        <v>58</v>
      </c>
      <c r="E236" t="s">
        <v>59</v>
      </c>
      <c r="F236" s="3">
        <v>0</v>
      </c>
      <c r="G236" s="3">
        <v>5198.9799999999996</v>
      </c>
      <c r="H236" s="3">
        <v>-5198.9799999999996</v>
      </c>
      <c r="I236" t="s">
        <v>185</v>
      </c>
    </row>
    <row r="237" spans="1:9" x14ac:dyDescent="0.35">
      <c r="A237" s="2">
        <v>45322</v>
      </c>
      <c r="B237">
        <v>76</v>
      </c>
      <c r="C237">
        <v>2121001</v>
      </c>
      <c r="D237" t="s">
        <v>27</v>
      </c>
      <c r="E237" t="s">
        <v>59</v>
      </c>
      <c r="F237" s="3">
        <v>0</v>
      </c>
      <c r="G237" s="3">
        <v>831.84</v>
      </c>
      <c r="H237" s="3">
        <v>-831.84</v>
      </c>
      <c r="I237" t="s">
        <v>185</v>
      </c>
    </row>
    <row r="238" spans="1:9" x14ac:dyDescent="0.35">
      <c r="A238" s="2">
        <v>45322</v>
      </c>
      <c r="B238">
        <v>76</v>
      </c>
      <c r="C238">
        <v>1111001</v>
      </c>
      <c r="D238" t="s">
        <v>16</v>
      </c>
      <c r="E238" t="s">
        <v>59</v>
      </c>
      <c r="F238" s="3">
        <v>6030.82</v>
      </c>
      <c r="G238" s="3">
        <v>0</v>
      </c>
      <c r="H238" s="3">
        <v>6030.82</v>
      </c>
      <c r="I238" t="s">
        <v>185</v>
      </c>
    </row>
    <row r="239" spans="1:9" x14ac:dyDescent="0.35">
      <c r="A239" s="2">
        <v>45322</v>
      </c>
      <c r="B239">
        <v>76</v>
      </c>
      <c r="C239">
        <v>4112003</v>
      </c>
      <c r="D239" t="s">
        <v>58</v>
      </c>
      <c r="E239" t="s">
        <v>59</v>
      </c>
      <c r="F239" s="3">
        <v>0</v>
      </c>
      <c r="G239" s="3">
        <v>5431.81</v>
      </c>
      <c r="H239" s="3">
        <v>-5431.81</v>
      </c>
      <c r="I239" t="s">
        <v>186</v>
      </c>
    </row>
    <row r="240" spans="1:9" x14ac:dyDescent="0.35">
      <c r="A240" s="2">
        <v>45322</v>
      </c>
      <c r="B240">
        <v>76</v>
      </c>
      <c r="C240">
        <v>2121001</v>
      </c>
      <c r="D240" t="s">
        <v>27</v>
      </c>
      <c r="E240" t="s">
        <v>59</v>
      </c>
      <c r="F240" s="3">
        <v>0</v>
      </c>
      <c r="G240" s="3">
        <v>869.09</v>
      </c>
      <c r="H240" s="3">
        <v>-869.09</v>
      </c>
      <c r="I240" t="s">
        <v>186</v>
      </c>
    </row>
    <row r="241" spans="1:9" x14ac:dyDescent="0.35">
      <c r="A241" s="2">
        <v>45322</v>
      </c>
      <c r="B241">
        <v>76</v>
      </c>
      <c r="C241">
        <v>1111001</v>
      </c>
      <c r="D241" t="s">
        <v>16</v>
      </c>
      <c r="E241" t="s">
        <v>59</v>
      </c>
      <c r="F241" s="3">
        <v>6300.9</v>
      </c>
      <c r="G241" s="3">
        <v>0</v>
      </c>
      <c r="H241" s="3">
        <v>6300.9</v>
      </c>
      <c r="I241" t="s">
        <v>186</v>
      </c>
    </row>
    <row r="242" spans="1:9" x14ac:dyDescent="0.35">
      <c r="A242" s="2">
        <v>45322</v>
      </c>
      <c r="B242">
        <v>76</v>
      </c>
      <c r="C242">
        <v>4112003</v>
      </c>
      <c r="D242" t="s">
        <v>58</v>
      </c>
      <c r="E242" t="s">
        <v>59</v>
      </c>
      <c r="F242" s="3">
        <v>0</v>
      </c>
      <c r="G242" s="3">
        <v>4785.25</v>
      </c>
      <c r="H242" s="3">
        <v>-4785.25</v>
      </c>
      <c r="I242" t="s">
        <v>187</v>
      </c>
    </row>
    <row r="243" spans="1:9" x14ac:dyDescent="0.35">
      <c r="A243" s="2">
        <v>45322</v>
      </c>
      <c r="B243">
        <v>76</v>
      </c>
      <c r="C243">
        <v>2121001</v>
      </c>
      <c r="D243" t="s">
        <v>27</v>
      </c>
      <c r="E243" t="s">
        <v>59</v>
      </c>
      <c r="F243" s="3">
        <v>0</v>
      </c>
      <c r="G243" s="3">
        <v>765.64</v>
      </c>
      <c r="H243" s="3">
        <v>-765.64</v>
      </c>
      <c r="I243" t="s">
        <v>187</v>
      </c>
    </row>
    <row r="244" spans="1:9" x14ac:dyDescent="0.35">
      <c r="A244" s="2">
        <v>45322</v>
      </c>
      <c r="B244">
        <v>76</v>
      </c>
      <c r="C244">
        <v>1111001</v>
      </c>
      <c r="D244" t="s">
        <v>16</v>
      </c>
      <c r="E244" t="s">
        <v>59</v>
      </c>
      <c r="F244" s="3">
        <v>5550.89</v>
      </c>
      <c r="G244" s="3">
        <v>0</v>
      </c>
      <c r="H244" s="3">
        <v>5550.89</v>
      </c>
      <c r="I244" t="s">
        <v>187</v>
      </c>
    </row>
    <row r="245" spans="1:9" x14ac:dyDescent="0.35">
      <c r="A245" s="2">
        <v>45322</v>
      </c>
      <c r="B245">
        <v>76</v>
      </c>
      <c r="C245">
        <v>4112003</v>
      </c>
      <c r="D245" t="s">
        <v>58</v>
      </c>
      <c r="E245" t="s">
        <v>59</v>
      </c>
      <c r="F245" s="3">
        <v>0</v>
      </c>
      <c r="G245" s="3">
        <v>6085.4</v>
      </c>
      <c r="H245" s="3">
        <v>-6085.4</v>
      </c>
      <c r="I245" t="s">
        <v>188</v>
      </c>
    </row>
    <row r="246" spans="1:9" x14ac:dyDescent="0.35">
      <c r="A246" s="2">
        <v>45322</v>
      </c>
      <c r="B246">
        <v>76</v>
      </c>
      <c r="C246">
        <v>2121001</v>
      </c>
      <c r="D246" t="s">
        <v>27</v>
      </c>
      <c r="E246" t="s">
        <v>59</v>
      </c>
      <c r="F246" s="3">
        <v>0</v>
      </c>
      <c r="G246" s="3">
        <v>973.66</v>
      </c>
      <c r="H246" s="3">
        <v>-973.66</v>
      </c>
      <c r="I246" t="s">
        <v>188</v>
      </c>
    </row>
    <row r="247" spans="1:9" x14ac:dyDescent="0.35">
      <c r="A247" s="2">
        <v>45322</v>
      </c>
      <c r="B247">
        <v>76</v>
      </c>
      <c r="C247">
        <v>1111001</v>
      </c>
      <c r="D247" t="s">
        <v>16</v>
      </c>
      <c r="E247" t="s">
        <v>59</v>
      </c>
      <c r="F247" s="3">
        <v>7059.06</v>
      </c>
      <c r="G247" s="3">
        <v>0</v>
      </c>
      <c r="H247" s="3">
        <v>7059.06</v>
      </c>
      <c r="I247" t="s">
        <v>188</v>
      </c>
    </row>
    <row r="248" spans="1:9" x14ac:dyDescent="0.35">
      <c r="A248" s="2">
        <v>45322</v>
      </c>
      <c r="B248">
        <v>76</v>
      </c>
      <c r="C248">
        <v>4112003</v>
      </c>
      <c r="D248" t="s">
        <v>58</v>
      </c>
      <c r="E248" t="s">
        <v>59</v>
      </c>
      <c r="F248" s="3">
        <v>0</v>
      </c>
      <c r="G248" s="3">
        <v>8225.1200000000008</v>
      </c>
      <c r="H248" s="3">
        <v>-8225.1200000000008</v>
      </c>
      <c r="I248" t="s">
        <v>189</v>
      </c>
    </row>
    <row r="249" spans="1:9" x14ac:dyDescent="0.35">
      <c r="A249" s="2">
        <v>45322</v>
      </c>
      <c r="B249">
        <v>76</v>
      </c>
      <c r="C249">
        <v>2121001</v>
      </c>
      <c r="D249" t="s">
        <v>27</v>
      </c>
      <c r="E249" t="s">
        <v>59</v>
      </c>
      <c r="F249" s="3">
        <v>0</v>
      </c>
      <c r="G249" s="3">
        <v>1316.02</v>
      </c>
      <c r="H249" s="3">
        <v>-1316.02</v>
      </c>
      <c r="I249" t="s">
        <v>189</v>
      </c>
    </row>
    <row r="250" spans="1:9" x14ac:dyDescent="0.35">
      <c r="A250" s="2">
        <v>45322</v>
      </c>
      <c r="B250">
        <v>76</v>
      </c>
      <c r="C250">
        <v>1111001</v>
      </c>
      <c r="D250" t="s">
        <v>16</v>
      </c>
      <c r="E250" t="s">
        <v>59</v>
      </c>
      <c r="F250" s="3">
        <v>9541.14</v>
      </c>
      <c r="G250" s="3">
        <v>0</v>
      </c>
      <c r="H250" s="3">
        <v>9541.14</v>
      </c>
      <c r="I250" t="s">
        <v>189</v>
      </c>
    </row>
    <row r="251" spans="1:9" x14ac:dyDescent="0.35">
      <c r="A251" s="2">
        <v>45322</v>
      </c>
      <c r="B251">
        <v>76</v>
      </c>
      <c r="C251">
        <v>4112003</v>
      </c>
      <c r="D251" t="s">
        <v>58</v>
      </c>
      <c r="E251" t="s">
        <v>59</v>
      </c>
      <c r="F251" s="3">
        <v>0</v>
      </c>
      <c r="G251" s="3">
        <v>3948.84</v>
      </c>
      <c r="H251" s="3">
        <v>-3948.84</v>
      </c>
      <c r="I251" t="s">
        <v>190</v>
      </c>
    </row>
    <row r="252" spans="1:9" x14ac:dyDescent="0.35">
      <c r="A252" s="2">
        <v>45322</v>
      </c>
      <c r="B252">
        <v>76</v>
      </c>
      <c r="C252">
        <v>2121001</v>
      </c>
      <c r="D252" t="s">
        <v>27</v>
      </c>
      <c r="E252" t="s">
        <v>59</v>
      </c>
      <c r="F252" s="3">
        <v>0</v>
      </c>
      <c r="G252" s="3">
        <v>631.80999999999995</v>
      </c>
      <c r="H252" s="3">
        <v>-631.80999999999995</v>
      </c>
      <c r="I252" t="s">
        <v>190</v>
      </c>
    </row>
    <row r="253" spans="1:9" x14ac:dyDescent="0.35">
      <c r="A253" s="2">
        <v>45322</v>
      </c>
      <c r="B253">
        <v>76</v>
      </c>
      <c r="C253">
        <v>1111001</v>
      </c>
      <c r="D253" t="s">
        <v>16</v>
      </c>
      <c r="E253" t="s">
        <v>59</v>
      </c>
      <c r="F253" s="3">
        <v>4580.6499999999996</v>
      </c>
      <c r="G253" s="3">
        <v>0</v>
      </c>
      <c r="H253" s="3">
        <v>4580.6499999999996</v>
      </c>
      <c r="I253" t="s">
        <v>190</v>
      </c>
    </row>
    <row r="254" spans="1:9" x14ac:dyDescent="0.35">
      <c r="A254" s="2">
        <v>45322</v>
      </c>
      <c r="B254">
        <v>76</v>
      </c>
      <c r="C254">
        <v>4112003</v>
      </c>
      <c r="D254" t="s">
        <v>58</v>
      </c>
      <c r="E254" t="s">
        <v>59</v>
      </c>
      <c r="F254" s="3">
        <v>0</v>
      </c>
      <c r="G254" s="3">
        <v>1474.23</v>
      </c>
      <c r="H254" s="3">
        <v>-1474.23</v>
      </c>
      <c r="I254" t="s">
        <v>191</v>
      </c>
    </row>
    <row r="255" spans="1:9" x14ac:dyDescent="0.35">
      <c r="A255" s="2">
        <v>45322</v>
      </c>
      <c r="B255">
        <v>76</v>
      </c>
      <c r="C255">
        <v>2121001</v>
      </c>
      <c r="D255" t="s">
        <v>27</v>
      </c>
      <c r="E255" t="s">
        <v>59</v>
      </c>
      <c r="F255" s="3">
        <v>0</v>
      </c>
      <c r="G255" s="3">
        <v>235.88</v>
      </c>
      <c r="H255" s="3">
        <v>-235.88</v>
      </c>
      <c r="I255" t="s">
        <v>191</v>
      </c>
    </row>
    <row r="256" spans="1:9" x14ac:dyDescent="0.35">
      <c r="A256" s="2">
        <v>45322</v>
      </c>
      <c r="B256">
        <v>76</v>
      </c>
      <c r="C256">
        <v>1111001</v>
      </c>
      <c r="D256" t="s">
        <v>16</v>
      </c>
      <c r="E256" t="s">
        <v>59</v>
      </c>
      <c r="F256" s="3">
        <v>1710.11</v>
      </c>
      <c r="G256" s="3">
        <v>0</v>
      </c>
      <c r="H256" s="3">
        <v>1710.11</v>
      </c>
      <c r="I256" t="s">
        <v>191</v>
      </c>
    </row>
    <row r="257" spans="1:9" x14ac:dyDescent="0.35">
      <c r="A257" s="2">
        <v>45322</v>
      </c>
      <c r="B257">
        <v>76</v>
      </c>
      <c r="C257">
        <v>4112003</v>
      </c>
      <c r="D257" t="s">
        <v>58</v>
      </c>
      <c r="E257" t="s">
        <v>59</v>
      </c>
      <c r="F257" s="3">
        <v>0</v>
      </c>
      <c r="G257" s="3">
        <v>4733.6099999999997</v>
      </c>
      <c r="H257" s="3">
        <v>-4733.6099999999997</v>
      </c>
      <c r="I257" t="s">
        <v>192</v>
      </c>
    </row>
    <row r="258" spans="1:9" x14ac:dyDescent="0.35">
      <c r="A258" s="2">
        <v>45322</v>
      </c>
      <c r="B258">
        <v>76</v>
      </c>
      <c r="C258">
        <v>2121001</v>
      </c>
      <c r="D258" t="s">
        <v>27</v>
      </c>
      <c r="E258" t="s">
        <v>59</v>
      </c>
      <c r="F258" s="3">
        <v>0</v>
      </c>
      <c r="G258" s="3">
        <v>757.38</v>
      </c>
      <c r="H258" s="3">
        <v>-757.38</v>
      </c>
      <c r="I258" t="s">
        <v>192</v>
      </c>
    </row>
    <row r="259" spans="1:9" x14ac:dyDescent="0.35">
      <c r="A259" s="2">
        <v>45322</v>
      </c>
      <c r="B259">
        <v>76</v>
      </c>
      <c r="C259">
        <v>1111001</v>
      </c>
      <c r="D259" t="s">
        <v>16</v>
      </c>
      <c r="E259" t="s">
        <v>59</v>
      </c>
      <c r="F259" s="3">
        <v>5490.99</v>
      </c>
      <c r="G259" s="3">
        <v>0</v>
      </c>
      <c r="H259" s="3">
        <v>5490.99</v>
      </c>
      <c r="I259" t="s">
        <v>192</v>
      </c>
    </row>
    <row r="260" spans="1:9" x14ac:dyDescent="0.35">
      <c r="A260" s="2">
        <v>45322</v>
      </c>
      <c r="B260">
        <v>76</v>
      </c>
      <c r="C260">
        <v>4112003</v>
      </c>
      <c r="D260" t="s">
        <v>58</v>
      </c>
      <c r="E260" t="s">
        <v>59</v>
      </c>
      <c r="F260" s="3">
        <v>0</v>
      </c>
      <c r="G260" s="3">
        <v>4423.26</v>
      </c>
      <c r="H260" s="3">
        <v>-4423.26</v>
      </c>
      <c r="I260" t="s">
        <v>193</v>
      </c>
    </row>
    <row r="261" spans="1:9" x14ac:dyDescent="0.35">
      <c r="A261" s="2">
        <v>45322</v>
      </c>
      <c r="B261">
        <v>76</v>
      </c>
      <c r="C261">
        <v>2121001</v>
      </c>
      <c r="D261" t="s">
        <v>27</v>
      </c>
      <c r="E261" t="s">
        <v>59</v>
      </c>
      <c r="F261" s="3">
        <v>0</v>
      </c>
      <c r="G261" s="3">
        <v>707.72</v>
      </c>
      <c r="H261" s="3">
        <v>-707.72</v>
      </c>
      <c r="I261" t="s">
        <v>193</v>
      </c>
    </row>
    <row r="262" spans="1:9" x14ac:dyDescent="0.35">
      <c r="A262" s="2">
        <v>45322</v>
      </c>
      <c r="B262">
        <v>76</v>
      </c>
      <c r="C262">
        <v>1111001</v>
      </c>
      <c r="D262" t="s">
        <v>16</v>
      </c>
      <c r="E262" t="s">
        <v>59</v>
      </c>
      <c r="F262" s="3">
        <v>5130.9799999999996</v>
      </c>
      <c r="G262" s="3">
        <v>0</v>
      </c>
      <c r="H262" s="3">
        <v>5130.9799999999996</v>
      </c>
      <c r="I262" t="s">
        <v>193</v>
      </c>
    </row>
    <row r="263" spans="1:9" x14ac:dyDescent="0.35">
      <c r="A263" s="2">
        <v>45322</v>
      </c>
      <c r="B263">
        <v>76</v>
      </c>
      <c r="C263">
        <v>4112003</v>
      </c>
      <c r="D263" t="s">
        <v>58</v>
      </c>
      <c r="E263" t="s">
        <v>59</v>
      </c>
      <c r="F263" s="3">
        <v>0</v>
      </c>
      <c r="G263" s="3">
        <v>4888.79</v>
      </c>
      <c r="H263" s="3">
        <v>-4888.79</v>
      </c>
      <c r="I263" t="s">
        <v>194</v>
      </c>
    </row>
    <row r="264" spans="1:9" x14ac:dyDescent="0.35">
      <c r="A264" s="2">
        <v>45322</v>
      </c>
      <c r="B264">
        <v>76</v>
      </c>
      <c r="C264">
        <v>2121001</v>
      </c>
      <c r="D264" t="s">
        <v>27</v>
      </c>
      <c r="E264" t="s">
        <v>59</v>
      </c>
      <c r="F264" s="3">
        <v>0</v>
      </c>
      <c r="G264" s="3">
        <v>782.21</v>
      </c>
      <c r="H264" s="3">
        <v>-782.21</v>
      </c>
      <c r="I264" t="s">
        <v>194</v>
      </c>
    </row>
    <row r="265" spans="1:9" x14ac:dyDescent="0.35">
      <c r="A265" s="2">
        <v>45322</v>
      </c>
      <c r="B265">
        <v>76</v>
      </c>
      <c r="C265">
        <v>1111001</v>
      </c>
      <c r="D265" t="s">
        <v>16</v>
      </c>
      <c r="E265" t="s">
        <v>59</v>
      </c>
      <c r="F265" s="3">
        <v>5671</v>
      </c>
      <c r="G265" s="3">
        <v>0</v>
      </c>
      <c r="H265" s="3">
        <v>5671</v>
      </c>
      <c r="I265" t="s">
        <v>194</v>
      </c>
    </row>
    <row r="266" spans="1:9" x14ac:dyDescent="0.35">
      <c r="A266" s="2">
        <v>45322</v>
      </c>
      <c r="B266">
        <v>76</v>
      </c>
      <c r="C266">
        <v>4112004</v>
      </c>
      <c r="D266" t="s">
        <v>74</v>
      </c>
      <c r="E266" t="s">
        <v>195</v>
      </c>
      <c r="F266" s="3">
        <v>0</v>
      </c>
      <c r="G266" s="3">
        <v>3016.04</v>
      </c>
      <c r="H266" s="3">
        <v>-3016.04</v>
      </c>
      <c r="I266" t="s">
        <v>196</v>
      </c>
    </row>
    <row r="267" spans="1:9" x14ac:dyDescent="0.35">
      <c r="A267" s="2">
        <v>45322</v>
      </c>
      <c r="B267">
        <v>76</v>
      </c>
      <c r="C267">
        <v>2121001</v>
      </c>
      <c r="D267" t="s">
        <v>27</v>
      </c>
      <c r="E267" t="s">
        <v>195</v>
      </c>
      <c r="F267" s="3">
        <v>0</v>
      </c>
      <c r="G267" s="3">
        <v>482.57</v>
      </c>
      <c r="H267" s="3">
        <v>-482.57</v>
      </c>
      <c r="I267" t="s">
        <v>196</v>
      </c>
    </row>
    <row r="268" spans="1:9" x14ac:dyDescent="0.35">
      <c r="A268" s="2">
        <v>45322</v>
      </c>
      <c r="B268">
        <v>76</v>
      </c>
      <c r="C268">
        <v>1111001</v>
      </c>
      <c r="D268" t="s">
        <v>16</v>
      </c>
      <c r="E268" t="s">
        <v>195</v>
      </c>
      <c r="F268" s="3">
        <v>104.96</v>
      </c>
      <c r="G268" s="3">
        <v>0</v>
      </c>
      <c r="H268" s="3">
        <v>104.96</v>
      </c>
      <c r="I268" t="s">
        <v>196</v>
      </c>
    </row>
    <row r="269" spans="1:9" x14ac:dyDescent="0.35">
      <c r="A269" s="2">
        <v>45322</v>
      </c>
      <c r="B269">
        <v>76</v>
      </c>
      <c r="C269">
        <v>2124007</v>
      </c>
      <c r="D269" t="s">
        <v>30</v>
      </c>
      <c r="E269" t="s">
        <v>195</v>
      </c>
      <c r="F269" s="3">
        <v>0</v>
      </c>
      <c r="G269" s="3">
        <v>104.96</v>
      </c>
      <c r="H269" s="3">
        <v>-104.96</v>
      </c>
      <c r="I269" t="s">
        <v>196</v>
      </c>
    </row>
    <row r="270" spans="1:9" x14ac:dyDescent="0.35">
      <c r="A270" s="2">
        <v>45322</v>
      </c>
      <c r="B270">
        <v>76</v>
      </c>
      <c r="C270">
        <v>1111001</v>
      </c>
      <c r="D270" t="s">
        <v>16</v>
      </c>
      <c r="E270" t="s">
        <v>195</v>
      </c>
      <c r="F270" s="3">
        <v>3498.61</v>
      </c>
      <c r="G270" s="3">
        <v>0</v>
      </c>
      <c r="H270" s="3">
        <v>3498.61</v>
      </c>
      <c r="I270" t="s">
        <v>196</v>
      </c>
    </row>
    <row r="271" spans="1:9" x14ac:dyDescent="0.35">
      <c r="A271" s="2">
        <v>45322</v>
      </c>
      <c r="B271">
        <v>76</v>
      </c>
      <c r="C271">
        <v>4112004</v>
      </c>
      <c r="D271" t="s">
        <v>74</v>
      </c>
      <c r="E271" t="s">
        <v>197</v>
      </c>
      <c r="F271" s="3">
        <v>0</v>
      </c>
      <c r="G271" s="3">
        <v>7209.19</v>
      </c>
      <c r="H271" s="3">
        <v>-7209.19</v>
      </c>
      <c r="I271" t="s">
        <v>198</v>
      </c>
    </row>
    <row r="272" spans="1:9" x14ac:dyDescent="0.35">
      <c r="A272" s="2">
        <v>45322</v>
      </c>
      <c r="B272">
        <v>76</v>
      </c>
      <c r="C272">
        <v>2121001</v>
      </c>
      <c r="D272" t="s">
        <v>27</v>
      </c>
      <c r="E272" t="s">
        <v>197</v>
      </c>
      <c r="F272" s="3">
        <v>0</v>
      </c>
      <c r="G272" s="3">
        <v>1153.47</v>
      </c>
      <c r="H272" s="3">
        <v>-1153.47</v>
      </c>
      <c r="I272" t="s">
        <v>198</v>
      </c>
    </row>
    <row r="273" spans="1:9" x14ac:dyDescent="0.35">
      <c r="A273" s="2">
        <v>45322</v>
      </c>
      <c r="B273">
        <v>76</v>
      </c>
      <c r="C273">
        <v>1141002</v>
      </c>
      <c r="D273" t="s">
        <v>23</v>
      </c>
      <c r="E273" t="s">
        <v>197</v>
      </c>
      <c r="F273" s="3">
        <v>865.1</v>
      </c>
      <c r="G273" s="3">
        <v>0</v>
      </c>
      <c r="H273" s="3">
        <v>865.1</v>
      </c>
      <c r="I273" t="s">
        <v>1438</v>
      </c>
    </row>
    <row r="274" spans="1:9" x14ac:dyDescent="0.35">
      <c r="A274" s="2">
        <v>45322</v>
      </c>
      <c r="B274">
        <v>76</v>
      </c>
      <c r="C274">
        <v>1142001</v>
      </c>
      <c r="D274" t="s">
        <v>199</v>
      </c>
      <c r="E274" t="s">
        <v>197</v>
      </c>
      <c r="F274" s="3">
        <v>144.18</v>
      </c>
      <c r="G274" s="3">
        <v>0</v>
      </c>
      <c r="H274" s="3">
        <v>144.18</v>
      </c>
      <c r="I274" t="s">
        <v>1438</v>
      </c>
    </row>
    <row r="275" spans="1:9" x14ac:dyDescent="0.35">
      <c r="A275" s="2">
        <v>45322</v>
      </c>
      <c r="B275">
        <v>76</v>
      </c>
      <c r="C275">
        <v>6121040</v>
      </c>
      <c r="D275" t="s">
        <v>98</v>
      </c>
      <c r="E275" t="s">
        <v>197</v>
      </c>
      <c r="F275" s="3">
        <v>167.26</v>
      </c>
      <c r="G275" s="3">
        <v>0</v>
      </c>
      <c r="H275" s="3">
        <v>167.26</v>
      </c>
      <c r="I275" t="s">
        <v>198</v>
      </c>
    </row>
    <row r="276" spans="1:9" x14ac:dyDescent="0.35">
      <c r="A276" s="2">
        <v>45322</v>
      </c>
      <c r="B276">
        <v>76</v>
      </c>
      <c r="C276">
        <v>1111001</v>
      </c>
      <c r="D276" t="s">
        <v>16</v>
      </c>
      <c r="E276" t="s">
        <v>197</v>
      </c>
      <c r="F276" s="3">
        <v>7186.12</v>
      </c>
      <c r="G276" s="3">
        <v>0</v>
      </c>
      <c r="H276" s="3">
        <v>7186.12</v>
      </c>
      <c r="I276" t="s">
        <v>198</v>
      </c>
    </row>
    <row r="277" spans="1:9" x14ac:dyDescent="0.35">
      <c r="A277" s="2">
        <v>45322</v>
      </c>
      <c r="B277">
        <v>76</v>
      </c>
      <c r="C277">
        <v>4112004</v>
      </c>
      <c r="D277" t="s">
        <v>74</v>
      </c>
      <c r="E277" t="s">
        <v>200</v>
      </c>
      <c r="F277" s="3">
        <v>0</v>
      </c>
      <c r="G277" s="3">
        <v>1594.84</v>
      </c>
      <c r="H277" s="3">
        <v>-1594.84</v>
      </c>
      <c r="I277" t="s">
        <v>201</v>
      </c>
    </row>
    <row r="278" spans="1:9" x14ac:dyDescent="0.35">
      <c r="A278" s="2">
        <v>45322</v>
      </c>
      <c r="B278">
        <v>76</v>
      </c>
      <c r="C278">
        <v>2121001</v>
      </c>
      <c r="D278" t="s">
        <v>27</v>
      </c>
      <c r="E278" t="s">
        <v>200</v>
      </c>
      <c r="F278" s="3">
        <v>0</v>
      </c>
      <c r="G278" s="3">
        <v>255.17</v>
      </c>
      <c r="H278" s="3">
        <v>-255.17</v>
      </c>
      <c r="I278" t="s">
        <v>201</v>
      </c>
    </row>
    <row r="279" spans="1:9" x14ac:dyDescent="0.35">
      <c r="A279" s="2">
        <v>45322</v>
      </c>
      <c r="B279">
        <v>76</v>
      </c>
      <c r="C279">
        <v>1111001</v>
      </c>
      <c r="D279" t="s">
        <v>16</v>
      </c>
      <c r="E279" t="s">
        <v>200</v>
      </c>
      <c r="F279" s="3">
        <v>1850.01</v>
      </c>
      <c r="G279" s="3">
        <v>0</v>
      </c>
      <c r="H279" s="3">
        <v>1850.01</v>
      </c>
      <c r="I279" t="s">
        <v>201</v>
      </c>
    </row>
    <row r="280" spans="1:9" x14ac:dyDescent="0.35">
      <c r="A280" s="2">
        <v>45322</v>
      </c>
      <c r="B280">
        <v>76</v>
      </c>
      <c r="C280">
        <v>4112004</v>
      </c>
      <c r="D280" t="s">
        <v>74</v>
      </c>
      <c r="E280" t="s">
        <v>202</v>
      </c>
      <c r="F280" s="3">
        <v>0</v>
      </c>
      <c r="G280" s="3">
        <v>2265.9</v>
      </c>
      <c r="H280" s="3">
        <v>-2265.9</v>
      </c>
      <c r="I280" t="s">
        <v>203</v>
      </c>
    </row>
    <row r="281" spans="1:9" x14ac:dyDescent="0.35">
      <c r="A281" s="2">
        <v>45322</v>
      </c>
      <c r="B281">
        <v>76</v>
      </c>
      <c r="C281">
        <v>2121001</v>
      </c>
      <c r="D281" t="s">
        <v>27</v>
      </c>
      <c r="E281" t="s">
        <v>202</v>
      </c>
      <c r="F281" s="3">
        <v>0</v>
      </c>
      <c r="G281" s="3">
        <v>362.54</v>
      </c>
      <c r="H281" s="3">
        <v>-362.54</v>
      </c>
      <c r="I281" t="s">
        <v>203</v>
      </c>
    </row>
    <row r="282" spans="1:9" x14ac:dyDescent="0.35">
      <c r="A282" s="2">
        <v>45322</v>
      </c>
      <c r="B282">
        <v>76</v>
      </c>
      <c r="C282">
        <v>1111001</v>
      </c>
      <c r="D282" t="s">
        <v>16</v>
      </c>
      <c r="E282" t="s">
        <v>202</v>
      </c>
      <c r="F282" s="3">
        <v>78.849999999999994</v>
      </c>
      <c r="G282" s="3">
        <v>0</v>
      </c>
      <c r="H282" s="3">
        <v>78.849999999999994</v>
      </c>
      <c r="I282" t="s">
        <v>203</v>
      </c>
    </row>
    <row r="283" spans="1:9" x14ac:dyDescent="0.35">
      <c r="A283" s="2">
        <v>45322</v>
      </c>
      <c r="B283">
        <v>76</v>
      </c>
      <c r="C283">
        <v>2124007</v>
      </c>
      <c r="D283" t="s">
        <v>30</v>
      </c>
      <c r="E283" t="s">
        <v>202</v>
      </c>
      <c r="F283" s="3">
        <v>0</v>
      </c>
      <c r="G283" s="3">
        <v>78.849999999999994</v>
      </c>
      <c r="H283" s="3">
        <v>-78.849999999999994</v>
      </c>
      <c r="I283" t="s">
        <v>203</v>
      </c>
    </row>
    <row r="284" spans="1:9" x14ac:dyDescent="0.35">
      <c r="A284" s="2">
        <v>45322</v>
      </c>
      <c r="B284">
        <v>76</v>
      </c>
      <c r="C284">
        <v>1111001</v>
      </c>
      <c r="D284" t="s">
        <v>16</v>
      </c>
      <c r="E284" t="s">
        <v>202</v>
      </c>
      <c r="F284" s="3">
        <v>2628.44</v>
      </c>
      <c r="G284" s="3">
        <v>0</v>
      </c>
      <c r="H284" s="3">
        <v>2628.44</v>
      </c>
      <c r="I284" t="s">
        <v>203</v>
      </c>
    </row>
    <row r="285" spans="1:9" x14ac:dyDescent="0.35">
      <c r="A285" s="2">
        <v>45322</v>
      </c>
      <c r="B285">
        <v>76</v>
      </c>
      <c r="C285">
        <v>1142004</v>
      </c>
      <c r="D285" t="s">
        <v>83</v>
      </c>
      <c r="E285" t="s">
        <v>84</v>
      </c>
      <c r="F285" s="3">
        <v>951.94</v>
      </c>
      <c r="G285" s="3">
        <v>0</v>
      </c>
      <c r="H285" s="3">
        <v>951.94</v>
      </c>
      <c r="I285" t="s">
        <v>85</v>
      </c>
    </row>
    <row r="286" spans="1:9" x14ac:dyDescent="0.35">
      <c r="A286" s="2">
        <v>45322</v>
      </c>
      <c r="B286">
        <v>76</v>
      </c>
      <c r="C286">
        <v>2124004</v>
      </c>
      <c r="D286" t="s">
        <v>29</v>
      </c>
      <c r="E286" t="s">
        <v>84</v>
      </c>
      <c r="F286" s="3">
        <v>0</v>
      </c>
      <c r="G286" s="3">
        <v>951.94</v>
      </c>
      <c r="H286" s="3">
        <v>-951.94</v>
      </c>
      <c r="I286" t="s">
        <v>85</v>
      </c>
    </row>
    <row r="287" spans="1:9" x14ac:dyDescent="0.35">
      <c r="A287" s="2">
        <v>45322</v>
      </c>
      <c r="B287">
        <v>76</v>
      </c>
      <c r="C287">
        <v>5131001</v>
      </c>
      <c r="D287" t="s">
        <v>86</v>
      </c>
      <c r="E287" t="s">
        <v>204</v>
      </c>
      <c r="F287" s="3">
        <v>390</v>
      </c>
      <c r="G287" s="3">
        <v>0</v>
      </c>
      <c r="H287" s="3">
        <v>390</v>
      </c>
      <c r="I287" t="s">
        <v>88</v>
      </c>
    </row>
    <row r="288" spans="1:9" x14ac:dyDescent="0.35">
      <c r="A288" s="2">
        <v>45322</v>
      </c>
      <c r="B288">
        <v>76</v>
      </c>
      <c r="C288">
        <v>5131005</v>
      </c>
      <c r="D288" t="s">
        <v>205</v>
      </c>
      <c r="E288" t="s">
        <v>204</v>
      </c>
      <c r="F288" s="3">
        <v>8688</v>
      </c>
      <c r="G288" s="3">
        <v>0</v>
      </c>
      <c r="H288" s="3">
        <v>8688</v>
      </c>
      <c r="I288" t="s">
        <v>88</v>
      </c>
    </row>
    <row r="289" spans="1:9" x14ac:dyDescent="0.35">
      <c r="A289" s="2">
        <v>45322</v>
      </c>
      <c r="B289">
        <v>76</v>
      </c>
      <c r="C289">
        <v>5131008</v>
      </c>
      <c r="D289" t="s">
        <v>89</v>
      </c>
      <c r="E289" t="s">
        <v>204</v>
      </c>
      <c r="F289" s="3">
        <v>81.900000000000006</v>
      </c>
      <c r="G289" s="3">
        <v>0</v>
      </c>
      <c r="H289" s="3">
        <v>81.900000000000006</v>
      </c>
      <c r="I289" t="s">
        <v>88</v>
      </c>
    </row>
    <row r="290" spans="1:9" x14ac:dyDescent="0.35">
      <c r="A290" s="2">
        <v>45322</v>
      </c>
      <c r="B290">
        <v>76</v>
      </c>
      <c r="C290">
        <v>5131009</v>
      </c>
      <c r="D290" t="s">
        <v>90</v>
      </c>
      <c r="E290" t="s">
        <v>204</v>
      </c>
      <c r="F290" s="3">
        <v>16.25</v>
      </c>
      <c r="G290" s="3">
        <v>0</v>
      </c>
      <c r="H290" s="3">
        <v>16.25</v>
      </c>
      <c r="I290" t="s">
        <v>88</v>
      </c>
    </row>
    <row r="291" spans="1:9" x14ac:dyDescent="0.35">
      <c r="A291" s="2">
        <v>45322</v>
      </c>
      <c r="B291">
        <v>76</v>
      </c>
      <c r="C291">
        <v>5131010</v>
      </c>
      <c r="D291" t="s">
        <v>91</v>
      </c>
      <c r="E291" t="s">
        <v>204</v>
      </c>
      <c r="F291" s="3">
        <v>32.5</v>
      </c>
      <c r="G291" s="3">
        <v>0</v>
      </c>
      <c r="H291" s="3">
        <v>32.5</v>
      </c>
      <c r="I291" t="s">
        <v>88</v>
      </c>
    </row>
    <row r="292" spans="1:9" x14ac:dyDescent="0.35">
      <c r="A292" s="2">
        <v>45322</v>
      </c>
      <c r="B292">
        <v>76</v>
      </c>
      <c r="C292">
        <v>5131012</v>
      </c>
      <c r="D292" t="s">
        <v>206</v>
      </c>
      <c r="E292" t="s">
        <v>204</v>
      </c>
      <c r="F292" s="3">
        <v>28.6</v>
      </c>
      <c r="G292" s="3">
        <v>0</v>
      </c>
      <c r="H292" s="3">
        <v>28.6</v>
      </c>
      <c r="I292" t="s">
        <v>88</v>
      </c>
    </row>
    <row r="293" spans="1:9" x14ac:dyDescent="0.35">
      <c r="A293" s="2">
        <v>45322</v>
      </c>
      <c r="B293">
        <v>76</v>
      </c>
      <c r="C293">
        <v>5131013</v>
      </c>
      <c r="D293" t="s">
        <v>92</v>
      </c>
      <c r="E293" t="s">
        <v>204</v>
      </c>
      <c r="F293" s="3">
        <v>7.8</v>
      </c>
      <c r="G293" s="3">
        <v>0</v>
      </c>
      <c r="H293" s="3">
        <v>7.8</v>
      </c>
      <c r="I293" t="s">
        <v>88</v>
      </c>
    </row>
    <row r="294" spans="1:9" x14ac:dyDescent="0.35">
      <c r="A294" s="2">
        <v>45322</v>
      </c>
      <c r="B294">
        <v>76</v>
      </c>
      <c r="C294">
        <v>5131014</v>
      </c>
      <c r="D294" t="s">
        <v>207</v>
      </c>
      <c r="E294" t="s">
        <v>204</v>
      </c>
      <c r="F294" s="3">
        <v>7.8</v>
      </c>
      <c r="G294" s="3">
        <v>0</v>
      </c>
      <c r="H294" s="3">
        <v>7.8</v>
      </c>
      <c r="I294" t="s">
        <v>88</v>
      </c>
    </row>
    <row r="295" spans="1:9" x14ac:dyDescent="0.35">
      <c r="A295" s="2">
        <v>45322</v>
      </c>
      <c r="B295">
        <v>76</v>
      </c>
      <c r="C295">
        <v>2131002</v>
      </c>
      <c r="D295" t="s">
        <v>31</v>
      </c>
      <c r="E295" t="s">
        <v>204</v>
      </c>
      <c r="F295" s="3">
        <v>0</v>
      </c>
      <c r="G295" s="3">
        <v>18</v>
      </c>
      <c r="H295" s="3">
        <v>-18</v>
      </c>
      <c r="I295" t="s">
        <v>88</v>
      </c>
    </row>
    <row r="296" spans="1:9" x14ac:dyDescent="0.35">
      <c r="A296" s="2">
        <v>45322</v>
      </c>
      <c r="B296">
        <v>76</v>
      </c>
      <c r="C296">
        <v>2131003</v>
      </c>
      <c r="D296" t="s">
        <v>32</v>
      </c>
      <c r="E296" t="s">
        <v>204</v>
      </c>
      <c r="F296" s="3">
        <v>0</v>
      </c>
      <c r="G296" s="3">
        <v>2.25</v>
      </c>
      <c r="H296" s="3">
        <v>-2.25</v>
      </c>
      <c r="I296" t="s">
        <v>88</v>
      </c>
    </row>
    <row r="297" spans="1:9" x14ac:dyDescent="0.35">
      <c r="A297" s="2">
        <v>45322</v>
      </c>
      <c r="B297">
        <v>76</v>
      </c>
      <c r="C297">
        <v>2131004</v>
      </c>
      <c r="D297" t="s">
        <v>33</v>
      </c>
      <c r="E297" t="s">
        <v>204</v>
      </c>
      <c r="F297" s="3">
        <v>0</v>
      </c>
      <c r="G297" s="3">
        <v>3.9</v>
      </c>
      <c r="H297" s="3">
        <v>-3.9</v>
      </c>
      <c r="I297" t="s">
        <v>88</v>
      </c>
    </row>
    <row r="298" spans="1:9" x14ac:dyDescent="0.35">
      <c r="A298" s="2">
        <v>45322</v>
      </c>
      <c r="B298">
        <v>76</v>
      </c>
      <c r="C298">
        <v>2141001</v>
      </c>
      <c r="D298" t="s">
        <v>35</v>
      </c>
      <c r="E298" t="s">
        <v>204</v>
      </c>
      <c r="F298" s="3">
        <v>0</v>
      </c>
      <c r="G298" s="3">
        <v>28.6</v>
      </c>
      <c r="H298" s="3">
        <v>-28.6</v>
      </c>
      <c r="I298" t="s">
        <v>88</v>
      </c>
    </row>
    <row r="299" spans="1:9" x14ac:dyDescent="0.35">
      <c r="A299" s="2">
        <v>45322</v>
      </c>
      <c r="B299">
        <v>76</v>
      </c>
      <c r="C299">
        <v>2141002</v>
      </c>
      <c r="D299" t="s">
        <v>36</v>
      </c>
      <c r="E299" t="s">
        <v>204</v>
      </c>
      <c r="F299" s="3">
        <v>0</v>
      </c>
      <c r="G299" s="3">
        <v>7.8</v>
      </c>
      <c r="H299" s="3">
        <v>-7.8</v>
      </c>
      <c r="I299" t="s">
        <v>88</v>
      </c>
    </row>
    <row r="300" spans="1:9" x14ac:dyDescent="0.35">
      <c r="A300" s="2">
        <v>45322</v>
      </c>
      <c r="B300">
        <v>76</v>
      </c>
      <c r="C300">
        <v>2141003</v>
      </c>
      <c r="D300" t="s">
        <v>37</v>
      </c>
      <c r="E300" t="s">
        <v>204</v>
      </c>
      <c r="F300" s="3">
        <v>0</v>
      </c>
      <c r="G300" s="3">
        <v>7.8</v>
      </c>
      <c r="H300" s="3">
        <v>-7.8</v>
      </c>
      <c r="I300" t="s">
        <v>88</v>
      </c>
    </row>
    <row r="301" spans="1:9" x14ac:dyDescent="0.35">
      <c r="A301" s="2">
        <v>45322</v>
      </c>
      <c r="B301">
        <v>76</v>
      </c>
      <c r="C301">
        <v>2161004</v>
      </c>
      <c r="D301" t="s">
        <v>38</v>
      </c>
      <c r="E301" t="s">
        <v>204</v>
      </c>
      <c r="F301" s="3">
        <v>0</v>
      </c>
      <c r="G301" s="3">
        <v>16.25</v>
      </c>
      <c r="H301" s="3">
        <v>-16.25</v>
      </c>
      <c r="I301" t="s">
        <v>88</v>
      </c>
    </row>
    <row r="302" spans="1:9" x14ac:dyDescent="0.35">
      <c r="A302" s="2">
        <v>45322</v>
      </c>
      <c r="B302">
        <v>76</v>
      </c>
      <c r="C302">
        <v>2161005</v>
      </c>
      <c r="D302" t="s">
        <v>39</v>
      </c>
      <c r="E302" t="s">
        <v>204</v>
      </c>
      <c r="F302" s="3">
        <v>0</v>
      </c>
      <c r="G302" s="3">
        <v>32.5</v>
      </c>
      <c r="H302" s="3">
        <v>-32.5</v>
      </c>
      <c r="I302" t="s">
        <v>88</v>
      </c>
    </row>
    <row r="303" spans="1:9" x14ac:dyDescent="0.35">
      <c r="A303" s="2">
        <v>45322</v>
      </c>
      <c r="B303">
        <v>76</v>
      </c>
      <c r="C303">
        <v>2241001</v>
      </c>
      <c r="D303" t="s">
        <v>40</v>
      </c>
      <c r="E303" t="s">
        <v>204</v>
      </c>
      <c r="F303" s="3">
        <v>0</v>
      </c>
      <c r="G303" s="3">
        <v>81.900000000000006</v>
      </c>
      <c r="H303" s="3">
        <v>-81.900000000000006</v>
      </c>
      <c r="I303" t="s">
        <v>88</v>
      </c>
    </row>
    <row r="304" spans="1:9" x14ac:dyDescent="0.35">
      <c r="A304" s="2">
        <v>45322</v>
      </c>
      <c r="B304">
        <v>76</v>
      </c>
      <c r="C304">
        <v>2161001</v>
      </c>
      <c r="D304" t="s">
        <v>93</v>
      </c>
      <c r="E304" t="s">
        <v>204</v>
      </c>
      <c r="F304" s="3">
        <v>0</v>
      </c>
      <c r="G304" s="3">
        <v>9053.85</v>
      </c>
      <c r="H304" s="3">
        <v>-9053.85</v>
      </c>
      <c r="I304" t="s">
        <v>88</v>
      </c>
    </row>
    <row r="305" spans="1:9" x14ac:dyDescent="0.35">
      <c r="A305" s="2">
        <v>45322</v>
      </c>
      <c r="B305">
        <v>76</v>
      </c>
      <c r="C305">
        <v>6121040</v>
      </c>
      <c r="D305" t="s">
        <v>98</v>
      </c>
      <c r="E305" t="s">
        <v>99</v>
      </c>
      <c r="F305" s="3">
        <v>2949.77</v>
      </c>
      <c r="G305" s="3">
        <v>0</v>
      </c>
      <c r="H305" s="3">
        <v>2949.77</v>
      </c>
      <c r="I305" t="s">
        <v>124</v>
      </c>
    </row>
    <row r="306" spans="1:9" x14ac:dyDescent="0.35">
      <c r="A306" s="2">
        <v>45322</v>
      </c>
      <c r="B306">
        <v>76</v>
      </c>
      <c r="C306">
        <v>6121046</v>
      </c>
      <c r="D306" t="s">
        <v>94</v>
      </c>
      <c r="E306" t="s">
        <v>95</v>
      </c>
      <c r="F306" s="3">
        <v>2050.39</v>
      </c>
      <c r="G306" s="3">
        <v>0</v>
      </c>
      <c r="H306" s="3">
        <v>2050.39</v>
      </c>
      <c r="I306" t="s">
        <v>124</v>
      </c>
    </row>
    <row r="307" spans="1:9" x14ac:dyDescent="0.35">
      <c r="A307" s="2">
        <v>45322</v>
      </c>
      <c r="B307">
        <v>76</v>
      </c>
      <c r="C307">
        <v>5131006</v>
      </c>
      <c r="D307" t="s">
        <v>125</v>
      </c>
      <c r="E307" t="s">
        <v>208</v>
      </c>
      <c r="F307" s="3">
        <v>3850</v>
      </c>
      <c r="G307" s="3">
        <v>0</v>
      </c>
      <c r="H307" s="3">
        <v>3850</v>
      </c>
      <c r="I307" t="s">
        <v>124</v>
      </c>
    </row>
    <row r="308" spans="1:9" x14ac:dyDescent="0.35">
      <c r="A308" s="2">
        <v>45322</v>
      </c>
      <c r="B308">
        <v>76</v>
      </c>
      <c r="C308">
        <v>6121031</v>
      </c>
      <c r="D308" t="s">
        <v>209</v>
      </c>
      <c r="E308" t="s">
        <v>210</v>
      </c>
      <c r="F308" s="3">
        <v>2160</v>
      </c>
      <c r="G308" s="3">
        <v>0</v>
      </c>
      <c r="H308" s="3">
        <v>2160</v>
      </c>
      <c r="I308" t="s">
        <v>124</v>
      </c>
    </row>
    <row r="309" spans="1:9" x14ac:dyDescent="0.35">
      <c r="A309" s="2">
        <v>45322</v>
      </c>
      <c r="B309">
        <v>76</v>
      </c>
      <c r="C309">
        <v>5132010</v>
      </c>
      <c r="D309" t="s">
        <v>211</v>
      </c>
      <c r="E309" t="s">
        <v>212</v>
      </c>
      <c r="F309" s="3">
        <v>1800</v>
      </c>
      <c r="G309" s="3">
        <v>0</v>
      </c>
      <c r="H309" s="3">
        <v>1800</v>
      </c>
      <c r="I309" t="s">
        <v>124</v>
      </c>
    </row>
    <row r="310" spans="1:9" x14ac:dyDescent="0.35">
      <c r="A310" s="2">
        <v>45322</v>
      </c>
      <c r="B310">
        <v>76</v>
      </c>
      <c r="C310">
        <v>1111001</v>
      </c>
      <c r="D310" t="s">
        <v>16</v>
      </c>
      <c r="E310" t="s">
        <v>213</v>
      </c>
      <c r="F310" s="3">
        <v>34390</v>
      </c>
      <c r="G310" s="3">
        <v>0</v>
      </c>
      <c r="H310" s="3">
        <v>34390</v>
      </c>
      <c r="I310" t="s">
        <v>124</v>
      </c>
    </row>
    <row r="311" spans="1:9" x14ac:dyDescent="0.35">
      <c r="A311" s="2">
        <v>45322</v>
      </c>
      <c r="B311">
        <v>76</v>
      </c>
      <c r="C311">
        <v>1111001</v>
      </c>
      <c r="D311" t="s">
        <v>16</v>
      </c>
      <c r="E311" t="s">
        <v>131</v>
      </c>
      <c r="F311" s="3">
        <v>1916.4</v>
      </c>
      <c r="G311" s="3">
        <v>0</v>
      </c>
      <c r="H311" s="3">
        <v>1916.4</v>
      </c>
      <c r="I311" t="s">
        <v>124</v>
      </c>
    </row>
    <row r="312" spans="1:9" x14ac:dyDescent="0.35">
      <c r="A312" s="2">
        <v>45322</v>
      </c>
      <c r="B312">
        <v>76</v>
      </c>
      <c r="C312">
        <v>2124007</v>
      </c>
      <c r="D312" t="s">
        <v>30</v>
      </c>
      <c r="E312" t="s">
        <v>214</v>
      </c>
      <c r="F312" s="3">
        <v>250.86</v>
      </c>
      <c r="G312" s="3">
        <v>0</v>
      </c>
      <c r="H312" s="3">
        <v>250.86</v>
      </c>
      <c r="I312" t="s">
        <v>124</v>
      </c>
    </row>
    <row r="313" spans="1:9" x14ac:dyDescent="0.35">
      <c r="A313" s="2">
        <v>45322</v>
      </c>
      <c r="B313">
        <v>76</v>
      </c>
      <c r="C313">
        <v>2124004</v>
      </c>
      <c r="D313" t="s">
        <v>29</v>
      </c>
      <c r="E313" t="s">
        <v>119</v>
      </c>
      <c r="F313" s="3">
        <v>497.23</v>
      </c>
      <c r="G313" s="3">
        <v>0</v>
      </c>
      <c r="H313" s="3">
        <v>497.23</v>
      </c>
      <c r="I313" t="s">
        <v>124</v>
      </c>
    </row>
    <row r="314" spans="1:9" x14ac:dyDescent="0.35">
      <c r="A314" s="2">
        <v>45322</v>
      </c>
      <c r="B314">
        <v>76</v>
      </c>
      <c r="C314">
        <v>1111001</v>
      </c>
      <c r="D314" t="s">
        <v>16</v>
      </c>
      <c r="E314" t="s">
        <v>132</v>
      </c>
      <c r="F314" s="3">
        <v>5300</v>
      </c>
      <c r="G314" s="3">
        <v>0</v>
      </c>
      <c r="H314" s="3">
        <v>5300</v>
      </c>
      <c r="I314" t="s">
        <v>124</v>
      </c>
    </row>
    <row r="315" spans="1:9" x14ac:dyDescent="0.35">
      <c r="A315" s="2">
        <v>45322</v>
      </c>
      <c r="B315">
        <v>76</v>
      </c>
      <c r="C315">
        <v>2114001</v>
      </c>
      <c r="D315" t="s">
        <v>97</v>
      </c>
      <c r="E315" t="s">
        <v>1768</v>
      </c>
      <c r="F315" s="3">
        <v>13997.44</v>
      </c>
      <c r="G315" s="3">
        <v>0</v>
      </c>
      <c r="H315" s="3">
        <v>13997.44</v>
      </c>
      <c r="I315" t="s">
        <v>124</v>
      </c>
    </row>
    <row r="316" spans="1:9" x14ac:dyDescent="0.35">
      <c r="A316" s="2">
        <v>45322</v>
      </c>
      <c r="B316">
        <v>76</v>
      </c>
      <c r="C316">
        <v>1111001</v>
      </c>
      <c r="D316" t="s">
        <v>16</v>
      </c>
      <c r="E316" t="s">
        <v>215</v>
      </c>
      <c r="F316" s="3">
        <v>2000</v>
      </c>
      <c r="G316" s="3">
        <v>0</v>
      </c>
      <c r="H316" s="3">
        <v>2000</v>
      </c>
      <c r="I316" t="s">
        <v>124</v>
      </c>
    </row>
    <row r="317" spans="1:9" x14ac:dyDescent="0.35">
      <c r="A317" s="2">
        <v>45322</v>
      </c>
      <c r="B317">
        <v>76</v>
      </c>
      <c r="C317">
        <v>1111001</v>
      </c>
      <c r="D317" t="s">
        <v>16</v>
      </c>
      <c r="E317" t="s">
        <v>117</v>
      </c>
      <c r="F317" s="3">
        <v>400</v>
      </c>
      <c r="G317" s="3">
        <v>0</v>
      </c>
      <c r="H317" s="3">
        <v>400</v>
      </c>
      <c r="I317" t="s">
        <v>124</v>
      </c>
    </row>
    <row r="318" spans="1:9" x14ac:dyDescent="0.35">
      <c r="A318" s="2">
        <v>45322</v>
      </c>
      <c r="B318">
        <v>76</v>
      </c>
      <c r="C318">
        <v>5132010</v>
      </c>
      <c r="D318" t="s">
        <v>211</v>
      </c>
      <c r="E318" t="s">
        <v>216</v>
      </c>
      <c r="F318" s="3">
        <v>5700</v>
      </c>
      <c r="G318" s="3">
        <v>0</v>
      </c>
      <c r="H318" s="3">
        <v>5700</v>
      </c>
      <c r="I318" t="s">
        <v>124</v>
      </c>
    </row>
    <row r="319" spans="1:9" x14ac:dyDescent="0.35">
      <c r="A319" s="2">
        <v>45322</v>
      </c>
      <c r="B319">
        <v>76</v>
      </c>
      <c r="C319">
        <v>6121029</v>
      </c>
      <c r="D319" t="s">
        <v>217</v>
      </c>
      <c r="E319" t="s">
        <v>218</v>
      </c>
      <c r="F319" s="3">
        <v>874</v>
      </c>
      <c r="G319" s="3">
        <v>0</v>
      </c>
      <c r="H319" s="3">
        <v>874</v>
      </c>
      <c r="I319" t="s">
        <v>124</v>
      </c>
    </row>
    <row r="320" spans="1:9" x14ac:dyDescent="0.35">
      <c r="A320" s="2">
        <v>45322</v>
      </c>
      <c r="B320">
        <v>76</v>
      </c>
      <c r="C320">
        <v>1111001</v>
      </c>
      <c r="D320" t="s">
        <v>16</v>
      </c>
      <c r="E320" t="s">
        <v>219</v>
      </c>
      <c r="F320" s="3">
        <v>2000</v>
      </c>
      <c r="G320" s="3">
        <v>0</v>
      </c>
      <c r="H320" s="3">
        <v>2000</v>
      </c>
      <c r="I320" t="s">
        <v>124</v>
      </c>
    </row>
    <row r="321" spans="1:9" x14ac:dyDescent="0.35">
      <c r="A321" s="2">
        <v>45322</v>
      </c>
      <c r="B321">
        <v>76</v>
      </c>
      <c r="C321">
        <v>5132002</v>
      </c>
      <c r="D321" t="s">
        <v>115</v>
      </c>
      <c r="E321" t="s">
        <v>220</v>
      </c>
      <c r="F321" s="3">
        <v>21400</v>
      </c>
      <c r="G321" s="3">
        <v>0</v>
      </c>
      <c r="H321" s="3">
        <v>21400</v>
      </c>
      <c r="I321" t="s">
        <v>124</v>
      </c>
    </row>
    <row r="322" spans="1:9" x14ac:dyDescent="0.35">
      <c r="A322" s="2">
        <v>45322</v>
      </c>
      <c r="B322">
        <v>76</v>
      </c>
      <c r="C322">
        <v>5131006</v>
      </c>
      <c r="D322" t="s">
        <v>125</v>
      </c>
      <c r="E322" t="s">
        <v>1772</v>
      </c>
      <c r="F322" s="3">
        <v>3800</v>
      </c>
      <c r="G322" s="3">
        <v>0</v>
      </c>
      <c r="H322" s="3">
        <v>3800</v>
      </c>
      <c r="I322" t="s">
        <v>124</v>
      </c>
    </row>
    <row r="323" spans="1:9" x14ac:dyDescent="0.35">
      <c r="A323" s="2">
        <v>45322</v>
      </c>
      <c r="B323">
        <v>76</v>
      </c>
      <c r="C323">
        <v>2121003</v>
      </c>
      <c r="D323" t="s">
        <v>28</v>
      </c>
      <c r="E323" t="s">
        <v>221</v>
      </c>
      <c r="F323" s="3">
        <v>9662.42</v>
      </c>
      <c r="G323" s="3">
        <v>0</v>
      </c>
      <c r="H323" s="3">
        <v>9662.42</v>
      </c>
      <c r="I323" t="s">
        <v>124</v>
      </c>
    </row>
    <row r="324" spans="1:9" x14ac:dyDescent="0.35">
      <c r="A324" s="2">
        <v>45322</v>
      </c>
      <c r="B324">
        <v>76</v>
      </c>
      <c r="C324">
        <v>1112002</v>
      </c>
      <c r="D324" t="s">
        <v>21</v>
      </c>
      <c r="E324" t="s">
        <v>107</v>
      </c>
      <c r="F324" s="3">
        <v>0</v>
      </c>
      <c r="G324" s="3">
        <v>114998.51</v>
      </c>
      <c r="H324" s="3">
        <v>-114998.51</v>
      </c>
      <c r="I324" t="s">
        <v>124</v>
      </c>
    </row>
    <row r="325" spans="1:9" x14ac:dyDescent="0.35">
      <c r="A325" s="2">
        <v>45322</v>
      </c>
      <c r="B325">
        <v>76</v>
      </c>
      <c r="C325">
        <v>1112002</v>
      </c>
      <c r="D325" t="s">
        <v>21</v>
      </c>
      <c r="E325" t="s">
        <v>108</v>
      </c>
      <c r="F325" s="3">
        <v>115049.28</v>
      </c>
      <c r="G325" s="3">
        <v>0</v>
      </c>
      <c r="H325" s="3">
        <v>115049.28</v>
      </c>
      <c r="I325" t="s">
        <v>124</v>
      </c>
    </row>
    <row r="326" spans="1:9" x14ac:dyDescent="0.35">
      <c r="A326" s="2">
        <v>45322</v>
      </c>
      <c r="B326">
        <v>76</v>
      </c>
      <c r="C326">
        <v>1111001</v>
      </c>
      <c r="D326" t="s">
        <v>16</v>
      </c>
      <c r="E326" t="s">
        <v>137</v>
      </c>
      <c r="F326" s="3">
        <v>0</v>
      </c>
      <c r="G326" s="3">
        <v>84224.36</v>
      </c>
      <c r="H326" s="3">
        <v>-84224.36</v>
      </c>
      <c r="I326" t="s">
        <v>124</v>
      </c>
    </row>
    <row r="327" spans="1:9" x14ac:dyDescent="0.35">
      <c r="A327" s="2">
        <v>45322</v>
      </c>
      <c r="B327">
        <v>76</v>
      </c>
      <c r="C327">
        <v>1111001</v>
      </c>
      <c r="D327" t="s">
        <v>16</v>
      </c>
      <c r="E327" t="s">
        <v>222</v>
      </c>
      <c r="F327" s="3">
        <v>0</v>
      </c>
      <c r="G327" s="3">
        <v>1100</v>
      </c>
      <c r="H327" s="3">
        <v>-1100</v>
      </c>
      <c r="I327" t="s">
        <v>124</v>
      </c>
    </row>
    <row r="328" spans="1:9" x14ac:dyDescent="0.35">
      <c r="A328" s="2">
        <v>45322</v>
      </c>
      <c r="B328">
        <v>76</v>
      </c>
      <c r="C328">
        <v>1111001</v>
      </c>
      <c r="D328" t="s">
        <v>16</v>
      </c>
      <c r="E328" t="s">
        <v>223</v>
      </c>
      <c r="F328" s="3">
        <v>0</v>
      </c>
      <c r="G328" s="3">
        <v>1700</v>
      </c>
      <c r="H328" s="3">
        <v>-1700</v>
      </c>
      <c r="I328" t="s">
        <v>124</v>
      </c>
    </row>
    <row r="329" spans="1:9" x14ac:dyDescent="0.35">
      <c r="A329" s="2">
        <v>45322</v>
      </c>
      <c r="B329">
        <v>76</v>
      </c>
      <c r="C329">
        <v>1111001</v>
      </c>
      <c r="D329" t="s">
        <v>16</v>
      </c>
      <c r="E329" t="s">
        <v>224</v>
      </c>
      <c r="F329" s="3">
        <v>0</v>
      </c>
      <c r="G329" s="3">
        <v>2000</v>
      </c>
      <c r="H329" s="3">
        <v>-2000</v>
      </c>
      <c r="I329" t="s">
        <v>124</v>
      </c>
    </row>
    <row r="330" spans="1:9" x14ac:dyDescent="0.35">
      <c r="A330" s="2">
        <v>45322</v>
      </c>
      <c r="B330">
        <v>76</v>
      </c>
      <c r="C330">
        <v>1111001</v>
      </c>
      <c r="D330" t="s">
        <v>16</v>
      </c>
      <c r="E330" t="s">
        <v>139</v>
      </c>
      <c r="F330" s="3">
        <v>0</v>
      </c>
      <c r="G330" s="3">
        <v>21795.51</v>
      </c>
      <c r="H330" s="3">
        <v>-21795.51</v>
      </c>
      <c r="I330" t="s">
        <v>124</v>
      </c>
    </row>
    <row r="331" spans="1:9" x14ac:dyDescent="0.35">
      <c r="A331" s="2">
        <v>45322</v>
      </c>
      <c r="B331">
        <v>76</v>
      </c>
      <c r="C331">
        <v>1111001</v>
      </c>
      <c r="D331" t="s">
        <v>16</v>
      </c>
      <c r="E331" t="s">
        <v>225</v>
      </c>
      <c r="F331" s="3">
        <v>0</v>
      </c>
      <c r="G331" s="3">
        <v>2000</v>
      </c>
      <c r="H331" s="3">
        <v>-2000</v>
      </c>
      <c r="I331" t="s">
        <v>124</v>
      </c>
    </row>
    <row r="332" spans="1:9" x14ac:dyDescent="0.35">
      <c r="A332" s="2">
        <v>45322</v>
      </c>
      <c r="B332">
        <v>76</v>
      </c>
      <c r="C332">
        <v>1111001</v>
      </c>
      <c r="D332" t="s">
        <v>16</v>
      </c>
      <c r="E332" t="s">
        <v>226</v>
      </c>
      <c r="F332" s="3">
        <v>0</v>
      </c>
      <c r="G332" s="3">
        <v>1850</v>
      </c>
      <c r="H332" s="3">
        <v>-1850</v>
      </c>
      <c r="I332" t="s">
        <v>124</v>
      </c>
    </row>
    <row r="333" spans="1:9" x14ac:dyDescent="0.35">
      <c r="A333" s="2">
        <v>45322</v>
      </c>
      <c r="B333">
        <v>76</v>
      </c>
      <c r="C333">
        <v>4141003</v>
      </c>
      <c r="D333" t="s">
        <v>141</v>
      </c>
      <c r="E333" t="s">
        <v>142</v>
      </c>
      <c r="F333" s="3">
        <v>0</v>
      </c>
      <c r="G333" s="3">
        <v>379.41</v>
      </c>
      <c r="H333" s="3">
        <v>-379.41</v>
      </c>
      <c r="I333" t="s">
        <v>124</v>
      </c>
    </row>
    <row r="334" spans="1:9" x14ac:dyDescent="0.35">
      <c r="A334" s="2">
        <v>45322</v>
      </c>
      <c r="B334">
        <v>76</v>
      </c>
      <c r="C334">
        <v>6121040</v>
      </c>
      <c r="D334" t="s">
        <v>98</v>
      </c>
      <c r="E334" t="s">
        <v>99</v>
      </c>
      <c r="F334" s="3">
        <v>70.45</v>
      </c>
      <c r="G334" s="3">
        <v>0</v>
      </c>
      <c r="H334" s="3">
        <v>70.45</v>
      </c>
      <c r="I334" t="s">
        <v>96</v>
      </c>
    </row>
    <row r="335" spans="1:9" x14ac:dyDescent="0.35">
      <c r="A335" s="2">
        <v>45322</v>
      </c>
      <c r="B335">
        <v>76</v>
      </c>
      <c r="C335">
        <v>6121046</v>
      </c>
      <c r="D335" t="s">
        <v>94</v>
      </c>
      <c r="E335" t="s">
        <v>95</v>
      </c>
      <c r="F335" s="3">
        <v>213.5</v>
      </c>
      <c r="G335" s="3">
        <v>0</v>
      </c>
      <c r="H335" s="3">
        <v>213.5</v>
      </c>
      <c r="I335" t="s">
        <v>96</v>
      </c>
    </row>
    <row r="336" spans="1:9" x14ac:dyDescent="0.35">
      <c r="A336" s="2">
        <v>45322</v>
      </c>
      <c r="B336">
        <v>76</v>
      </c>
      <c r="C336">
        <v>1111001</v>
      </c>
      <c r="D336" t="s">
        <v>16</v>
      </c>
      <c r="E336" t="s">
        <v>227</v>
      </c>
      <c r="F336" s="3">
        <v>341.92</v>
      </c>
      <c r="G336" s="3">
        <v>0</v>
      </c>
      <c r="H336" s="3">
        <v>341.92</v>
      </c>
      <c r="I336" t="s">
        <v>96</v>
      </c>
    </row>
    <row r="337" spans="1:9" x14ac:dyDescent="0.35">
      <c r="A337" s="2">
        <v>45322</v>
      </c>
      <c r="B337">
        <v>76</v>
      </c>
      <c r="C337">
        <v>6121021</v>
      </c>
      <c r="D337" t="s">
        <v>102</v>
      </c>
      <c r="E337" t="s">
        <v>1769</v>
      </c>
      <c r="F337" s="3">
        <v>1182.3599999999999</v>
      </c>
      <c r="G337" s="3">
        <v>0</v>
      </c>
      <c r="H337" s="3">
        <v>1182.3599999999999</v>
      </c>
      <c r="I337" t="s">
        <v>96</v>
      </c>
    </row>
    <row r="338" spans="1:9" x14ac:dyDescent="0.35">
      <c r="A338" s="2">
        <v>45322</v>
      </c>
      <c r="B338">
        <v>76</v>
      </c>
      <c r="C338">
        <v>2114001</v>
      </c>
      <c r="D338" t="s">
        <v>97</v>
      </c>
      <c r="E338" t="s">
        <v>228</v>
      </c>
      <c r="F338" s="3">
        <v>170.96</v>
      </c>
      <c r="G338" s="3">
        <v>0</v>
      </c>
      <c r="H338" s="3">
        <v>170.96</v>
      </c>
      <c r="I338" t="s">
        <v>96</v>
      </c>
    </row>
    <row r="339" spans="1:9" x14ac:dyDescent="0.35">
      <c r="A339" s="2">
        <v>45322</v>
      </c>
      <c r="B339">
        <v>76</v>
      </c>
      <c r="C339">
        <v>2114001</v>
      </c>
      <c r="D339" t="s">
        <v>97</v>
      </c>
      <c r="E339" t="s">
        <v>1768</v>
      </c>
      <c r="F339" s="3">
        <v>5640</v>
      </c>
      <c r="G339" s="3">
        <v>0</v>
      </c>
      <c r="H339" s="3">
        <v>5640</v>
      </c>
      <c r="I339" t="s">
        <v>96</v>
      </c>
    </row>
    <row r="340" spans="1:9" x14ac:dyDescent="0.35">
      <c r="A340" s="2">
        <v>45322</v>
      </c>
      <c r="B340">
        <v>76</v>
      </c>
      <c r="C340">
        <v>6121019</v>
      </c>
      <c r="D340" t="s">
        <v>100</v>
      </c>
      <c r="E340" t="s">
        <v>104</v>
      </c>
      <c r="F340" s="3">
        <v>225</v>
      </c>
      <c r="G340" s="3">
        <v>0</v>
      </c>
      <c r="H340" s="3">
        <v>225</v>
      </c>
      <c r="I340" t="s">
        <v>96</v>
      </c>
    </row>
    <row r="341" spans="1:9" x14ac:dyDescent="0.35">
      <c r="A341" s="2">
        <v>45322</v>
      </c>
      <c r="B341">
        <v>76</v>
      </c>
      <c r="C341">
        <v>6121019</v>
      </c>
      <c r="D341" t="s">
        <v>100</v>
      </c>
      <c r="E341" t="s">
        <v>106</v>
      </c>
      <c r="F341" s="3">
        <v>170</v>
      </c>
      <c r="G341" s="3">
        <v>0</v>
      </c>
      <c r="H341" s="3">
        <v>170</v>
      </c>
      <c r="I341" t="s">
        <v>96</v>
      </c>
    </row>
    <row r="342" spans="1:9" x14ac:dyDescent="0.35">
      <c r="A342" s="2">
        <v>45322</v>
      </c>
      <c r="B342">
        <v>76</v>
      </c>
      <c r="C342">
        <v>6121019</v>
      </c>
      <c r="D342" t="s">
        <v>100</v>
      </c>
      <c r="E342" t="s">
        <v>101</v>
      </c>
      <c r="F342" s="3">
        <v>492.2</v>
      </c>
      <c r="G342" s="3">
        <v>0</v>
      </c>
      <c r="H342" s="3">
        <v>492.2</v>
      </c>
      <c r="I342" t="s">
        <v>96</v>
      </c>
    </row>
    <row r="343" spans="1:9" x14ac:dyDescent="0.35">
      <c r="A343" s="2">
        <v>45322</v>
      </c>
      <c r="B343">
        <v>76</v>
      </c>
      <c r="C343">
        <v>2114010</v>
      </c>
      <c r="D343" t="s">
        <v>48</v>
      </c>
      <c r="E343" t="s">
        <v>229</v>
      </c>
      <c r="F343" s="3">
        <v>1300</v>
      </c>
      <c r="G343" s="3">
        <v>0</v>
      </c>
      <c r="H343" s="3">
        <v>1300</v>
      </c>
      <c r="I343" t="s">
        <v>96</v>
      </c>
    </row>
    <row r="344" spans="1:9" x14ac:dyDescent="0.35">
      <c r="A344" s="2">
        <v>45322</v>
      </c>
      <c r="B344">
        <v>76</v>
      </c>
      <c r="C344">
        <v>1111001</v>
      </c>
      <c r="D344" t="s">
        <v>16</v>
      </c>
      <c r="E344" t="s">
        <v>230</v>
      </c>
      <c r="F344" s="3">
        <v>1100</v>
      </c>
      <c r="G344" s="3">
        <v>0</v>
      </c>
      <c r="H344" s="3">
        <v>1100</v>
      </c>
      <c r="I344" t="s">
        <v>96</v>
      </c>
    </row>
    <row r="345" spans="1:9" x14ac:dyDescent="0.35">
      <c r="A345" s="2">
        <v>45322</v>
      </c>
      <c r="B345">
        <v>76</v>
      </c>
      <c r="C345">
        <v>1112001</v>
      </c>
      <c r="D345" t="s">
        <v>20</v>
      </c>
      <c r="E345" t="s">
        <v>107</v>
      </c>
      <c r="F345" s="3">
        <v>0</v>
      </c>
      <c r="G345" s="3">
        <v>10906.39</v>
      </c>
      <c r="H345" s="3">
        <v>-10906.39</v>
      </c>
      <c r="I345" t="s">
        <v>96</v>
      </c>
    </row>
    <row r="346" spans="1:9" x14ac:dyDescent="0.35">
      <c r="A346" s="2">
        <v>45322</v>
      </c>
      <c r="B346">
        <v>76</v>
      </c>
      <c r="C346">
        <v>1112001</v>
      </c>
      <c r="D346" t="s">
        <v>20</v>
      </c>
      <c r="E346" t="s">
        <v>108</v>
      </c>
      <c r="F346" s="3">
        <v>10454.530000000001</v>
      </c>
      <c r="G346" s="3">
        <v>0</v>
      </c>
      <c r="H346" s="3">
        <v>10454.530000000001</v>
      </c>
      <c r="I346" t="s">
        <v>96</v>
      </c>
    </row>
    <row r="347" spans="1:9" x14ac:dyDescent="0.35">
      <c r="A347" s="2">
        <v>45322</v>
      </c>
      <c r="B347">
        <v>76</v>
      </c>
      <c r="C347">
        <v>1111001</v>
      </c>
      <c r="D347" t="s">
        <v>16</v>
      </c>
      <c r="E347" t="s">
        <v>112</v>
      </c>
      <c r="F347" s="3">
        <v>0</v>
      </c>
      <c r="G347" s="3">
        <v>5583</v>
      </c>
      <c r="H347" s="3">
        <v>-5583</v>
      </c>
      <c r="I347" t="s">
        <v>96</v>
      </c>
    </row>
    <row r="348" spans="1:9" x14ac:dyDescent="0.35">
      <c r="A348" s="2">
        <v>45322</v>
      </c>
      <c r="B348">
        <v>76</v>
      </c>
      <c r="C348">
        <v>1111001</v>
      </c>
      <c r="D348" t="s">
        <v>16</v>
      </c>
      <c r="E348" t="s">
        <v>231</v>
      </c>
      <c r="F348" s="3">
        <v>0</v>
      </c>
      <c r="G348" s="3">
        <v>2534</v>
      </c>
      <c r="H348" s="3">
        <v>-2534</v>
      </c>
      <c r="I348" t="s">
        <v>96</v>
      </c>
    </row>
    <row r="349" spans="1:9" x14ac:dyDescent="0.35">
      <c r="A349" s="2">
        <v>45322</v>
      </c>
      <c r="B349">
        <v>76</v>
      </c>
      <c r="C349">
        <v>1111001</v>
      </c>
      <c r="D349" t="s">
        <v>16</v>
      </c>
      <c r="E349" t="s">
        <v>232</v>
      </c>
      <c r="F349" s="3">
        <v>0</v>
      </c>
      <c r="G349" s="3">
        <v>1588.79</v>
      </c>
      <c r="H349" s="3">
        <v>-1588.79</v>
      </c>
      <c r="I349" t="s">
        <v>96</v>
      </c>
    </row>
    <row r="350" spans="1:9" x14ac:dyDescent="0.35">
      <c r="A350" s="2">
        <v>45322</v>
      </c>
      <c r="B350">
        <v>76</v>
      </c>
      <c r="C350">
        <v>1111001</v>
      </c>
      <c r="D350" t="s">
        <v>16</v>
      </c>
      <c r="E350" t="s">
        <v>111</v>
      </c>
      <c r="F350" s="3">
        <v>0</v>
      </c>
      <c r="G350" s="3">
        <v>400</v>
      </c>
      <c r="H350" s="3">
        <v>-400</v>
      </c>
      <c r="I350" t="s">
        <v>96</v>
      </c>
    </row>
    <row r="351" spans="1:9" x14ac:dyDescent="0.35">
      <c r="A351" s="2">
        <v>45322</v>
      </c>
      <c r="B351">
        <v>76</v>
      </c>
      <c r="C351">
        <v>1111001</v>
      </c>
      <c r="D351" t="s">
        <v>16</v>
      </c>
      <c r="E351" t="s">
        <v>233</v>
      </c>
      <c r="F351" s="3">
        <v>0</v>
      </c>
      <c r="G351" s="3">
        <v>341.92</v>
      </c>
      <c r="H351" s="3">
        <v>-341.92</v>
      </c>
      <c r="I351" t="s">
        <v>96</v>
      </c>
    </row>
    <row r="352" spans="1:9" x14ac:dyDescent="0.35">
      <c r="A352" s="2">
        <v>45322</v>
      </c>
      <c r="B352">
        <v>76</v>
      </c>
      <c r="C352">
        <v>6121040</v>
      </c>
      <c r="D352" t="s">
        <v>98</v>
      </c>
      <c r="E352" t="s">
        <v>99</v>
      </c>
      <c r="F352" s="3">
        <v>0</v>
      </c>
      <c r="G352" s="3">
        <v>3.41</v>
      </c>
      <c r="H352" s="3">
        <v>-3.41</v>
      </c>
      <c r="I352" t="s">
        <v>96</v>
      </c>
    </row>
    <row r="353" spans="1:9" x14ac:dyDescent="0.35">
      <c r="A353" s="2">
        <v>45322</v>
      </c>
      <c r="B353">
        <v>76</v>
      </c>
      <c r="C353">
        <v>6121046</v>
      </c>
      <c r="D353" t="s">
        <v>94</v>
      </c>
      <c r="E353" t="s">
        <v>95</v>
      </c>
      <c r="F353" s="3">
        <v>0</v>
      </c>
      <c r="G353" s="3">
        <v>3.41</v>
      </c>
      <c r="H353" s="3">
        <v>-3.41</v>
      </c>
      <c r="I353" t="s">
        <v>96</v>
      </c>
    </row>
    <row r="354" spans="1:9" x14ac:dyDescent="0.35">
      <c r="A354" s="2">
        <v>45322</v>
      </c>
      <c r="B354">
        <v>76</v>
      </c>
      <c r="C354">
        <v>2121003</v>
      </c>
      <c r="D354" t="s">
        <v>28</v>
      </c>
      <c r="E354" t="s">
        <v>234</v>
      </c>
      <c r="F354" s="3">
        <v>16679.330000000002</v>
      </c>
      <c r="G354" s="3">
        <v>0</v>
      </c>
      <c r="H354" s="3">
        <v>16679.330000000002</v>
      </c>
      <c r="I354" t="s">
        <v>114</v>
      </c>
    </row>
    <row r="355" spans="1:9" x14ac:dyDescent="0.35">
      <c r="A355" s="2">
        <v>45322</v>
      </c>
      <c r="B355">
        <v>76</v>
      </c>
      <c r="C355">
        <v>6121046</v>
      </c>
      <c r="D355" t="s">
        <v>94</v>
      </c>
      <c r="E355" t="s">
        <v>95</v>
      </c>
      <c r="F355" s="3">
        <v>101.59</v>
      </c>
      <c r="G355" s="3">
        <v>0</v>
      </c>
      <c r="H355" s="3">
        <v>101.59</v>
      </c>
      <c r="I355" t="s">
        <v>114</v>
      </c>
    </row>
    <row r="356" spans="1:9" x14ac:dyDescent="0.35">
      <c r="A356" s="2">
        <v>45322</v>
      </c>
      <c r="B356">
        <v>76</v>
      </c>
      <c r="C356">
        <v>6121040</v>
      </c>
      <c r="D356" t="s">
        <v>98</v>
      </c>
      <c r="E356" t="s">
        <v>99</v>
      </c>
      <c r="F356" s="3">
        <v>77.95</v>
      </c>
      <c r="G356" s="3">
        <v>0</v>
      </c>
      <c r="H356" s="3">
        <v>77.95</v>
      </c>
      <c r="I356" t="s">
        <v>114</v>
      </c>
    </row>
    <row r="357" spans="1:9" x14ac:dyDescent="0.35">
      <c r="A357" s="2">
        <v>45322</v>
      </c>
      <c r="B357">
        <v>76</v>
      </c>
      <c r="C357">
        <v>6121029</v>
      </c>
      <c r="D357" t="s">
        <v>217</v>
      </c>
      <c r="E357" t="s">
        <v>235</v>
      </c>
      <c r="F357" s="3">
        <v>768</v>
      </c>
      <c r="G357" s="3">
        <v>0</v>
      </c>
      <c r="H357" s="3">
        <v>768</v>
      </c>
      <c r="I357" t="s">
        <v>114</v>
      </c>
    </row>
    <row r="358" spans="1:9" x14ac:dyDescent="0.35">
      <c r="A358" s="2">
        <v>45322</v>
      </c>
      <c r="B358">
        <v>76</v>
      </c>
      <c r="C358">
        <v>6121029</v>
      </c>
      <c r="D358" t="s">
        <v>217</v>
      </c>
      <c r="E358" t="s">
        <v>236</v>
      </c>
      <c r="F358" s="3">
        <v>768</v>
      </c>
      <c r="G358" s="3">
        <v>0</v>
      </c>
      <c r="H358" s="3">
        <v>768</v>
      </c>
      <c r="I358" t="s">
        <v>114</v>
      </c>
    </row>
    <row r="359" spans="1:9" x14ac:dyDescent="0.35">
      <c r="A359" s="2">
        <v>45322</v>
      </c>
      <c r="B359">
        <v>76</v>
      </c>
      <c r="C359">
        <v>5132002</v>
      </c>
      <c r="D359" t="s">
        <v>115</v>
      </c>
      <c r="E359" t="s">
        <v>237</v>
      </c>
      <c r="F359" s="3">
        <v>3465.17</v>
      </c>
      <c r="G359" s="3">
        <v>0</v>
      </c>
      <c r="H359" s="3">
        <v>3465.17</v>
      </c>
      <c r="I359" t="s">
        <v>114</v>
      </c>
    </row>
    <row r="360" spans="1:9" x14ac:dyDescent="0.35">
      <c r="A360" s="2">
        <v>45322</v>
      </c>
      <c r="B360">
        <v>76</v>
      </c>
      <c r="C360">
        <v>1112003</v>
      </c>
      <c r="D360" t="s">
        <v>22</v>
      </c>
      <c r="E360" t="s">
        <v>107</v>
      </c>
      <c r="F360" s="3">
        <v>0</v>
      </c>
      <c r="G360" s="3">
        <v>21860.04</v>
      </c>
      <c r="H360" s="3">
        <v>-21860.04</v>
      </c>
      <c r="I360" t="s">
        <v>114</v>
      </c>
    </row>
    <row r="361" spans="1:9" x14ac:dyDescent="0.35">
      <c r="A361" s="2">
        <v>45322</v>
      </c>
      <c r="B361">
        <v>76</v>
      </c>
      <c r="C361">
        <v>1112003</v>
      </c>
      <c r="D361" t="s">
        <v>22</v>
      </c>
      <c r="E361" t="s">
        <v>108</v>
      </c>
      <c r="F361" s="3">
        <v>19650</v>
      </c>
      <c r="G361" s="3">
        <v>0</v>
      </c>
      <c r="H361" s="3">
        <v>19650</v>
      </c>
      <c r="I361" t="s">
        <v>114</v>
      </c>
    </row>
    <row r="362" spans="1:9" x14ac:dyDescent="0.35">
      <c r="A362" s="2">
        <v>45322</v>
      </c>
      <c r="B362">
        <v>76</v>
      </c>
      <c r="C362">
        <v>1111001</v>
      </c>
      <c r="D362" t="s">
        <v>16</v>
      </c>
      <c r="E362" t="s">
        <v>138</v>
      </c>
      <c r="F362" s="3">
        <v>0</v>
      </c>
      <c r="G362" s="3">
        <v>15350</v>
      </c>
      <c r="H362" s="3">
        <v>-15350</v>
      </c>
      <c r="I362" t="s">
        <v>114</v>
      </c>
    </row>
    <row r="363" spans="1:9" x14ac:dyDescent="0.35">
      <c r="A363" s="2">
        <v>45322</v>
      </c>
      <c r="B363">
        <v>76</v>
      </c>
      <c r="C363">
        <v>1111001</v>
      </c>
      <c r="D363" t="s">
        <v>16</v>
      </c>
      <c r="E363" t="s">
        <v>111</v>
      </c>
      <c r="F363" s="3">
        <v>0</v>
      </c>
      <c r="G363" s="3">
        <v>4300</v>
      </c>
      <c r="H363" s="3">
        <v>-4300</v>
      </c>
      <c r="I363" t="s">
        <v>114</v>
      </c>
    </row>
    <row r="364" spans="1:9" x14ac:dyDescent="0.35">
      <c r="A364" s="2">
        <v>45322</v>
      </c>
      <c r="B364">
        <v>76</v>
      </c>
      <c r="C364">
        <v>5131016</v>
      </c>
      <c r="D364" t="s">
        <v>238</v>
      </c>
      <c r="E364" t="s">
        <v>239</v>
      </c>
      <c r="F364" s="3">
        <v>4860</v>
      </c>
      <c r="G364" s="3">
        <v>0</v>
      </c>
      <c r="H364" s="3">
        <v>4860</v>
      </c>
      <c r="I364" t="s">
        <v>144</v>
      </c>
    </row>
    <row r="365" spans="1:9" x14ac:dyDescent="0.35">
      <c r="A365" s="2">
        <v>45322</v>
      </c>
      <c r="B365">
        <v>76</v>
      </c>
      <c r="C365">
        <v>2114001</v>
      </c>
      <c r="D365" t="s">
        <v>97</v>
      </c>
      <c r="E365" t="s">
        <v>239</v>
      </c>
      <c r="F365" s="3">
        <v>0</v>
      </c>
      <c r="G365" s="3">
        <v>4860</v>
      </c>
      <c r="H365" s="3">
        <v>-4860</v>
      </c>
      <c r="I365" t="s">
        <v>144</v>
      </c>
    </row>
    <row r="366" spans="1:9" x14ac:dyDescent="0.35">
      <c r="A366" s="2">
        <v>45322</v>
      </c>
      <c r="B366">
        <v>76</v>
      </c>
      <c r="C366">
        <v>6121023</v>
      </c>
      <c r="D366" t="s">
        <v>49</v>
      </c>
      <c r="E366" t="s">
        <v>240</v>
      </c>
      <c r="F366" s="3">
        <v>520</v>
      </c>
      <c r="G366" s="3">
        <v>0</v>
      </c>
      <c r="H366" s="3">
        <v>520</v>
      </c>
      <c r="I366" t="s">
        <v>144</v>
      </c>
    </row>
    <row r="367" spans="1:9" x14ac:dyDescent="0.35">
      <c r="A367" s="2">
        <v>45322</v>
      </c>
      <c r="B367">
        <v>76</v>
      </c>
      <c r="C367">
        <v>2114001</v>
      </c>
      <c r="D367" t="s">
        <v>97</v>
      </c>
      <c r="E367" t="s">
        <v>240</v>
      </c>
      <c r="F367" s="3">
        <v>0</v>
      </c>
      <c r="G367" s="3">
        <v>520</v>
      </c>
      <c r="H367" s="3">
        <v>-520</v>
      </c>
      <c r="I367" t="s">
        <v>144</v>
      </c>
    </row>
    <row r="368" spans="1:9" x14ac:dyDescent="0.35">
      <c r="A368" s="2">
        <v>45322</v>
      </c>
      <c r="B368">
        <v>76</v>
      </c>
      <c r="C368">
        <v>2121001</v>
      </c>
      <c r="D368" t="s">
        <v>27</v>
      </c>
      <c r="E368" t="s">
        <v>82</v>
      </c>
      <c r="F368" s="3">
        <v>15231.11</v>
      </c>
      <c r="G368" s="3">
        <v>0</v>
      </c>
      <c r="H368" s="3">
        <v>15231.11</v>
      </c>
      <c r="I368" t="s">
        <v>82</v>
      </c>
    </row>
    <row r="369" spans="1:9" x14ac:dyDescent="0.35">
      <c r="A369" s="2">
        <v>45322</v>
      </c>
      <c r="B369">
        <v>76</v>
      </c>
      <c r="C369">
        <v>1141001</v>
      </c>
      <c r="D369" t="s">
        <v>153</v>
      </c>
      <c r="E369" t="s">
        <v>82</v>
      </c>
      <c r="F369" s="3">
        <v>0</v>
      </c>
      <c r="G369" s="3">
        <v>1908.43</v>
      </c>
      <c r="H369" s="3">
        <v>-1908.43</v>
      </c>
      <c r="I369" t="s">
        <v>82</v>
      </c>
    </row>
    <row r="370" spans="1:9" x14ac:dyDescent="0.35">
      <c r="A370" s="2">
        <v>45322</v>
      </c>
      <c r="B370">
        <v>76</v>
      </c>
      <c r="C370">
        <v>1141002</v>
      </c>
      <c r="D370" t="s">
        <v>23</v>
      </c>
      <c r="E370" t="s">
        <v>82</v>
      </c>
      <c r="F370" s="3">
        <v>0</v>
      </c>
      <c r="G370" s="3">
        <v>865.1</v>
      </c>
      <c r="H370" s="3">
        <v>-865.1</v>
      </c>
      <c r="I370" t="s">
        <v>82</v>
      </c>
    </row>
    <row r="371" spans="1:9" x14ac:dyDescent="0.35">
      <c r="A371" s="2">
        <v>45322</v>
      </c>
      <c r="B371">
        <v>76</v>
      </c>
      <c r="C371">
        <v>2121003</v>
      </c>
      <c r="D371" t="s">
        <v>28</v>
      </c>
      <c r="E371" t="s">
        <v>82</v>
      </c>
      <c r="F371" s="3">
        <v>0</v>
      </c>
      <c r="G371" s="3">
        <v>12457.58</v>
      </c>
      <c r="H371" s="3">
        <v>-12457.58</v>
      </c>
      <c r="I371" t="s">
        <v>82</v>
      </c>
    </row>
    <row r="372" spans="1:9" x14ac:dyDescent="0.35">
      <c r="A372" s="2">
        <v>45322</v>
      </c>
      <c r="B372">
        <v>76</v>
      </c>
      <c r="C372">
        <v>2114010</v>
      </c>
      <c r="D372" t="s">
        <v>48</v>
      </c>
      <c r="E372" t="s">
        <v>241</v>
      </c>
      <c r="F372" s="3">
        <v>12230.48</v>
      </c>
      <c r="G372" s="3">
        <v>0</v>
      </c>
      <c r="H372" s="3">
        <v>12230.48</v>
      </c>
      <c r="I372" t="s">
        <v>144</v>
      </c>
    </row>
    <row r="373" spans="1:9" x14ac:dyDescent="0.35">
      <c r="A373" s="2">
        <v>45322</v>
      </c>
      <c r="B373">
        <v>76</v>
      </c>
      <c r="C373">
        <v>2114001</v>
      </c>
      <c r="D373" t="s">
        <v>97</v>
      </c>
      <c r="E373" t="s">
        <v>241</v>
      </c>
      <c r="F373" s="3">
        <v>0</v>
      </c>
      <c r="G373" s="3">
        <v>12230.48</v>
      </c>
      <c r="H373" s="3">
        <v>-12230.48</v>
      </c>
      <c r="I373" t="s">
        <v>144</v>
      </c>
    </row>
    <row r="374" spans="1:9" x14ac:dyDescent="0.35">
      <c r="A374" s="2">
        <v>45322</v>
      </c>
      <c r="B374">
        <v>76</v>
      </c>
      <c r="C374">
        <v>2161001</v>
      </c>
      <c r="D374" t="s">
        <v>93</v>
      </c>
      <c r="E374" t="s">
        <v>242</v>
      </c>
      <c r="F374" s="3">
        <v>9443.85</v>
      </c>
      <c r="G374" s="3">
        <v>0</v>
      </c>
      <c r="H374" s="3">
        <v>9443.85</v>
      </c>
      <c r="I374" t="s">
        <v>144</v>
      </c>
    </row>
    <row r="375" spans="1:9" x14ac:dyDescent="0.35">
      <c r="A375" s="2">
        <v>45322</v>
      </c>
      <c r="B375">
        <v>76</v>
      </c>
      <c r="C375">
        <v>2114001</v>
      </c>
      <c r="D375" t="s">
        <v>97</v>
      </c>
      <c r="E375" t="s">
        <v>242</v>
      </c>
      <c r="F375" s="3">
        <v>0</v>
      </c>
      <c r="G375" s="3">
        <v>9443.85</v>
      </c>
      <c r="H375" s="3">
        <v>-9443.85</v>
      </c>
      <c r="I375" t="s">
        <v>144</v>
      </c>
    </row>
    <row r="376" spans="1:9" x14ac:dyDescent="0.35">
      <c r="A376" s="2">
        <v>45337</v>
      </c>
      <c r="B376">
        <v>77</v>
      </c>
      <c r="C376">
        <v>6121016</v>
      </c>
      <c r="D376" t="s">
        <v>156</v>
      </c>
      <c r="E376" t="s">
        <v>157</v>
      </c>
      <c r="F376" s="3">
        <v>501.79</v>
      </c>
      <c r="G376" s="3">
        <v>0</v>
      </c>
      <c r="H376" s="3">
        <v>501.79</v>
      </c>
      <c r="I376" t="s">
        <v>243</v>
      </c>
    </row>
    <row r="377" spans="1:9" x14ac:dyDescent="0.35">
      <c r="A377" s="2">
        <v>45337</v>
      </c>
      <c r="B377">
        <v>77</v>
      </c>
      <c r="C377">
        <v>2114010</v>
      </c>
      <c r="D377" t="s">
        <v>48</v>
      </c>
      <c r="E377" t="s">
        <v>157</v>
      </c>
      <c r="F377" s="3">
        <v>0</v>
      </c>
      <c r="G377" s="3">
        <v>501.79</v>
      </c>
      <c r="H377" s="3">
        <v>-501.79</v>
      </c>
      <c r="I377" t="s">
        <v>243</v>
      </c>
    </row>
    <row r="378" spans="1:9" x14ac:dyDescent="0.35">
      <c r="A378" s="2">
        <v>45337</v>
      </c>
      <c r="B378">
        <v>77</v>
      </c>
      <c r="C378">
        <v>6121016</v>
      </c>
      <c r="D378" t="s">
        <v>156</v>
      </c>
      <c r="E378" t="s">
        <v>157</v>
      </c>
      <c r="F378" s="3">
        <v>145</v>
      </c>
      <c r="G378" s="3">
        <v>0</v>
      </c>
      <c r="H378" s="3">
        <v>145</v>
      </c>
      <c r="I378" t="s">
        <v>244</v>
      </c>
    </row>
    <row r="379" spans="1:9" x14ac:dyDescent="0.35">
      <c r="A379" s="2">
        <v>45337</v>
      </c>
      <c r="B379">
        <v>77</v>
      </c>
      <c r="C379">
        <v>2114010</v>
      </c>
      <c r="D379" t="s">
        <v>48</v>
      </c>
      <c r="E379" t="s">
        <v>157</v>
      </c>
      <c r="F379" s="3">
        <v>0</v>
      </c>
      <c r="G379" s="3">
        <v>145</v>
      </c>
      <c r="H379" s="3">
        <v>-145</v>
      </c>
      <c r="I379" t="s">
        <v>244</v>
      </c>
    </row>
    <row r="380" spans="1:9" x14ac:dyDescent="0.35">
      <c r="A380" s="2">
        <v>45337</v>
      </c>
      <c r="B380">
        <v>77</v>
      </c>
      <c r="C380">
        <v>6121023</v>
      </c>
      <c r="D380" t="s">
        <v>49</v>
      </c>
      <c r="E380" t="s">
        <v>172</v>
      </c>
      <c r="F380" s="3">
        <v>252.21</v>
      </c>
      <c r="G380" s="3">
        <v>0</v>
      </c>
      <c r="H380" s="3">
        <v>252.21</v>
      </c>
      <c r="I380" t="s">
        <v>245</v>
      </c>
    </row>
    <row r="381" spans="1:9" x14ac:dyDescent="0.35">
      <c r="A381" s="2">
        <v>45337</v>
      </c>
      <c r="B381">
        <v>77</v>
      </c>
      <c r="C381">
        <v>2114010</v>
      </c>
      <c r="D381" t="s">
        <v>48</v>
      </c>
      <c r="E381" t="s">
        <v>172</v>
      </c>
      <c r="F381" s="3">
        <v>0</v>
      </c>
      <c r="G381" s="3">
        <v>252.21</v>
      </c>
      <c r="H381" s="3">
        <v>-252.21</v>
      </c>
      <c r="I381" t="s">
        <v>245</v>
      </c>
    </row>
    <row r="382" spans="1:9" x14ac:dyDescent="0.35">
      <c r="A382" s="2">
        <v>45337</v>
      </c>
      <c r="B382">
        <v>77</v>
      </c>
      <c r="C382">
        <v>6121023</v>
      </c>
      <c r="D382" t="s">
        <v>49</v>
      </c>
      <c r="E382" t="s">
        <v>166</v>
      </c>
      <c r="F382" s="3">
        <v>429.4</v>
      </c>
      <c r="G382" s="3">
        <v>0</v>
      </c>
      <c r="H382" s="3">
        <v>429.4</v>
      </c>
      <c r="I382" t="s">
        <v>246</v>
      </c>
    </row>
    <row r="383" spans="1:9" x14ac:dyDescent="0.35">
      <c r="A383" s="2">
        <v>45337</v>
      </c>
      <c r="B383">
        <v>77</v>
      </c>
      <c r="C383">
        <v>2114010</v>
      </c>
      <c r="D383" t="s">
        <v>48</v>
      </c>
      <c r="E383" t="s">
        <v>166</v>
      </c>
      <c r="F383" s="3">
        <v>0</v>
      </c>
      <c r="G383" s="3">
        <v>429.4</v>
      </c>
      <c r="H383" s="3">
        <v>-429.4</v>
      </c>
      <c r="I383" t="s">
        <v>246</v>
      </c>
    </row>
    <row r="384" spans="1:9" x14ac:dyDescent="0.35">
      <c r="A384" s="2">
        <v>45337</v>
      </c>
      <c r="B384">
        <v>77</v>
      </c>
      <c r="C384">
        <v>6121023</v>
      </c>
      <c r="D384" t="s">
        <v>49</v>
      </c>
      <c r="E384" t="s">
        <v>52</v>
      </c>
      <c r="F384" s="3">
        <v>2261.11</v>
      </c>
      <c r="G384" s="3">
        <v>0</v>
      </c>
      <c r="H384" s="3">
        <v>2261.11</v>
      </c>
      <c r="I384" t="s">
        <v>247</v>
      </c>
    </row>
    <row r="385" spans="1:9" x14ac:dyDescent="0.35">
      <c r="A385" s="2">
        <v>45337</v>
      </c>
      <c r="B385">
        <v>77</v>
      </c>
      <c r="C385">
        <v>2114010</v>
      </c>
      <c r="D385" t="s">
        <v>48</v>
      </c>
      <c r="E385" t="s">
        <v>52</v>
      </c>
      <c r="F385" s="3">
        <v>0</v>
      </c>
      <c r="G385" s="3">
        <v>2261.11</v>
      </c>
      <c r="H385" s="3">
        <v>-2261.11</v>
      </c>
      <c r="I385" t="s">
        <v>247</v>
      </c>
    </row>
    <row r="386" spans="1:9" x14ac:dyDescent="0.35">
      <c r="A386" s="2">
        <v>45337</v>
      </c>
      <c r="B386">
        <v>77</v>
      </c>
      <c r="C386">
        <v>6121023</v>
      </c>
      <c r="D386" t="s">
        <v>49</v>
      </c>
      <c r="E386" t="s">
        <v>172</v>
      </c>
      <c r="F386" s="3">
        <v>250.74</v>
      </c>
      <c r="G386" s="3">
        <v>0</v>
      </c>
      <c r="H386" s="3">
        <v>250.74</v>
      </c>
      <c r="I386" t="s">
        <v>248</v>
      </c>
    </row>
    <row r="387" spans="1:9" x14ac:dyDescent="0.35">
      <c r="A387" s="2">
        <v>45337</v>
      </c>
      <c r="B387">
        <v>77</v>
      </c>
      <c r="C387">
        <v>2114010</v>
      </c>
      <c r="D387" t="s">
        <v>48</v>
      </c>
      <c r="E387" t="s">
        <v>172</v>
      </c>
      <c r="F387" s="3">
        <v>0</v>
      </c>
      <c r="G387" s="3">
        <v>250.74</v>
      </c>
      <c r="H387" s="3">
        <v>-250.74</v>
      </c>
      <c r="I387" t="s">
        <v>248</v>
      </c>
    </row>
    <row r="388" spans="1:9" x14ac:dyDescent="0.35">
      <c r="A388" s="2">
        <v>45337</v>
      </c>
      <c r="B388">
        <v>77</v>
      </c>
      <c r="C388">
        <v>6121023</v>
      </c>
      <c r="D388" t="s">
        <v>49</v>
      </c>
      <c r="E388" t="s">
        <v>249</v>
      </c>
      <c r="F388" s="3">
        <v>1196.1199999999999</v>
      </c>
      <c r="G388" s="3">
        <v>0</v>
      </c>
      <c r="H388" s="3">
        <v>1196.1199999999999</v>
      </c>
      <c r="I388" t="s">
        <v>250</v>
      </c>
    </row>
    <row r="389" spans="1:9" x14ac:dyDescent="0.35">
      <c r="A389" s="2">
        <v>45337</v>
      </c>
      <c r="B389">
        <v>77</v>
      </c>
      <c r="C389">
        <v>2114010</v>
      </c>
      <c r="D389" t="s">
        <v>48</v>
      </c>
      <c r="E389" t="s">
        <v>249</v>
      </c>
      <c r="F389" s="3">
        <v>0</v>
      </c>
      <c r="G389" s="3">
        <v>1196.1199999999999</v>
      </c>
      <c r="H389" s="3">
        <v>-1196.1199999999999</v>
      </c>
      <c r="I389" t="s">
        <v>250</v>
      </c>
    </row>
    <row r="390" spans="1:9" x14ac:dyDescent="0.35">
      <c r="A390" s="2">
        <v>45337</v>
      </c>
      <c r="B390">
        <v>77</v>
      </c>
      <c r="C390">
        <v>6121023</v>
      </c>
      <c r="D390" t="s">
        <v>49</v>
      </c>
      <c r="E390" t="s">
        <v>52</v>
      </c>
      <c r="F390" s="3">
        <v>209.98</v>
      </c>
      <c r="G390" s="3">
        <v>0</v>
      </c>
      <c r="H390" s="3">
        <v>209.98</v>
      </c>
      <c r="I390" t="s">
        <v>251</v>
      </c>
    </row>
    <row r="391" spans="1:9" x14ac:dyDescent="0.35">
      <c r="A391" s="2">
        <v>45337</v>
      </c>
      <c r="B391">
        <v>77</v>
      </c>
      <c r="C391">
        <v>2114010</v>
      </c>
      <c r="D391" t="s">
        <v>48</v>
      </c>
      <c r="E391" t="s">
        <v>52</v>
      </c>
      <c r="F391" s="3">
        <v>0</v>
      </c>
      <c r="G391" s="3">
        <v>209.98</v>
      </c>
      <c r="H391" s="3">
        <v>-209.98</v>
      </c>
      <c r="I391" t="s">
        <v>251</v>
      </c>
    </row>
    <row r="392" spans="1:9" x14ac:dyDescent="0.35">
      <c r="A392" s="2">
        <v>45337</v>
      </c>
      <c r="B392">
        <v>77</v>
      </c>
      <c r="C392">
        <v>6121023</v>
      </c>
      <c r="D392" t="s">
        <v>49</v>
      </c>
      <c r="E392" t="s">
        <v>52</v>
      </c>
      <c r="F392" s="3">
        <v>446.27</v>
      </c>
      <c r="G392" s="3">
        <v>0</v>
      </c>
      <c r="H392" s="3">
        <v>446.27</v>
      </c>
      <c r="I392" t="s">
        <v>252</v>
      </c>
    </row>
    <row r="393" spans="1:9" x14ac:dyDescent="0.35">
      <c r="A393" s="2">
        <v>45337</v>
      </c>
      <c r="B393">
        <v>77</v>
      </c>
      <c r="C393">
        <v>2114010</v>
      </c>
      <c r="D393" t="s">
        <v>48</v>
      </c>
      <c r="E393" t="s">
        <v>52</v>
      </c>
      <c r="F393" s="3">
        <v>0</v>
      </c>
      <c r="G393" s="3">
        <v>446.27</v>
      </c>
      <c r="H393" s="3">
        <v>-446.27</v>
      </c>
      <c r="I393" t="s">
        <v>252</v>
      </c>
    </row>
    <row r="394" spans="1:9" x14ac:dyDescent="0.35">
      <c r="A394" s="2">
        <v>45337</v>
      </c>
      <c r="B394">
        <v>77</v>
      </c>
      <c r="C394">
        <v>6121023</v>
      </c>
      <c r="D394" t="s">
        <v>49</v>
      </c>
      <c r="E394" t="s">
        <v>52</v>
      </c>
      <c r="F394" s="3">
        <v>72.41</v>
      </c>
      <c r="G394" s="3">
        <v>0</v>
      </c>
      <c r="H394" s="3">
        <v>72.41</v>
      </c>
      <c r="I394" t="s">
        <v>253</v>
      </c>
    </row>
    <row r="395" spans="1:9" x14ac:dyDescent="0.35">
      <c r="A395" s="2">
        <v>45337</v>
      </c>
      <c r="B395">
        <v>77</v>
      </c>
      <c r="C395">
        <v>2114010</v>
      </c>
      <c r="D395" t="s">
        <v>48</v>
      </c>
      <c r="E395" t="s">
        <v>52</v>
      </c>
      <c r="F395" s="3">
        <v>0</v>
      </c>
      <c r="G395" s="3">
        <v>72.41</v>
      </c>
      <c r="H395" s="3">
        <v>-72.41</v>
      </c>
      <c r="I395" t="s">
        <v>253</v>
      </c>
    </row>
    <row r="396" spans="1:9" x14ac:dyDescent="0.35">
      <c r="A396" s="2">
        <v>45337</v>
      </c>
      <c r="B396">
        <v>77</v>
      </c>
      <c r="C396">
        <v>6121023</v>
      </c>
      <c r="D396" t="s">
        <v>49</v>
      </c>
      <c r="E396" t="s">
        <v>172</v>
      </c>
      <c r="F396" s="3">
        <v>83.83</v>
      </c>
      <c r="G396" s="3">
        <v>0</v>
      </c>
      <c r="H396" s="3">
        <v>83.83</v>
      </c>
      <c r="I396" t="s">
        <v>254</v>
      </c>
    </row>
    <row r="397" spans="1:9" x14ac:dyDescent="0.35">
      <c r="A397" s="2">
        <v>45337</v>
      </c>
      <c r="B397">
        <v>77</v>
      </c>
      <c r="C397">
        <v>2114010</v>
      </c>
      <c r="D397" t="s">
        <v>48</v>
      </c>
      <c r="E397" t="s">
        <v>172</v>
      </c>
      <c r="F397" s="3">
        <v>0</v>
      </c>
      <c r="G397" s="3">
        <v>83.83</v>
      </c>
      <c r="H397" s="3">
        <v>-83.83</v>
      </c>
      <c r="I397" t="s">
        <v>254</v>
      </c>
    </row>
    <row r="398" spans="1:9" x14ac:dyDescent="0.35">
      <c r="A398" s="2">
        <v>45337</v>
      </c>
      <c r="B398">
        <v>77</v>
      </c>
      <c r="C398">
        <v>6121023</v>
      </c>
      <c r="D398" t="s">
        <v>49</v>
      </c>
      <c r="E398" t="s">
        <v>159</v>
      </c>
      <c r="F398" s="3">
        <v>254.04</v>
      </c>
      <c r="G398" s="3">
        <v>0</v>
      </c>
      <c r="H398" s="3">
        <v>254.04</v>
      </c>
      <c r="I398" t="s">
        <v>255</v>
      </c>
    </row>
    <row r="399" spans="1:9" x14ac:dyDescent="0.35">
      <c r="A399" s="2">
        <v>45337</v>
      </c>
      <c r="B399">
        <v>77</v>
      </c>
      <c r="C399">
        <v>2114010</v>
      </c>
      <c r="D399" t="s">
        <v>48</v>
      </c>
      <c r="E399" t="s">
        <v>159</v>
      </c>
      <c r="F399" s="3">
        <v>0</v>
      </c>
      <c r="G399" s="3">
        <v>254.04</v>
      </c>
      <c r="H399" s="3">
        <v>-254.04</v>
      </c>
      <c r="I399" t="s">
        <v>255</v>
      </c>
    </row>
    <row r="400" spans="1:9" x14ac:dyDescent="0.35">
      <c r="A400" s="2">
        <v>45337</v>
      </c>
      <c r="B400">
        <v>77</v>
      </c>
      <c r="C400">
        <v>6121023</v>
      </c>
      <c r="D400" t="s">
        <v>49</v>
      </c>
      <c r="E400" t="s">
        <v>52</v>
      </c>
      <c r="F400" s="3">
        <v>390.6</v>
      </c>
      <c r="G400" s="3">
        <v>0</v>
      </c>
      <c r="H400" s="3">
        <v>390.6</v>
      </c>
      <c r="I400" t="s">
        <v>256</v>
      </c>
    </row>
    <row r="401" spans="1:9" x14ac:dyDescent="0.35">
      <c r="A401" s="2">
        <v>45337</v>
      </c>
      <c r="B401">
        <v>77</v>
      </c>
      <c r="C401">
        <v>2114010</v>
      </c>
      <c r="D401" t="s">
        <v>48</v>
      </c>
      <c r="E401" t="s">
        <v>52</v>
      </c>
      <c r="F401" s="3">
        <v>0</v>
      </c>
      <c r="G401" s="3">
        <v>390.6</v>
      </c>
      <c r="H401" s="3">
        <v>-390.6</v>
      </c>
      <c r="I401" t="s">
        <v>256</v>
      </c>
    </row>
    <row r="402" spans="1:9" x14ac:dyDescent="0.35">
      <c r="A402" s="2">
        <v>45337</v>
      </c>
      <c r="B402">
        <v>77</v>
      </c>
      <c r="C402">
        <v>6121027</v>
      </c>
      <c r="D402" t="s">
        <v>45</v>
      </c>
      <c r="E402" t="s">
        <v>257</v>
      </c>
      <c r="F402" s="3">
        <v>611.85</v>
      </c>
      <c r="G402" s="3">
        <v>0</v>
      </c>
      <c r="H402" s="3">
        <v>611.85</v>
      </c>
      <c r="I402" t="s">
        <v>258</v>
      </c>
    </row>
    <row r="403" spans="1:9" x14ac:dyDescent="0.35">
      <c r="A403" s="2">
        <v>45337</v>
      </c>
      <c r="B403">
        <v>77</v>
      </c>
      <c r="C403">
        <v>2114010</v>
      </c>
      <c r="D403" t="s">
        <v>48</v>
      </c>
      <c r="E403" t="s">
        <v>257</v>
      </c>
      <c r="F403" s="3">
        <v>0</v>
      </c>
      <c r="G403" s="3">
        <v>611.85</v>
      </c>
      <c r="H403" s="3">
        <v>-611.85</v>
      </c>
      <c r="I403" t="s">
        <v>258</v>
      </c>
    </row>
    <row r="404" spans="1:9" x14ac:dyDescent="0.35">
      <c r="A404" s="2">
        <v>45337</v>
      </c>
      <c r="B404">
        <v>77</v>
      </c>
      <c r="C404">
        <v>6121023</v>
      </c>
      <c r="D404" t="s">
        <v>49</v>
      </c>
      <c r="E404" t="s">
        <v>166</v>
      </c>
      <c r="F404" s="3">
        <v>710.49</v>
      </c>
      <c r="G404" s="3">
        <v>0</v>
      </c>
      <c r="H404" s="3">
        <v>710.49</v>
      </c>
      <c r="I404" t="s">
        <v>259</v>
      </c>
    </row>
    <row r="405" spans="1:9" x14ac:dyDescent="0.35">
      <c r="A405" s="2">
        <v>45337</v>
      </c>
      <c r="B405">
        <v>77</v>
      </c>
      <c r="C405">
        <v>2114010</v>
      </c>
      <c r="D405" t="s">
        <v>48</v>
      </c>
      <c r="E405" t="s">
        <v>166</v>
      </c>
      <c r="F405" s="3">
        <v>0</v>
      </c>
      <c r="G405" s="3">
        <v>710.49</v>
      </c>
      <c r="H405" s="3">
        <v>-710.49</v>
      </c>
      <c r="I405" t="s">
        <v>259</v>
      </c>
    </row>
    <row r="406" spans="1:9" x14ac:dyDescent="0.35">
      <c r="A406" s="2">
        <v>45337</v>
      </c>
      <c r="B406">
        <v>77</v>
      </c>
      <c r="C406">
        <v>4112003</v>
      </c>
      <c r="D406" t="s">
        <v>58</v>
      </c>
      <c r="E406" t="s">
        <v>59</v>
      </c>
      <c r="F406" s="3">
        <v>0</v>
      </c>
      <c r="G406" s="3">
        <v>5888.66</v>
      </c>
      <c r="H406" s="3">
        <v>-5888.66</v>
      </c>
      <c r="I406" t="s">
        <v>260</v>
      </c>
    </row>
    <row r="407" spans="1:9" x14ac:dyDescent="0.35">
      <c r="A407" s="2">
        <v>45337</v>
      </c>
      <c r="B407">
        <v>77</v>
      </c>
      <c r="C407">
        <v>2121001</v>
      </c>
      <c r="D407" t="s">
        <v>27</v>
      </c>
      <c r="E407" t="s">
        <v>59</v>
      </c>
      <c r="F407" s="3">
        <v>0</v>
      </c>
      <c r="G407" s="3">
        <v>942.19</v>
      </c>
      <c r="H407" s="3">
        <v>-942.19</v>
      </c>
      <c r="I407" t="s">
        <v>260</v>
      </c>
    </row>
    <row r="408" spans="1:9" x14ac:dyDescent="0.35">
      <c r="A408" s="2">
        <v>45337</v>
      </c>
      <c r="B408">
        <v>77</v>
      </c>
      <c r="C408">
        <v>1111001</v>
      </c>
      <c r="D408" t="s">
        <v>16</v>
      </c>
      <c r="E408" t="s">
        <v>59</v>
      </c>
      <c r="F408" s="3">
        <v>6830.85</v>
      </c>
      <c r="G408" s="3">
        <v>0</v>
      </c>
      <c r="H408" s="3">
        <v>6830.85</v>
      </c>
      <c r="I408" t="s">
        <v>260</v>
      </c>
    </row>
    <row r="409" spans="1:9" x14ac:dyDescent="0.35">
      <c r="A409" s="2">
        <v>45337</v>
      </c>
      <c r="B409">
        <v>77</v>
      </c>
      <c r="C409">
        <v>4112003</v>
      </c>
      <c r="D409" t="s">
        <v>58</v>
      </c>
      <c r="E409" t="s">
        <v>59</v>
      </c>
      <c r="F409" s="3">
        <v>0</v>
      </c>
      <c r="G409" s="3">
        <v>6052.6</v>
      </c>
      <c r="H409" s="3">
        <v>-6052.6</v>
      </c>
      <c r="I409" t="s">
        <v>261</v>
      </c>
    </row>
    <row r="410" spans="1:9" x14ac:dyDescent="0.35">
      <c r="A410" s="2">
        <v>45337</v>
      </c>
      <c r="B410">
        <v>77</v>
      </c>
      <c r="C410">
        <v>2121001</v>
      </c>
      <c r="D410" t="s">
        <v>27</v>
      </c>
      <c r="E410" t="s">
        <v>59</v>
      </c>
      <c r="F410" s="3">
        <v>0</v>
      </c>
      <c r="G410" s="3">
        <v>968.42</v>
      </c>
      <c r="H410" s="3">
        <v>-968.42</v>
      </c>
      <c r="I410" t="s">
        <v>261</v>
      </c>
    </row>
    <row r="411" spans="1:9" x14ac:dyDescent="0.35">
      <c r="A411" s="2">
        <v>45337</v>
      </c>
      <c r="B411">
        <v>77</v>
      </c>
      <c r="C411">
        <v>1111001</v>
      </c>
      <c r="D411" t="s">
        <v>16</v>
      </c>
      <c r="E411" t="s">
        <v>59</v>
      </c>
      <c r="F411" s="3">
        <v>7021.02</v>
      </c>
      <c r="G411" s="3">
        <v>0</v>
      </c>
      <c r="H411" s="3">
        <v>7021.02</v>
      </c>
      <c r="I411" t="s">
        <v>261</v>
      </c>
    </row>
    <row r="412" spans="1:9" x14ac:dyDescent="0.35">
      <c r="A412" s="2">
        <v>45337</v>
      </c>
      <c r="B412">
        <v>77</v>
      </c>
      <c r="C412">
        <v>4112003</v>
      </c>
      <c r="D412" t="s">
        <v>58</v>
      </c>
      <c r="E412" t="s">
        <v>59</v>
      </c>
      <c r="F412" s="3">
        <v>0</v>
      </c>
      <c r="G412" s="3">
        <v>7509.25</v>
      </c>
      <c r="H412" s="3">
        <v>-7509.25</v>
      </c>
      <c r="I412" t="s">
        <v>262</v>
      </c>
    </row>
    <row r="413" spans="1:9" x14ac:dyDescent="0.35">
      <c r="A413" s="2">
        <v>45337</v>
      </c>
      <c r="B413">
        <v>77</v>
      </c>
      <c r="C413">
        <v>2121001</v>
      </c>
      <c r="D413" t="s">
        <v>27</v>
      </c>
      <c r="E413" t="s">
        <v>59</v>
      </c>
      <c r="F413" s="3">
        <v>0</v>
      </c>
      <c r="G413" s="3">
        <v>1201.48</v>
      </c>
      <c r="H413" s="3">
        <v>-1201.48</v>
      </c>
      <c r="I413" t="s">
        <v>262</v>
      </c>
    </row>
    <row r="414" spans="1:9" x14ac:dyDescent="0.35">
      <c r="A414" s="2">
        <v>45337</v>
      </c>
      <c r="B414">
        <v>77</v>
      </c>
      <c r="C414">
        <v>1111001</v>
      </c>
      <c r="D414" t="s">
        <v>16</v>
      </c>
      <c r="E414" t="s">
        <v>59</v>
      </c>
      <c r="F414" s="3">
        <v>8710.73</v>
      </c>
      <c r="G414" s="3">
        <v>0</v>
      </c>
      <c r="H414" s="3">
        <v>8710.73</v>
      </c>
      <c r="I414" t="s">
        <v>262</v>
      </c>
    </row>
    <row r="415" spans="1:9" x14ac:dyDescent="0.35">
      <c r="A415" s="2">
        <v>45337</v>
      </c>
      <c r="B415">
        <v>77</v>
      </c>
      <c r="C415">
        <v>4112003</v>
      </c>
      <c r="D415" t="s">
        <v>58</v>
      </c>
      <c r="E415" t="s">
        <v>59</v>
      </c>
      <c r="F415" s="3">
        <v>0</v>
      </c>
      <c r="G415" s="3">
        <v>3250.18</v>
      </c>
      <c r="H415" s="3">
        <v>-3250.18</v>
      </c>
      <c r="I415" t="s">
        <v>263</v>
      </c>
    </row>
    <row r="416" spans="1:9" x14ac:dyDescent="0.35">
      <c r="A416" s="2">
        <v>45337</v>
      </c>
      <c r="B416">
        <v>77</v>
      </c>
      <c r="C416">
        <v>2121001</v>
      </c>
      <c r="D416" t="s">
        <v>27</v>
      </c>
      <c r="E416" t="s">
        <v>59</v>
      </c>
      <c r="F416" s="3">
        <v>0</v>
      </c>
      <c r="G416" s="3">
        <v>520.03</v>
      </c>
      <c r="H416" s="3">
        <v>-520.03</v>
      </c>
      <c r="I416" t="s">
        <v>263</v>
      </c>
    </row>
    <row r="417" spans="1:9" x14ac:dyDescent="0.35">
      <c r="A417" s="2">
        <v>45337</v>
      </c>
      <c r="B417">
        <v>77</v>
      </c>
      <c r="C417">
        <v>1111001</v>
      </c>
      <c r="D417" t="s">
        <v>16</v>
      </c>
      <c r="E417" t="s">
        <v>59</v>
      </c>
      <c r="F417" s="3">
        <v>3770.21</v>
      </c>
      <c r="G417" s="3">
        <v>0</v>
      </c>
      <c r="H417" s="3">
        <v>3770.21</v>
      </c>
      <c r="I417" t="s">
        <v>263</v>
      </c>
    </row>
    <row r="418" spans="1:9" x14ac:dyDescent="0.35">
      <c r="A418" s="2">
        <v>45337</v>
      </c>
      <c r="B418">
        <v>77</v>
      </c>
      <c r="C418">
        <v>4112003</v>
      </c>
      <c r="D418" t="s">
        <v>58</v>
      </c>
      <c r="E418" t="s">
        <v>59</v>
      </c>
      <c r="F418" s="3">
        <v>0</v>
      </c>
      <c r="G418" s="3">
        <v>4268.0200000000004</v>
      </c>
      <c r="H418" s="3">
        <v>-4268.0200000000004</v>
      </c>
      <c r="I418" t="s">
        <v>264</v>
      </c>
    </row>
    <row r="419" spans="1:9" x14ac:dyDescent="0.35">
      <c r="A419" s="2">
        <v>45337</v>
      </c>
      <c r="B419">
        <v>77</v>
      </c>
      <c r="C419">
        <v>2121001</v>
      </c>
      <c r="D419" t="s">
        <v>27</v>
      </c>
      <c r="E419" t="s">
        <v>59</v>
      </c>
      <c r="F419" s="3">
        <v>0</v>
      </c>
      <c r="G419" s="3">
        <v>682.88</v>
      </c>
      <c r="H419" s="3">
        <v>-682.88</v>
      </c>
      <c r="I419" t="s">
        <v>264</v>
      </c>
    </row>
    <row r="420" spans="1:9" x14ac:dyDescent="0.35">
      <c r="A420" s="2">
        <v>45337</v>
      </c>
      <c r="B420">
        <v>77</v>
      </c>
      <c r="C420">
        <v>1111001</v>
      </c>
      <c r="D420" t="s">
        <v>16</v>
      </c>
      <c r="E420" t="s">
        <v>59</v>
      </c>
      <c r="F420" s="3">
        <v>4950.8999999999996</v>
      </c>
      <c r="G420" s="3">
        <v>0</v>
      </c>
      <c r="H420" s="3">
        <v>4950.8999999999996</v>
      </c>
      <c r="I420" t="s">
        <v>264</v>
      </c>
    </row>
    <row r="421" spans="1:9" x14ac:dyDescent="0.35">
      <c r="A421" s="2">
        <v>45337</v>
      </c>
      <c r="B421">
        <v>77</v>
      </c>
      <c r="C421">
        <v>4112003</v>
      </c>
      <c r="D421" t="s">
        <v>58</v>
      </c>
      <c r="E421" t="s">
        <v>59</v>
      </c>
      <c r="F421" s="3">
        <v>0</v>
      </c>
      <c r="G421" s="3">
        <v>4718.13</v>
      </c>
      <c r="H421" s="3">
        <v>-4718.13</v>
      </c>
      <c r="I421" t="s">
        <v>265</v>
      </c>
    </row>
    <row r="422" spans="1:9" x14ac:dyDescent="0.35">
      <c r="A422" s="2">
        <v>45337</v>
      </c>
      <c r="B422">
        <v>77</v>
      </c>
      <c r="C422">
        <v>2121001</v>
      </c>
      <c r="D422" t="s">
        <v>27</v>
      </c>
      <c r="E422" t="s">
        <v>59</v>
      </c>
      <c r="F422" s="3">
        <v>0</v>
      </c>
      <c r="G422" s="3">
        <v>754.9</v>
      </c>
      <c r="H422" s="3">
        <v>-754.9</v>
      </c>
      <c r="I422" t="s">
        <v>265</v>
      </c>
    </row>
    <row r="423" spans="1:9" x14ac:dyDescent="0.35">
      <c r="A423" s="2">
        <v>45337</v>
      </c>
      <c r="B423">
        <v>77</v>
      </c>
      <c r="C423">
        <v>1111001</v>
      </c>
      <c r="D423" t="s">
        <v>16</v>
      </c>
      <c r="E423" t="s">
        <v>59</v>
      </c>
      <c r="F423" s="3">
        <v>5473.03</v>
      </c>
      <c r="G423" s="3">
        <v>0</v>
      </c>
      <c r="H423" s="3">
        <v>5473.03</v>
      </c>
      <c r="I423" t="s">
        <v>265</v>
      </c>
    </row>
    <row r="424" spans="1:9" x14ac:dyDescent="0.35">
      <c r="A424" s="2">
        <v>45337</v>
      </c>
      <c r="B424">
        <v>77</v>
      </c>
      <c r="C424">
        <v>4112003</v>
      </c>
      <c r="D424" t="s">
        <v>58</v>
      </c>
      <c r="E424" t="s">
        <v>59</v>
      </c>
      <c r="F424" s="3">
        <v>0</v>
      </c>
      <c r="G424" s="3">
        <v>5618.2</v>
      </c>
      <c r="H424" s="3">
        <v>-5618.2</v>
      </c>
      <c r="I424" t="s">
        <v>266</v>
      </c>
    </row>
    <row r="425" spans="1:9" x14ac:dyDescent="0.35">
      <c r="A425" s="2">
        <v>45337</v>
      </c>
      <c r="B425">
        <v>77</v>
      </c>
      <c r="C425">
        <v>2121001</v>
      </c>
      <c r="D425" t="s">
        <v>27</v>
      </c>
      <c r="E425" t="s">
        <v>59</v>
      </c>
      <c r="F425" s="3">
        <v>0</v>
      </c>
      <c r="G425" s="3">
        <v>898.91</v>
      </c>
      <c r="H425" s="3">
        <v>-898.91</v>
      </c>
      <c r="I425" t="s">
        <v>266</v>
      </c>
    </row>
    <row r="426" spans="1:9" x14ac:dyDescent="0.35">
      <c r="A426" s="2">
        <v>45337</v>
      </c>
      <c r="B426">
        <v>77</v>
      </c>
      <c r="C426">
        <v>1111001</v>
      </c>
      <c r="D426" t="s">
        <v>16</v>
      </c>
      <c r="E426" t="s">
        <v>59</v>
      </c>
      <c r="F426" s="3">
        <v>6517.11</v>
      </c>
      <c r="G426" s="3">
        <v>0</v>
      </c>
      <c r="H426" s="3">
        <v>6517.11</v>
      </c>
      <c r="I426" t="s">
        <v>266</v>
      </c>
    </row>
    <row r="427" spans="1:9" x14ac:dyDescent="0.35">
      <c r="A427" s="2">
        <v>45337</v>
      </c>
      <c r="B427">
        <v>77</v>
      </c>
      <c r="C427">
        <v>4112003</v>
      </c>
      <c r="D427" t="s">
        <v>58</v>
      </c>
      <c r="E427" t="s">
        <v>59</v>
      </c>
      <c r="F427" s="3">
        <v>0</v>
      </c>
      <c r="G427" s="3">
        <v>5897.31</v>
      </c>
      <c r="H427" s="3">
        <v>-5897.31</v>
      </c>
      <c r="I427" t="s">
        <v>267</v>
      </c>
    </row>
    <row r="428" spans="1:9" x14ac:dyDescent="0.35">
      <c r="A428" s="2">
        <v>45337</v>
      </c>
      <c r="B428">
        <v>77</v>
      </c>
      <c r="C428">
        <v>2121001</v>
      </c>
      <c r="D428" t="s">
        <v>27</v>
      </c>
      <c r="E428" t="s">
        <v>59</v>
      </c>
      <c r="F428" s="3">
        <v>0</v>
      </c>
      <c r="G428" s="3">
        <v>943.57</v>
      </c>
      <c r="H428" s="3">
        <v>-943.57</v>
      </c>
      <c r="I428" t="s">
        <v>267</v>
      </c>
    </row>
    <row r="429" spans="1:9" x14ac:dyDescent="0.35">
      <c r="A429" s="2">
        <v>45337</v>
      </c>
      <c r="B429">
        <v>77</v>
      </c>
      <c r="C429">
        <v>1111001</v>
      </c>
      <c r="D429" t="s">
        <v>16</v>
      </c>
      <c r="E429" t="s">
        <v>59</v>
      </c>
      <c r="F429" s="3">
        <v>6840.88</v>
      </c>
      <c r="G429" s="3">
        <v>0</v>
      </c>
      <c r="H429" s="3">
        <v>6840.88</v>
      </c>
      <c r="I429" t="s">
        <v>267</v>
      </c>
    </row>
    <row r="430" spans="1:9" x14ac:dyDescent="0.35">
      <c r="A430" s="2">
        <v>45337</v>
      </c>
      <c r="B430">
        <v>77</v>
      </c>
      <c r="C430">
        <v>4112003</v>
      </c>
      <c r="D430" t="s">
        <v>58</v>
      </c>
      <c r="E430" t="s">
        <v>59</v>
      </c>
      <c r="F430" s="3">
        <v>0</v>
      </c>
      <c r="G430" s="3">
        <v>4780.96</v>
      </c>
      <c r="H430" s="3">
        <v>-4780.96</v>
      </c>
      <c r="I430" t="s">
        <v>268</v>
      </c>
    </row>
    <row r="431" spans="1:9" x14ac:dyDescent="0.35">
      <c r="A431" s="2">
        <v>45337</v>
      </c>
      <c r="B431">
        <v>77</v>
      </c>
      <c r="C431">
        <v>2121001</v>
      </c>
      <c r="D431" t="s">
        <v>27</v>
      </c>
      <c r="E431" t="s">
        <v>59</v>
      </c>
      <c r="F431" s="3">
        <v>0</v>
      </c>
      <c r="G431" s="3">
        <v>764.95</v>
      </c>
      <c r="H431" s="3">
        <v>-764.95</v>
      </c>
      <c r="I431" t="s">
        <v>268</v>
      </c>
    </row>
    <row r="432" spans="1:9" x14ac:dyDescent="0.35">
      <c r="A432" s="2">
        <v>45337</v>
      </c>
      <c r="B432">
        <v>77</v>
      </c>
      <c r="C432">
        <v>1111001</v>
      </c>
      <c r="D432" t="s">
        <v>16</v>
      </c>
      <c r="E432" t="s">
        <v>59</v>
      </c>
      <c r="F432" s="3">
        <v>5545.91</v>
      </c>
      <c r="G432" s="3">
        <v>0</v>
      </c>
      <c r="H432" s="3">
        <v>5545.91</v>
      </c>
      <c r="I432" t="s">
        <v>268</v>
      </c>
    </row>
    <row r="433" spans="1:9" x14ac:dyDescent="0.35">
      <c r="A433" s="2">
        <v>45337</v>
      </c>
      <c r="B433">
        <v>77</v>
      </c>
      <c r="C433">
        <v>4112003</v>
      </c>
      <c r="D433" t="s">
        <v>58</v>
      </c>
      <c r="E433" t="s">
        <v>59</v>
      </c>
      <c r="F433" s="3">
        <v>0</v>
      </c>
      <c r="G433" s="3">
        <v>2327.86</v>
      </c>
      <c r="H433" s="3">
        <v>-2327.86</v>
      </c>
      <c r="I433" t="s">
        <v>269</v>
      </c>
    </row>
    <row r="434" spans="1:9" x14ac:dyDescent="0.35">
      <c r="A434" s="2">
        <v>45337</v>
      </c>
      <c r="B434">
        <v>77</v>
      </c>
      <c r="C434">
        <v>2121001</v>
      </c>
      <c r="D434" t="s">
        <v>27</v>
      </c>
      <c r="E434" t="s">
        <v>59</v>
      </c>
      <c r="F434" s="3">
        <v>0</v>
      </c>
      <c r="G434" s="3">
        <v>372.46</v>
      </c>
      <c r="H434" s="3">
        <v>-372.46</v>
      </c>
      <c r="I434" t="s">
        <v>269</v>
      </c>
    </row>
    <row r="435" spans="1:9" x14ac:dyDescent="0.35">
      <c r="A435" s="2">
        <v>45337</v>
      </c>
      <c r="B435">
        <v>77</v>
      </c>
      <c r="C435">
        <v>1111001</v>
      </c>
      <c r="D435" t="s">
        <v>16</v>
      </c>
      <c r="E435" t="s">
        <v>59</v>
      </c>
      <c r="F435" s="3">
        <v>2700.32</v>
      </c>
      <c r="G435" s="3">
        <v>0</v>
      </c>
      <c r="H435" s="3">
        <v>2700.32</v>
      </c>
      <c r="I435" t="s">
        <v>269</v>
      </c>
    </row>
    <row r="436" spans="1:9" x14ac:dyDescent="0.35">
      <c r="A436" s="2">
        <v>45337</v>
      </c>
      <c r="B436">
        <v>77</v>
      </c>
      <c r="C436">
        <v>4112003</v>
      </c>
      <c r="D436" t="s">
        <v>58</v>
      </c>
      <c r="E436" t="s">
        <v>59</v>
      </c>
      <c r="F436" s="3">
        <v>0</v>
      </c>
      <c r="G436" s="3">
        <v>931.09</v>
      </c>
      <c r="H436" s="3">
        <v>-931.09</v>
      </c>
      <c r="I436" t="s">
        <v>270</v>
      </c>
    </row>
    <row r="437" spans="1:9" x14ac:dyDescent="0.35">
      <c r="A437" s="2">
        <v>45337</v>
      </c>
      <c r="B437">
        <v>77</v>
      </c>
      <c r="C437">
        <v>2121001</v>
      </c>
      <c r="D437" t="s">
        <v>27</v>
      </c>
      <c r="E437" t="s">
        <v>59</v>
      </c>
      <c r="F437" s="3">
        <v>0</v>
      </c>
      <c r="G437" s="3">
        <v>148.97</v>
      </c>
      <c r="H437" s="3">
        <v>-148.97</v>
      </c>
      <c r="I437" t="s">
        <v>270</v>
      </c>
    </row>
    <row r="438" spans="1:9" x14ac:dyDescent="0.35">
      <c r="A438" s="2">
        <v>45337</v>
      </c>
      <c r="B438">
        <v>77</v>
      </c>
      <c r="C438">
        <v>1111001</v>
      </c>
      <c r="D438" t="s">
        <v>16</v>
      </c>
      <c r="E438" t="s">
        <v>59</v>
      </c>
      <c r="F438" s="3">
        <v>1080.06</v>
      </c>
      <c r="G438" s="3">
        <v>0</v>
      </c>
      <c r="H438" s="3">
        <v>1080.06</v>
      </c>
      <c r="I438" t="s">
        <v>270</v>
      </c>
    </row>
    <row r="439" spans="1:9" x14ac:dyDescent="0.35">
      <c r="A439" s="2">
        <v>45337</v>
      </c>
      <c r="B439">
        <v>77</v>
      </c>
      <c r="C439">
        <v>4112003</v>
      </c>
      <c r="D439" t="s">
        <v>58</v>
      </c>
      <c r="E439" t="s">
        <v>59</v>
      </c>
      <c r="F439" s="3">
        <v>0</v>
      </c>
      <c r="G439" s="3">
        <v>853.54</v>
      </c>
      <c r="H439" s="3">
        <v>-853.54</v>
      </c>
      <c r="I439" t="s">
        <v>271</v>
      </c>
    </row>
    <row r="440" spans="1:9" x14ac:dyDescent="0.35">
      <c r="A440" s="2">
        <v>45337</v>
      </c>
      <c r="B440">
        <v>77</v>
      </c>
      <c r="C440">
        <v>2121001</v>
      </c>
      <c r="D440" t="s">
        <v>27</v>
      </c>
      <c r="E440" t="s">
        <v>59</v>
      </c>
      <c r="F440" s="3">
        <v>0</v>
      </c>
      <c r="G440" s="3">
        <v>136.57</v>
      </c>
      <c r="H440" s="3">
        <v>-136.57</v>
      </c>
      <c r="I440" t="s">
        <v>271</v>
      </c>
    </row>
    <row r="441" spans="1:9" x14ac:dyDescent="0.35">
      <c r="A441" s="2">
        <v>45337</v>
      </c>
      <c r="B441">
        <v>77</v>
      </c>
      <c r="C441">
        <v>1111001</v>
      </c>
      <c r="D441" t="s">
        <v>16</v>
      </c>
      <c r="E441" t="s">
        <v>59</v>
      </c>
      <c r="F441" s="3">
        <v>990.11</v>
      </c>
      <c r="G441" s="3">
        <v>0</v>
      </c>
      <c r="H441" s="3">
        <v>990.11</v>
      </c>
      <c r="I441" t="s">
        <v>271</v>
      </c>
    </row>
    <row r="442" spans="1:9" x14ac:dyDescent="0.35">
      <c r="A442" s="2">
        <v>45337</v>
      </c>
      <c r="B442">
        <v>77</v>
      </c>
      <c r="C442">
        <v>4112003</v>
      </c>
      <c r="D442" t="s">
        <v>58</v>
      </c>
      <c r="E442" t="s">
        <v>59</v>
      </c>
      <c r="F442" s="3">
        <v>0</v>
      </c>
      <c r="G442" s="3">
        <v>1319.16</v>
      </c>
      <c r="H442" s="3">
        <v>-1319.16</v>
      </c>
      <c r="I442" t="s">
        <v>272</v>
      </c>
    </row>
    <row r="443" spans="1:9" x14ac:dyDescent="0.35">
      <c r="A443" s="2">
        <v>45337</v>
      </c>
      <c r="B443">
        <v>77</v>
      </c>
      <c r="C443">
        <v>2121001</v>
      </c>
      <c r="D443" t="s">
        <v>27</v>
      </c>
      <c r="E443" t="s">
        <v>59</v>
      </c>
      <c r="F443" s="3">
        <v>0</v>
      </c>
      <c r="G443" s="3">
        <v>211.07</v>
      </c>
      <c r="H443" s="3">
        <v>-211.07</v>
      </c>
      <c r="I443" t="s">
        <v>272</v>
      </c>
    </row>
    <row r="444" spans="1:9" x14ac:dyDescent="0.35">
      <c r="A444" s="2">
        <v>45337</v>
      </c>
      <c r="B444">
        <v>77</v>
      </c>
      <c r="C444">
        <v>1111001</v>
      </c>
      <c r="D444" t="s">
        <v>16</v>
      </c>
      <c r="E444" t="s">
        <v>59</v>
      </c>
      <c r="F444" s="3">
        <v>1530.23</v>
      </c>
      <c r="G444" s="3">
        <v>0</v>
      </c>
      <c r="H444" s="3">
        <v>1530.23</v>
      </c>
      <c r="I444" t="s">
        <v>272</v>
      </c>
    </row>
    <row r="445" spans="1:9" x14ac:dyDescent="0.35">
      <c r="A445" s="2">
        <v>45337</v>
      </c>
      <c r="B445">
        <v>77</v>
      </c>
      <c r="C445">
        <v>4112003</v>
      </c>
      <c r="D445" t="s">
        <v>58</v>
      </c>
      <c r="E445" t="s">
        <v>59</v>
      </c>
      <c r="F445" s="3">
        <v>0</v>
      </c>
      <c r="G445" s="3">
        <v>6689.69</v>
      </c>
      <c r="H445" s="3">
        <v>-6689.69</v>
      </c>
      <c r="I445" t="s">
        <v>273</v>
      </c>
    </row>
    <row r="446" spans="1:9" x14ac:dyDescent="0.35">
      <c r="A446" s="2">
        <v>45337</v>
      </c>
      <c r="B446">
        <v>77</v>
      </c>
      <c r="C446">
        <v>2121001</v>
      </c>
      <c r="D446" t="s">
        <v>27</v>
      </c>
      <c r="E446" t="s">
        <v>59</v>
      </c>
      <c r="F446" s="3">
        <v>0</v>
      </c>
      <c r="G446" s="3">
        <v>1070.3499999999999</v>
      </c>
      <c r="H446" s="3">
        <v>-1070.3499999999999</v>
      </c>
      <c r="I446" t="s">
        <v>273</v>
      </c>
    </row>
    <row r="447" spans="1:9" x14ac:dyDescent="0.35">
      <c r="A447" s="2">
        <v>45337</v>
      </c>
      <c r="B447">
        <v>77</v>
      </c>
      <c r="C447">
        <v>1111001</v>
      </c>
      <c r="D447" t="s">
        <v>16</v>
      </c>
      <c r="E447" t="s">
        <v>59</v>
      </c>
      <c r="F447" s="3">
        <v>7760.04</v>
      </c>
      <c r="G447" s="3">
        <v>0</v>
      </c>
      <c r="H447" s="3">
        <v>7760.04</v>
      </c>
      <c r="I447" t="s">
        <v>273</v>
      </c>
    </row>
    <row r="448" spans="1:9" x14ac:dyDescent="0.35">
      <c r="A448" s="2">
        <v>45337</v>
      </c>
      <c r="B448">
        <v>77</v>
      </c>
      <c r="C448">
        <v>4112003</v>
      </c>
      <c r="D448" t="s">
        <v>58</v>
      </c>
      <c r="E448" t="s">
        <v>59</v>
      </c>
      <c r="F448" s="3">
        <v>0</v>
      </c>
      <c r="G448" s="3">
        <v>5665.59</v>
      </c>
      <c r="H448" s="3">
        <v>-5665.59</v>
      </c>
      <c r="I448" t="s">
        <v>274</v>
      </c>
    </row>
    <row r="449" spans="1:9" x14ac:dyDescent="0.35">
      <c r="A449" s="2">
        <v>45337</v>
      </c>
      <c r="B449">
        <v>77</v>
      </c>
      <c r="C449">
        <v>2121001</v>
      </c>
      <c r="D449" t="s">
        <v>27</v>
      </c>
      <c r="E449" t="s">
        <v>59</v>
      </c>
      <c r="F449" s="3">
        <v>0</v>
      </c>
      <c r="G449" s="3">
        <v>906.49</v>
      </c>
      <c r="H449" s="3">
        <v>-906.49</v>
      </c>
      <c r="I449" t="s">
        <v>274</v>
      </c>
    </row>
    <row r="450" spans="1:9" x14ac:dyDescent="0.35">
      <c r="A450" s="2">
        <v>45337</v>
      </c>
      <c r="B450">
        <v>77</v>
      </c>
      <c r="C450">
        <v>1111001</v>
      </c>
      <c r="D450" t="s">
        <v>16</v>
      </c>
      <c r="E450" t="s">
        <v>59</v>
      </c>
      <c r="F450" s="3">
        <v>6572.08</v>
      </c>
      <c r="G450" s="3">
        <v>0</v>
      </c>
      <c r="H450" s="3">
        <v>6572.08</v>
      </c>
      <c r="I450" t="s">
        <v>274</v>
      </c>
    </row>
    <row r="451" spans="1:9" x14ac:dyDescent="0.35">
      <c r="A451" s="2">
        <v>45337</v>
      </c>
      <c r="B451">
        <v>77</v>
      </c>
      <c r="C451">
        <v>4112004</v>
      </c>
      <c r="D451" t="s">
        <v>74</v>
      </c>
      <c r="E451" t="s">
        <v>275</v>
      </c>
      <c r="F451" s="3">
        <v>0</v>
      </c>
      <c r="G451" s="3">
        <v>1557.76</v>
      </c>
      <c r="H451" s="3">
        <v>-1557.76</v>
      </c>
      <c r="I451" t="s">
        <v>276</v>
      </c>
    </row>
    <row r="452" spans="1:9" x14ac:dyDescent="0.35">
      <c r="A452" s="2">
        <v>45337</v>
      </c>
      <c r="B452">
        <v>77</v>
      </c>
      <c r="C452">
        <v>2121001</v>
      </c>
      <c r="D452" t="s">
        <v>27</v>
      </c>
      <c r="E452" t="s">
        <v>275</v>
      </c>
      <c r="F452" s="3">
        <v>0</v>
      </c>
      <c r="G452" s="3">
        <v>249.24</v>
      </c>
      <c r="H452" s="3">
        <v>-249.24</v>
      </c>
      <c r="I452" t="s">
        <v>276</v>
      </c>
    </row>
    <row r="453" spans="1:9" x14ac:dyDescent="0.35">
      <c r="A453" s="2">
        <v>45337</v>
      </c>
      <c r="B453">
        <v>77</v>
      </c>
      <c r="C453">
        <v>1141002</v>
      </c>
      <c r="D453" t="s">
        <v>23</v>
      </c>
      <c r="E453" t="s">
        <v>275</v>
      </c>
      <c r="F453" s="3">
        <v>186.93</v>
      </c>
      <c r="G453" s="3">
        <v>0</v>
      </c>
      <c r="H453" s="3">
        <v>186.93</v>
      </c>
      <c r="I453" t="s">
        <v>276</v>
      </c>
    </row>
    <row r="454" spans="1:9" x14ac:dyDescent="0.35">
      <c r="A454" s="2">
        <v>45337</v>
      </c>
      <c r="B454">
        <v>77</v>
      </c>
      <c r="C454">
        <v>1142001</v>
      </c>
      <c r="D454" t="s">
        <v>199</v>
      </c>
      <c r="E454" t="s">
        <v>275</v>
      </c>
      <c r="F454" s="3">
        <v>31.16</v>
      </c>
      <c r="G454" s="3">
        <v>0</v>
      </c>
      <c r="H454" s="3">
        <v>31.16</v>
      </c>
      <c r="I454" t="s">
        <v>276</v>
      </c>
    </row>
    <row r="455" spans="1:9" x14ac:dyDescent="0.35">
      <c r="A455" s="2">
        <v>45337</v>
      </c>
      <c r="B455">
        <v>77</v>
      </c>
      <c r="C455">
        <v>1111001</v>
      </c>
      <c r="D455" t="s">
        <v>16</v>
      </c>
      <c r="E455" t="s">
        <v>275</v>
      </c>
      <c r="F455" s="3">
        <v>1588.91</v>
      </c>
      <c r="G455" s="3">
        <v>0</v>
      </c>
      <c r="H455" s="3">
        <v>1588.91</v>
      </c>
      <c r="I455" t="s">
        <v>276</v>
      </c>
    </row>
    <row r="456" spans="1:9" x14ac:dyDescent="0.35">
      <c r="A456" s="2">
        <v>45337</v>
      </c>
      <c r="B456">
        <v>77</v>
      </c>
      <c r="C456">
        <v>4112004</v>
      </c>
      <c r="D456" t="s">
        <v>74</v>
      </c>
      <c r="E456" t="s">
        <v>197</v>
      </c>
      <c r="F456" s="3">
        <v>0</v>
      </c>
      <c r="G456" s="3">
        <v>21865.48</v>
      </c>
      <c r="H456" s="3">
        <v>-21865.48</v>
      </c>
      <c r="I456" t="s">
        <v>277</v>
      </c>
    </row>
    <row r="457" spans="1:9" x14ac:dyDescent="0.35">
      <c r="A457" s="2">
        <v>45337</v>
      </c>
      <c r="B457">
        <v>77</v>
      </c>
      <c r="C457">
        <v>2121001</v>
      </c>
      <c r="D457" t="s">
        <v>27</v>
      </c>
      <c r="E457" t="s">
        <v>197</v>
      </c>
      <c r="F457" s="3">
        <v>0</v>
      </c>
      <c r="G457" s="3">
        <v>3498.48</v>
      </c>
      <c r="H457" s="3">
        <v>-3498.48</v>
      </c>
      <c r="I457" t="s">
        <v>277</v>
      </c>
    </row>
    <row r="458" spans="1:9" x14ac:dyDescent="0.35">
      <c r="A458" s="2">
        <v>45337</v>
      </c>
      <c r="B458">
        <v>77</v>
      </c>
      <c r="C458">
        <v>1141002</v>
      </c>
      <c r="D458" t="s">
        <v>23</v>
      </c>
      <c r="E458" t="s">
        <v>197</v>
      </c>
      <c r="F458" s="3">
        <v>2623.86</v>
      </c>
      <c r="G458" s="3">
        <v>0</v>
      </c>
      <c r="H458" s="3">
        <v>2623.86</v>
      </c>
      <c r="I458" t="s">
        <v>1438</v>
      </c>
    </row>
    <row r="459" spans="1:9" x14ac:dyDescent="0.35">
      <c r="A459" s="2">
        <v>45337</v>
      </c>
      <c r="B459">
        <v>77</v>
      </c>
      <c r="C459">
        <v>1142001</v>
      </c>
      <c r="D459" t="s">
        <v>199</v>
      </c>
      <c r="E459" t="s">
        <v>197</v>
      </c>
      <c r="F459" s="3">
        <v>437.31</v>
      </c>
      <c r="G459" s="3">
        <v>0</v>
      </c>
      <c r="H459" s="3">
        <v>437.31</v>
      </c>
      <c r="I459" t="s">
        <v>277</v>
      </c>
    </row>
    <row r="460" spans="1:9" x14ac:dyDescent="0.35">
      <c r="A460" s="2">
        <v>45337</v>
      </c>
      <c r="B460">
        <v>77</v>
      </c>
      <c r="C460">
        <v>6121040</v>
      </c>
      <c r="D460" t="s">
        <v>98</v>
      </c>
      <c r="E460" t="s">
        <v>197</v>
      </c>
      <c r="F460" s="3">
        <v>507.28</v>
      </c>
      <c r="G460" s="3">
        <v>0</v>
      </c>
      <c r="H460" s="3">
        <v>507.28</v>
      </c>
      <c r="I460" t="s">
        <v>277</v>
      </c>
    </row>
    <row r="461" spans="1:9" x14ac:dyDescent="0.35">
      <c r="A461" s="2">
        <v>45337</v>
      </c>
      <c r="B461">
        <v>77</v>
      </c>
      <c r="C461">
        <v>1111001</v>
      </c>
      <c r="D461" t="s">
        <v>16</v>
      </c>
      <c r="E461" t="s">
        <v>197</v>
      </c>
      <c r="F461" s="3">
        <v>21795.51</v>
      </c>
      <c r="G461" s="3">
        <v>0</v>
      </c>
      <c r="H461" s="3">
        <v>21795.51</v>
      </c>
      <c r="I461" t="s">
        <v>277</v>
      </c>
    </row>
    <row r="462" spans="1:9" x14ac:dyDescent="0.35">
      <c r="A462" s="2">
        <v>45337</v>
      </c>
      <c r="B462">
        <v>77</v>
      </c>
      <c r="C462">
        <v>4112004</v>
      </c>
      <c r="D462" t="s">
        <v>74</v>
      </c>
      <c r="E462" t="s">
        <v>197</v>
      </c>
      <c r="F462" s="3">
        <v>0</v>
      </c>
      <c r="G462" s="3">
        <v>6405.72</v>
      </c>
      <c r="H462" s="3">
        <v>-6405.72</v>
      </c>
      <c r="I462" t="s">
        <v>278</v>
      </c>
    </row>
    <row r="463" spans="1:9" x14ac:dyDescent="0.35">
      <c r="A463" s="2">
        <v>45337</v>
      </c>
      <c r="B463">
        <v>77</v>
      </c>
      <c r="C463">
        <v>2121001</v>
      </c>
      <c r="D463" t="s">
        <v>27</v>
      </c>
      <c r="E463" t="s">
        <v>197</v>
      </c>
      <c r="F463" s="3">
        <v>0</v>
      </c>
      <c r="G463" s="3">
        <v>1024.92</v>
      </c>
      <c r="H463" s="3">
        <v>-1024.92</v>
      </c>
      <c r="I463" t="s">
        <v>278</v>
      </c>
    </row>
    <row r="464" spans="1:9" x14ac:dyDescent="0.35">
      <c r="A464" s="2">
        <v>45337</v>
      </c>
      <c r="B464">
        <v>77</v>
      </c>
      <c r="C464">
        <v>1141002</v>
      </c>
      <c r="D464" t="s">
        <v>23</v>
      </c>
      <c r="E464" t="s">
        <v>197</v>
      </c>
      <c r="F464" s="3">
        <v>768.69</v>
      </c>
      <c r="G464" s="3">
        <v>0</v>
      </c>
      <c r="H464" s="3">
        <v>768.69</v>
      </c>
      <c r="I464" t="s">
        <v>1438</v>
      </c>
    </row>
    <row r="465" spans="1:9" x14ac:dyDescent="0.35">
      <c r="A465" s="2">
        <v>45337</v>
      </c>
      <c r="B465">
        <v>77</v>
      </c>
      <c r="C465">
        <v>1142001</v>
      </c>
      <c r="D465" t="s">
        <v>199</v>
      </c>
      <c r="E465" t="s">
        <v>197</v>
      </c>
      <c r="F465" s="3">
        <v>128.11000000000001</v>
      </c>
      <c r="G465" s="3">
        <v>0</v>
      </c>
      <c r="H465" s="3">
        <v>128.11000000000001</v>
      </c>
      <c r="I465" t="s">
        <v>278</v>
      </c>
    </row>
    <row r="466" spans="1:9" x14ac:dyDescent="0.35">
      <c r="A466" s="2">
        <v>45337</v>
      </c>
      <c r="B466">
        <v>77</v>
      </c>
      <c r="C466">
        <v>6121040</v>
      </c>
      <c r="D466" t="s">
        <v>98</v>
      </c>
      <c r="E466" t="s">
        <v>197</v>
      </c>
      <c r="F466" s="3">
        <v>148.61000000000001</v>
      </c>
      <c r="G466" s="3">
        <v>0</v>
      </c>
      <c r="H466" s="3">
        <v>148.61000000000001</v>
      </c>
      <c r="I466" t="s">
        <v>278</v>
      </c>
    </row>
    <row r="467" spans="1:9" x14ac:dyDescent="0.35">
      <c r="A467" s="2">
        <v>45337</v>
      </c>
      <c r="B467">
        <v>77</v>
      </c>
      <c r="C467">
        <v>1111001</v>
      </c>
      <c r="D467" t="s">
        <v>16</v>
      </c>
      <c r="E467" t="s">
        <v>197</v>
      </c>
      <c r="F467" s="3">
        <v>6385.23</v>
      </c>
      <c r="G467" s="3">
        <v>0</v>
      </c>
      <c r="H467" s="3">
        <v>6385.23</v>
      </c>
      <c r="I467" t="s">
        <v>278</v>
      </c>
    </row>
    <row r="468" spans="1:9" x14ac:dyDescent="0.35">
      <c r="A468" s="2">
        <v>45337</v>
      </c>
      <c r="B468">
        <v>77</v>
      </c>
      <c r="C468">
        <v>2121001</v>
      </c>
      <c r="D468" t="s">
        <v>27</v>
      </c>
      <c r="E468" t="s">
        <v>279</v>
      </c>
      <c r="F468" s="3">
        <v>15295.87</v>
      </c>
      <c r="G468" s="3">
        <v>0</v>
      </c>
      <c r="H468" s="3">
        <v>15295.87</v>
      </c>
      <c r="I468" t="s">
        <v>82</v>
      </c>
    </row>
    <row r="469" spans="1:9" x14ac:dyDescent="0.35">
      <c r="A469" s="2">
        <v>45337</v>
      </c>
      <c r="B469">
        <v>77</v>
      </c>
      <c r="C469">
        <v>1141002</v>
      </c>
      <c r="D469" t="s">
        <v>23</v>
      </c>
      <c r="E469" t="s">
        <v>279</v>
      </c>
      <c r="F469" s="3">
        <v>0</v>
      </c>
      <c r="G469" s="3">
        <v>3579.48</v>
      </c>
      <c r="H469" s="3">
        <v>-3579.48</v>
      </c>
      <c r="I469" t="s">
        <v>82</v>
      </c>
    </row>
    <row r="470" spans="1:9" x14ac:dyDescent="0.35">
      <c r="A470" s="2">
        <v>45337</v>
      </c>
      <c r="B470">
        <v>77</v>
      </c>
      <c r="C470">
        <v>2121003</v>
      </c>
      <c r="D470" t="s">
        <v>28</v>
      </c>
      <c r="E470" t="s">
        <v>279</v>
      </c>
      <c r="F470" s="3">
        <v>0</v>
      </c>
      <c r="G470" s="3">
        <v>11716.39</v>
      </c>
      <c r="H470" s="3">
        <v>-11716.39</v>
      </c>
      <c r="I470" t="s">
        <v>82</v>
      </c>
    </row>
    <row r="471" spans="1:9" x14ac:dyDescent="0.35">
      <c r="A471" s="2">
        <v>45337</v>
      </c>
      <c r="B471">
        <v>77</v>
      </c>
      <c r="C471">
        <v>1142004</v>
      </c>
      <c r="D471" t="s">
        <v>83</v>
      </c>
      <c r="E471" t="s">
        <v>84</v>
      </c>
      <c r="F471" s="3">
        <v>955.99</v>
      </c>
      <c r="G471" s="3">
        <v>0</v>
      </c>
      <c r="H471" s="3">
        <v>955.99</v>
      </c>
      <c r="I471" t="s">
        <v>85</v>
      </c>
    </row>
    <row r="472" spans="1:9" x14ac:dyDescent="0.35">
      <c r="A472" s="2">
        <v>45337</v>
      </c>
      <c r="B472">
        <v>77</v>
      </c>
      <c r="C472">
        <v>2124004</v>
      </c>
      <c r="D472" t="s">
        <v>29</v>
      </c>
      <c r="E472" t="s">
        <v>84</v>
      </c>
      <c r="F472" s="3">
        <v>0</v>
      </c>
      <c r="G472" s="3">
        <v>955.99</v>
      </c>
      <c r="H472" s="3">
        <v>-955.99</v>
      </c>
      <c r="I472" t="s">
        <v>85</v>
      </c>
    </row>
    <row r="473" spans="1:9" x14ac:dyDescent="0.35">
      <c r="A473" s="2">
        <v>45337</v>
      </c>
      <c r="B473">
        <v>77</v>
      </c>
      <c r="C473">
        <v>5131001</v>
      </c>
      <c r="D473" t="s">
        <v>86</v>
      </c>
      <c r="E473" t="s">
        <v>280</v>
      </c>
      <c r="F473" s="3">
        <v>390</v>
      </c>
      <c r="G473" s="3">
        <v>0</v>
      </c>
      <c r="H473" s="3">
        <v>390</v>
      </c>
      <c r="I473" t="s">
        <v>88</v>
      </c>
    </row>
    <row r="474" spans="1:9" x14ac:dyDescent="0.35">
      <c r="A474" s="2">
        <v>45337</v>
      </c>
      <c r="B474">
        <v>77</v>
      </c>
      <c r="C474">
        <v>5131005</v>
      </c>
      <c r="D474" t="s">
        <v>205</v>
      </c>
      <c r="E474" t="s">
        <v>280</v>
      </c>
      <c r="F474" s="3">
        <v>4357.2</v>
      </c>
      <c r="G474" s="3">
        <v>0</v>
      </c>
      <c r="H474" s="3">
        <v>4357.2</v>
      </c>
      <c r="I474" t="s">
        <v>88</v>
      </c>
    </row>
    <row r="475" spans="1:9" x14ac:dyDescent="0.35">
      <c r="A475" s="2">
        <v>45337</v>
      </c>
      <c r="B475">
        <v>77</v>
      </c>
      <c r="C475">
        <v>5131008</v>
      </c>
      <c r="D475" t="s">
        <v>89</v>
      </c>
      <c r="E475" t="s">
        <v>280</v>
      </c>
      <c r="F475" s="3">
        <v>81.900000000000006</v>
      </c>
      <c r="G475" s="3">
        <v>0</v>
      </c>
      <c r="H475" s="3">
        <v>81.900000000000006</v>
      </c>
      <c r="I475" t="s">
        <v>88</v>
      </c>
    </row>
    <row r="476" spans="1:9" x14ac:dyDescent="0.35">
      <c r="A476" s="2">
        <v>45337</v>
      </c>
      <c r="B476">
        <v>77</v>
      </c>
      <c r="C476">
        <v>5131009</v>
      </c>
      <c r="D476" t="s">
        <v>90</v>
      </c>
      <c r="E476" t="s">
        <v>280</v>
      </c>
      <c r="F476" s="3">
        <v>16.25</v>
      </c>
      <c r="G476" s="3">
        <v>0</v>
      </c>
      <c r="H476" s="3">
        <v>16.25</v>
      </c>
      <c r="I476" t="s">
        <v>88</v>
      </c>
    </row>
    <row r="477" spans="1:9" x14ac:dyDescent="0.35">
      <c r="A477" s="2">
        <v>45337</v>
      </c>
      <c r="B477">
        <v>77</v>
      </c>
      <c r="C477">
        <v>5131010</v>
      </c>
      <c r="D477" t="s">
        <v>91</v>
      </c>
      <c r="E477" t="s">
        <v>280</v>
      </c>
      <c r="F477" s="3">
        <v>32.5</v>
      </c>
      <c r="G477" s="3">
        <v>0</v>
      </c>
      <c r="H477" s="3">
        <v>32.5</v>
      </c>
      <c r="I477" t="s">
        <v>88</v>
      </c>
    </row>
    <row r="478" spans="1:9" x14ac:dyDescent="0.35">
      <c r="A478" s="2">
        <v>45337</v>
      </c>
      <c r="B478">
        <v>77</v>
      </c>
      <c r="C478">
        <v>5131012</v>
      </c>
      <c r="D478" t="s">
        <v>206</v>
      </c>
      <c r="E478" t="s">
        <v>280</v>
      </c>
      <c r="F478" s="3">
        <v>28.6</v>
      </c>
      <c r="G478" s="3">
        <v>0</v>
      </c>
      <c r="H478" s="3">
        <v>28.6</v>
      </c>
      <c r="I478" t="s">
        <v>88</v>
      </c>
    </row>
    <row r="479" spans="1:9" x14ac:dyDescent="0.35">
      <c r="A479" s="2">
        <v>45337</v>
      </c>
      <c r="B479">
        <v>77</v>
      </c>
      <c r="C479">
        <v>5131013</v>
      </c>
      <c r="D479" t="s">
        <v>92</v>
      </c>
      <c r="E479" t="s">
        <v>280</v>
      </c>
      <c r="F479" s="3">
        <v>7.8</v>
      </c>
      <c r="G479" s="3">
        <v>0</v>
      </c>
      <c r="H479" s="3">
        <v>7.8</v>
      </c>
      <c r="I479" t="s">
        <v>88</v>
      </c>
    </row>
    <row r="480" spans="1:9" x14ac:dyDescent="0.35">
      <c r="A480" s="2">
        <v>45337</v>
      </c>
      <c r="B480">
        <v>77</v>
      </c>
      <c r="C480">
        <v>5131014</v>
      </c>
      <c r="D480" t="s">
        <v>207</v>
      </c>
      <c r="E480" t="s">
        <v>280</v>
      </c>
      <c r="F480" s="3">
        <v>7.8</v>
      </c>
      <c r="G480" s="3">
        <v>0</v>
      </c>
      <c r="H480" s="3">
        <v>7.8</v>
      </c>
      <c r="I480" t="s">
        <v>88</v>
      </c>
    </row>
    <row r="481" spans="1:9" x14ac:dyDescent="0.35">
      <c r="A481" s="2">
        <v>45337</v>
      </c>
      <c r="B481">
        <v>77</v>
      </c>
      <c r="C481">
        <v>2131002</v>
      </c>
      <c r="D481" t="s">
        <v>31</v>
      </c>
      <c r="E481" t="s">
        <v>280</v>
      </c>
      <c r="F481" s="3">
        <v>0</v>
      </c>
      <c r="G481" s="3">
        <v>18</v>
      </c>
      <c r="H481" s="3">
        <v>-18</v>
      </c>
      <c r="I481" t="s">
        <v>88</v>
      </c>
    </row>
    <row r="482" spans="1:9" x14ac:dyDescent="0.35">
      <c r="A482" s="2">
        <v>45337</v>
      </c>
      <c r="B482">
        <v>77</v>
      </c>
      <c r="C482">
        <v>2131003</v>
      </c>
      <c r="D482" t="s">
        <v>32</v>
      </c>
      <c r="E482" t="s">
        <v>280</v>
      </c>
      <c r="F482" s="3">
        <v>0</v>
      </c>
      <c r="G482" s="3">
        <v>2.25</v>
      </c>
      <c r="H482" s="3">
        <v>-2.25</v>
      </c>
      <c r="I482" t="s">
        <v>88</v>
      </c>
    </row>
    <row r="483" spans="1:9" x14ac:dyDescent="0.35">
      <c r="A483" s="2">
        <v>45337</v>
      </c>
      <c r="B483">
        <v>77</v>
      </c>
      <c r="C483">
        <v>2131004</v>
      </c>
      <c r="D483" t="s">
        <v>33</v>
      </c>
      <c r="E483" t="s">
        <v>280</v>
      </c>
      <c r="F483" s="3">
        <v>0</v>
      </c>
      <c r="G483" s="3">
        <v>3.9</v>
      </c>
      <c r="H483" s="3">
        <v>-3.9</v>
      </c>
      <c r="I483" t="s">
        <v>88</v>
      </c>
    </row>
    <row r="484" spans="1:9" x14ac:dyDescent="0.35">
      <c r="A484" s="2">
        <v>45337</v>
      </c>
      <c r="B484">
        <v>77</v>
      </c>
      <c r="C484">
        <v>2141001</v>
      </c>
      <c r="D484" t="s">
        <v>35</v>
      </c>
      <c r="E484" t="s">
        <v>280</v>
      </c>
      <c r="F484" s="3">
        <v>0</v>
      </c>
      <c r="G484" s="3">
        <v>28.6</v>
      </c>
      <c r="H484" s="3">
        <v>-28.6</v>
      </c>
      <c r="I484" t="s">
        <v>88</v>
      </c>
    </row>
    <row r="485" spans="1:9" x14ac:dyDescent="0.35">
      <c r="A485" s="2">
        <v>45337</v>
      </c>
      <c r="B485">
        <v>77</v>
      </c>
      <c r="C485">
        <v>2141002</v>
      </c>
      <c r="D485" t="s">
        <v>36</v>
      </c>
      <c r="E485" t="s">
        <v>280</v>
      </c>
      <c r="F485" s="3">
        <v>0</v>
      </c>
      <c r="G485" s="3">
        <v>7.8</v>
      </c>
      <c r="H485" s="3">
        <v>-7.8</v>
      </c>
      <c r="I485" t="s">
        <v>88</v>
      </c>
    </row>
    <row r="486" spans="1:9" x14ac:dyDescent="0.35">
      <c r="A486" s="2">
        <v>45337</v>
      </c>
      <c r="B486">
        <v>77</v>
      </c>
      <c r="C486">
        <v>2141003</v>
      </c>
      <c r="D486" t="s">
        <v>37</v>
      </c>
      <c r="E486" t="s">
        <v>280</v>
      </c>
      <c r="F486" s="3">
        <v>0</v>
      </c>
      <c r="G486" s="3">
        <v>7.8</v>
      </c>
      <c r="H486" s="3">
        <v>-7.8</v>
      </c>
      <c r="I486" t="s">
        <v>88</v>
      </c>
    </row>
    <row r="487" spans="1:9" x14ac:dyDescent="0.35">
      <c r="A487" s="2">
        <v>45337</v>
      </c>
      <c r="B487">
        <v>77</v>
      </c>
      <c r="C487">
        <v>2161004</v>
      </c>
      <c r="D487" t="s">
        <v>38</v>
      </c>
      <c r="E487" t="s">
        <v>280</v>
      </c>
      <c r="F487" s="3">
        <v>0</v>
      </c>
      <c r="G487" s="3">
        <v>16.25</v>
      </c>
      <c r="H487" s="3">
        <v>-16.25</v>
      </c>
      <c r="I487" t="s">
        <v>88</v>
      </c>
    </row>
    <row r="488" spans="1:9" x14ac:dyDescent="0.35">
      <c r="A488" s="2">
        <v>45337</v>
      </c>
      <c r="B488">
        <v>77</v>
      </c>
      <c r="C488">
        <v>2161005</v>
      </c>
      <c r="D488" t="s">
        <v>39</v>
      </c>
      <c r="E488" t="s">
        <v>280</v>
      </c>
      <c r="F488" s="3">
        <v>0</v>
      </c>
      <c r="G488" s="3">
        <v>32.5</v>
      </c>
      <c r="H488" s="3">
        <v>-32.5</v>
      </c>
      <c r="I488" t="s">
        <v>88</v>
      </c>
    </row>
    <row r="489" spans="1:9" x14ac:dyDescent="0.35">
      <c r="A489" s="2">
        <v>45337</v>
      </c>
      <c r="B489">
        <v>77</v>
      </c>
      <c r="C489">
        <v>2241001</v>
      </c>
      <c r="D489" t="s">
        <v>40</v>
      </c>
      <c r="E489" t="s">
        <v>280</v>
      </c>
      <c r="F489" s="3">
        <v>0</v>
      </c>
      <c r="G489" s="3">
        <v>81.900000000000006</v>
      </c>
      <c r="H489" s="3">
        <v>-81.900000000000006</v>
      </c>
      <c r="I489" t="s">
        <v>88</v>
      </c>
    </row>
    <row r="490" spans="1:9" x14ac:dyDescent="0.35">
      <c r="A490" s="2">
        <v>45337</v>
      </c>
      <c r="B490">
        <v>77</v>
      </c>
      <c r="C490">
        <v>2161001</v>
      </c>
      <c r="D490" t="s">
        <v>93</v>
      </c>
      <c r="E490" t="s">
        <v>280</v>
      </c>
      <c r="F490" s="3">
        <v>0</v>
      </c>
      <c r="G490" s="3">
        <v>4723.05</v>
      </c>
      <c r="H490" s="3">
        <v>-4723.05</v>
      </c>
      <c r="I490" t="s">
        <v>88</v>
      </c>
    </row>
    <row r="491" spans="1:9" x14ac:dyDescent="0.35">
      <c r="A491" s="2">
        <v>45337</v>
      </c>
      <c r="B491">
        <v>77</v>
      </c>
      <c r="C491">
        <v>6121046</v>
      </c>
      <c r="D491" t="s">
        <v>94</v>
      </c>
      <c r="E491" t="s">
        <v>95</v>
      </c>
      <c r="F491" s="3">
        <v>139.07</v>
      </c>
      <c r="G491" s="3">
        <v>0</v>
      </c>
      <c r="H491" s="3">
        <v>139.07</v>
      </c>
      <c r="I491" t="s">
        <v>96</v>
      </c>
    </row>
    <row r="492" spans="1:9" x14ac:dyDescent="0.35">
      <c r="A492" s="2">
        <v>45337</v>
      </c>
      <c r="B492">
        <v>77</v>
      </c>
      <c r="C492">
        <v>6121040</v>
      </c>
      <c r="D492" t="s">
        <v>98</v>
      </c>
      <c r="E492" t="s">
        <v>99</v>
      </c>
      <c r="F492" s="3">
        <v>109.73</v>
      </c>
      <c r="G492" s="3">
        <v>0</v>
      </c>
      <c r="H492" s="3">
        <v>109.73</v>
      </c>
      <c r="I492" t="s">
        <v>96</v>
      </c>
    </row>
    <row r="493" spans="1:9" x14ac:dyDescent="0.35">
      <c r="A493" s="2">
        <v>45337</v>
      </c>
      <c r="B493">
        <v>77</v>
      </c>
      <c r="C493">
        <v>2114001</v>
      </c>
      <c r="D493" t="s">
        <v>97</v>
      </c>
      <c r="E493" t="s">
        <v>1768</v>
      </c>
      <c r="F493" s="3">
        <v>4390</v>
      </c>
      <c r="G493" s="3">
        <v>0</v>
      </c>
      <c r="H493" s="3">
        <v>4390</v>
      </c>
      <c r="I493" t="s">
        <v>96</v>
      </c>
    </row>
    <row r="494" spans="1:9" x14ac:dyDescent="0.35">
      <c r="A494" s="2">
        <v>45337</v>
      </c>
      <c r="B494">
        <v>77</v>
      </c>
      <c r="C494">
        <v>1111001</v>
      </c>
      <c r="D494" t="s">
        <v>16</v>
      </c>
      <c r="E494" t="s">
        <v>1773</v>
      </c>
      <c r="F494" s="3">
        <v>600</v>
      </c>
      <c r="G494" s="3">
        <v>0</v>
      </c>
      <c r="H494" s="3">
        <v>600</v>
      </c>
      <c r="I494" t="s">
        <v>96</v>
      </c>
    </row>
    <row r="495" spans="1:9" x14ac:dyDescent="0.35">
      <c r="A495" s="2">
        <v>45337</v>
      </c>
      <c r="B495">
        <v>77</v>
      </c>
      <c r="C495">
        <v>1111001</v>
      </c>
      <c r="D495" t="s">
        <v>16</v>
      </c>
      <c r="E495" t="s">
        <v>131</v>
      </c>
      <c r="F495" s="3">
        <v>1870.59</v>
      </c>
      <c r="G495" s="3">
        <v>0</v>
      </c>
      <c r="H495" s="3">
        <v>1870.59</v>
      </c>
      <c r="I495" t="s">
        <v>96</v>
      </c>
    </row>
    <row r="496" spans="1:9" x14ac:dyDescent="0.35">
      <c r="A496" s="2">
        <v>45337</v>
      </c>
      <c r="B496">
        <v>77</v>
      </c>
      <c r="C496">
        <v>1112001</v>
      </c>
      <c r="D496" t="s">
        <v>20</v>
      </c>
      <c r="E496" t="s">
        <v>107</v>
      </c>
      <c r="F496" s="3">
        <v>0</v>
      </c>
      <c r="G496" s="3">
        <v>7109.39</v>
      </c>
      <c r="H496" s="3">
        <v>-7109.39</v>
      </c>
      <c r="I496" t="s">
        <v>96</v>
      </c>
    </row>
    <row r="497" spans="1:9" x14ac:dyDescent="0.35">
      <c r="A497" s="2">
        <v>45337</v>
      </c>
      <c r="B497">
        <v>77</v>
      </c>
      <c r="C497">
        <v>1112001</v>
      </c>
      <c r="D497" t="s">
        <v>20</v>
      </c>
      <c r="E497" t="s">
        <v>108</v>
      </c>
      <c r="F497" s="3">
        <v>7121</v>
      </c>
      <c r="G497" s="3">
        <v>0</v>
      </c>
      <c r="H497" s="3">
        <v>7121</v>
      </c>
      <c r="I497" t="s">
        <v>96</v>
      </c>
    </row>
    <row r="498" spans="1:9" x14ac:dyDescent="0.35">
      <c r="A498" s="2">
        <v>45337</v>
      </c>
      <c r="B498">
        <v>77</v>
      </c>
      <c r="C498">
        <v>1111001</v>
      </c>
      <c r="D498" t="s">
        <v>16</v>
      </c>
      <c r="E498" t="s">
        <v>112</v>
      </c>
      <c r="F498" s="3">
        <v>0</v>
      </c>
      <c r="G498" s="3">
        <v>5271</v>
      </c>
      <c r="H498" s="3">
        <v>-5271</v>
      </c>
      <c r="I498" t="s">
        <v>96</v>
      </c>
    </row>
    <row r="499" spans="1:9" x14ac:dyDescent="0.35">
      <c r="A499" s="2">
        <v>45337</v>
      </c>
      <c r="B499">
        <v>77</v>
      </c>
      <c r="C499">
        <v>1111001</v>
      </c>
      <c r="D499" t="s">
        <v>16</v>
      </c>
      <c r="E499" t="s">
        <v>281</v>
      </c>
      <c r="F499" s="3">
        <v>0</v>
      </c>
      <c r="G499" s="3">
        <v>1850</v>
      </c>
      <c r="H499" s="3">
        <v>-1850</v>
      </c>
      <c r="I499" t="s">
        <v>96</v>
      </c>
    </row>
    <row r="500" spans="1:9" x14ac:dyDescent="0.35">
      <c r="A500" s="2">
        <v>45337</v>
      </c>
      <c r="B500">
        <v>77</v>
      </c>
      <c r="C500">
        <v>6121040</v>
      </c>
      <c r="D500" t="s">
        <v>98</v>
      </c>
      <c r="E500" t="s">
        <v>99</v>
      </c>
      <c r="F500" s="3">
        <v>2173.48</v>
      </c>
      <c r="G500" s="3">
        <v>0</v>
      </c>
      <c r="H500" s="3">
        <v>2173.48</v>
      </c>
      <c r="I500" t="s">
        <v>124</v>
      </c>
    </row>
    <row r="501" spans="1:9" x14ac:dyDescent="0.35">
      <c r="A501" s="2">
        <v>45337</v>
      </c>
      <c r="B501">
        <v>77</v>
      </c>
      <c r="C501">
        <v>6121046</v>
      </c>
      <c r="D501" t="s">
        <v>94</v>
      </c>
      <c r="E501" t="s">
        <v>95</v>
      </c>
      <c r="F501" s="3">
        <v>1697.67</v>
      </c>
      <c r="G501" s="3">
        <v>0</v>
      </c>
      <c r="H501" s="3">
        <v>1697.67</v>
      </c>
      <c r="I501" t="s">
        <v>124</v>
      </c>
    </row>
    <row r="502" spans="1:9" x14ac:dyDescent="0.35">
      <c r="A502" s="2">
        <v>45337</v>
      </c>
      <c r="B502">
        <v>77</v>
      </c>
      <c r="C502">
        <v>1111001</v>
      </c>
      <c r="D502" t="s">
        <v>16</v>
      </c>
      <c r="E502" t="s">
        <v>213</v>
      </c>
      <c r="F502" s="3">
        <v>26350</v>
      </c>
      <c r="G502" s="3">
        <v>0</v>
      </c>
      <c r="H502" s="3">
        <v>26350</v>
      </c>
      <c r="I502" t="s">
        <v>124</v>
      </c>
    </row>
    <row r="503" spans="1:9" x14ac:dyDescent="0.35">
      <c r="A503" s="2">
        <v>45337</v>
      </c>
      <c r="B503">
        <v>77</v>
      </c>
      <c r="C503">
        <v>1111001</v>
      </c>
      <c r="D503" t="s">
        <v>16</v>
      </c>
      <c r="E503" t="s">
        <v>282</v>
      </c>
      <c r="F503" s="3">
        <v>220</v>
      </c>
      <c r="G503" s="3">
        <v>0</v>
      </c>
      <c r="H503" s="3">
        <v>220</v>
      </c>
      <c r="I503" t="s">
        <v>124</v>
      </c>
    </row>
    <row r="504" spans="1:9" x14ac:dyDescent="0.35">
      <c r="A504" s="2">
        <v>45337</v>
      </c>
      <c r="B504">
        <v>77</v>
      </c>
      <c r="C504">
        <v>2114001</v>
      </c>
      <c r="D504" t="s">
        <v>97</v>
      </c>
      <c r="E504" t="s">
        <v>283</v>
      </c>
      <c r="F504" s="3">
        <v>2062.1799999999998</v>
      </c>
      <c r="G504" s="3">
        <v>0</v>
      </c>
      <c r="H504" s="3">
        <v>2062.1799999999998</v>
      </c>
      <c r="I504" t="s">
        <v>124</v>
      </c>
    </row>
    <row r="505" spans="1:9" x14ac:dyDescent="0.35">
      <c r="A505" s="2">
        <v>45337</v>
      </c>
      <c r="B505">
        <v>77</v>
      </c>
      <c r="C505">
        <v>6121044</v>
      </c>
      <c r="D505" t="s">
        <v>176</v>
      </c>
      <c r="E505" t="s">
        <v>284</v>
      </c>
      <c r="F505" s="3">
        <v>1140</v>
      </c>
      <c r="G505" s="3">
        <v>0</v>
      </c>
      <c r="H505" s="3">
        <v>1140</v>
      </c>
      <c r="I505" t="s">
        <v>124</v>
      </c>
    </row>
    <row r="506" spans="1:9" x14ac:dyDescent="0.35">
      <c r="A506" s="2">
        <v>45337</v>
      </c>
      <c r="B506">
        <v>77</v>
      </c>
      <c r="C506">
        <v>2114001</v>
      </c>
      <c r="D506" t="s">
        <v>97</v>
      </c>
      <c r="E506" t="s">
        <v>285</v>
      </c>
      <c r="F506" s="3">
        <v>660</v>
      </c>
      <c r="G506" s="3">
        <v>0</v>
      </c>
      <c r="H506" s="3">
        <v>660</v>
      </c>
      <c r="I506" t="s">
        <v>124</v>
      </c>
    </row>
    <row r="507" spans="1:9" x14ac:dyDescent="0.35">
      <c r="A507" s="2">
        <v>45337</v>
      </c>
      <c r="B507">
        <v>77</v>
      </c>
      <c r="C507">
        <v>2114010</v>
      </c>
      <c r="D507" t="s">
        <v>48</v>
      </c>
      <c r="E507" t="s">
        <v>286</v>
      </c>
      <c r="F507" s="3">
        <v>510</v>
      </c>
      <c r="G507" s="3">
        <v>0</v>
      </c>
      <c r="H507" s="3">
        <v>510</v>
      </c>
      <c r="I507" t="s">
        <v>124</v>
      </c>
    </row>
    <row r="508" spans="1:9" x14ac:dyDescent="0.35">
      <c r="A508" s="2">
        <v>45337</v>
      </c>
      <c r="B508">
        <v>77</v>
      </c>
      <c r="C508">
        <v>2114001</v>
      </c>
      <c r="D508" t="s">
        <v>97</v>
      </c>
      <c r="E508" t="s">
        <v>1768</v>
      </c>
      <c r="F508" s="3">
        <v>13961</v>
      </c>
      <c r="G508" s="3">
        <v>0</v>
      </c>
      <c r="H508" s="3">
        <v>13961</v>
      </c>
      <c r="I508" t="s">
        <v>124</v>
      </c>
    </row>
    <row r="509" spans="1:9" x14ac:dyDescent="0.35">
      <c r="A509" s="2">
        <v>45337</v>
      </c>
      <c r="B509">
        <v>77</v>
      </c>
      <c r="C509">
        <v>2114010</v>
      </c>
      <c r="D509" t="s">
        <v>48</v>
      </c>
      <c r="E509" t="s">
        <v>287</v>
      </c>
      <c r="F509" s="3">
        <v>6137.75</v>
      </c>
      <c r="G509" s="3">
        <v>0</v>
      </c>
      <c r="H509" s="3">
        <v>6137.75</v>
      </c>
      <c r="I509" t="s">
        <v>124</v>
      </c>
    </row>
    <row r="510" spans="1:9" x14ac:dyDescent="0.35">
      <c r="A510" s="2">
        <v>45337</v>
      </c>
      <c r="B510">
        <v>77</v>
      </c>
      <c r="C510">
        <v>6121046</v>
      </c>
      <c r="D510" t="s">
        <v>94</v>
      </c>
      <c r="E510" t="s">
        <v>288</v>
      </c>
      <c r="F510" s="3">
        <v>2.06</v>
      </c>
      <c r="G510" s="3">
        <v>0</v>
      </c>
      <c r="H510" s="3">
        <v>2.06</v>
      </c>
      <c r="I510" t="s">
        <v>124</v>
      </c>
    </row>
    <row r="511" spans="1:9" x14ac:dyDescent="0.35">
      <c r="A511" s="2">
        <v>45337</v>
      </c>
      <c r="B511">
        <v>77</v>
      </c>
      <c r="C511">
        <v>1111001</v>
      </c>
      <c r="D511" t="s">
        <v>16</v>
      </c>
      <c r="E511" t="s">
        <v>289</v>
      </c>
      <c r="F511" s="3">
        <v>1800</v>
      </c>
      <c r="G511" s="3">
        <v>0</v>
      </c>
      <c r="H511" s="3">
        <v>1800</v>
      </c>
      <c r="I511" t="s">
        <v>124</v>
      </c>
    </row>
    <row r="512" spans="1:9" x14ac:dyDescent="0.35">
      <c r="A512" s="2">
        <v>45337</v>
      </c>
      <c r="B512">
        <v>77</v>
      </c>
      <c r="C512">
        <v>6121025</v>
      </c>
      <c r="D512" t="s">
        <v>134</v>
      </c>
      <c r="E512" t="s">
        <v>135</v>
      </c>
      <c r="F512" s="3">
        <v>2536.0700000000002</v>
      </c>
      <c r="G512" s="3">
        <v>0</v>
      </c>
      <c r="H512" s="3">
        <v>2536.0700000000002</v>
      </c>
      <c r="I512" t="s">
        <v>124</v>
      </c>
    </row>
    <row r="513" spans="1:9" x14ac:dyDescent="0.35">
      <c r="A513" s="2">
        <v>45337</v>
      </c>
      <c r="B513">
        <v>77</v>
      </c>
      <c r="C513">
        <v>2114001</v>
      </c>
      <c r="D513" t="s">
        <v>97</v>
      </c>
      <c r="E513" t="s">
        <v>1774</v>
      </c>
      <c r="F513" s="3">
        <v>185</v>
      </c>
      <c r="G513" s="3">
        <v>0</v>
      </c>
      <c r="H513" s="3">
        <v>185</v>
      </c>
      <c r="I513" t="s">
        <v>124</v>
      </c>
    </row>
    <row r="514" spans="1:9" x14ac:dyDescent="0.35">
      <c r="A514" s="2">
        <v>45337</v>
      </c>
      <c r="B514">
        <v>77</v>
      </c>
      <c r="C514">
        <v>1111001</v>
      </c>
      <c r="D514" t="s">
        <v>16</v>
      </c>
      <c r="E514" t="s">
        <v>1775</v>
      </c>
      <c r="F514" s="3">
        <v>5300</v>
      </c>
      <c r="G514" s="3">
        <v>0</v>
      </c>
      <c r="H514" s="3">
        <v>5300</v>
      </c>
      <c r="I514" t="s">
        <v>124</v>
      </c>
    </row>
    <row r="515" spans="1:9" x14ac:dyDescent="0.35">
      <c r="A515" s="2">
        <v>45337</v>
      </c>
      <c r="B515">
        <v>77</v>
      </c>
      <c r="C515">
        <v>1111001</v>
      </c>
      <c r="D515" t="s">
        <v>16</v>
      </c>
      <c r="E515" t="s">
        <v>132</v>
      </c>
      <c r="F515" s="3">
        <v>4200</v>
      </c>
      <c r="G515" s="3">
        <v>0</v>
      </c>
      <c r="H515" s="3">
        <v>4200</v>
      </c>
      <c r="I515" t="s">
        <v>124</v>
      </c>
    </row>
    <row r="516" spans="1:9" x14ac:dyDescent="0.35">
      <c r="A516" s="2">
        <v>45337</v>
      </c>
      <c r="B516">
        <v>77</v>
      </c>
      <c r="C516">
        <v>5131006</v>
      </c>
      <c r="D516" t="s">
        <v>125</v>
      </c>
      <c r="E516" t="s">
        <v>1771</v>
      </c>
      <c r="F516" s="3">
        <v>3730</v>
      </c>
      <c r="G516" s="3">
        <v>0</v>
      </c>
      <c r="H516" s="3">
        <v>3730</v>
      </c>
      <c r="I516" t="s">
        <v>124</v>
      </c>
    </row>
    <row r="517" spans="1:9" x14ac:dyDescent="0.35">
      <c r="A517" s="2">
        <v>45337</v>
      </c>
      <c r="B517">
        <v>77</v>
      </c>
      <c r="C517">
        <v>5131006</v>
      </c>
      <c r="D517" t="s">
        <v>125</v>
      </c>
      <c r="E517" t="s">
        <v>1776</v>
      </c>
      <c r="F517" s="3">
        <v>4476</v>
      </c>
      <c r="G517" s="3">
        <v>0</v>
      </c>
      <c r="H517" s="3">
        <v>4476</v>
      </c>
      <c r="I517" t="s">
        <v>124</v>
      </c>
    </row>
    <row r="518" spans="1:9" x14ac:dyDescent="0.35">
      <c r="A518" s="2">
        <v>45337</v>
      </c>
      <c r="B518">
        <v>77</v>
      </c>
      <c r="C518">
        <v>5131006</v>
      </c>
      <c r="D518" t="s">
        <v>125</v>
      </c>
      <c r="E518" t="s">
        <v>1771</v>
      </c>
      <c r="F518" s="3">
        <v>3730</v>
      </c>
      <c r="G518" s="3">
        <v>0</v>
      </c>
      <c r="H518" s="3">
        <v>3730</v>
      </c>
      <c r="I518" t="s">
        <v>124</v>
      </c>
    </row>
    <row r="519" spans="1:9" x14ac:dyDescent="0.35">
      <c r="A519" s="2">
        <v>45337</v>
      </c>
      <c r="B519">
        <v>77</v>
      </c>
      <c r="C519">
        <v>5131006</v>
      </c>
      <c r="D519" t="s">
        <v>125</v>
      </c>
      <c r="E519" t="s">
        <v>1771</v>
      </c>
      <c r="F519" s="3">
        <v>3730</v>
      </c>
      <c r="G519" s="3">
        <v>0</v>
      </c>
      <c r="H519" s="3">
        <v>3730</v>
      </c>
      <c r="I519" t="s">
        <v>124</v>
      </c>
    </row>
    <row r="520" spans="1:9" x14ac:dyDescent="0.35">
      <c r="A520" s="2">
        <v>45337</v>
      </c>
      <c r="B520">
        <v>77</v>
      </c>
      <c r="C520">
        <v>5131006</v>
      </c>
      <c r="D520" t="s">
        <v>125</v>
      </c>
      <c r="E520" t="s">
        <v>1771</v>
      </c>
      <c r="F520" s="3">
        <v>2100</v>
      </c>
      <c r="G520" s="3">
        <v>0</v>
      </c>
      <c r="H520" s="3">
        <v>2100</v>
      </c>
      <c r="I520" t="s">
        <v>124</v>
      </c>
    </row>
    <row r="521" spans="1:9" x14ac:dyDescent="0.35">
      <c r="A521" s="2">
        <v>45337</v>
      </c>
      <c r="B521">
        <v>77</v>
      </c>
      <c r="C521">
        <v>1112002</v>
      </c>
      <c r="D521" t="s">
        <v>21</v>
      </c>
      <c r="E521" t="s">
        <v>107</v>
      </c>
      <c r="F521" s="3">
        <v>0</v>
      </c>
      <c r="G521" s="3">
        <v>86701.21</v>
      </c>
      <c r="H521" s="3">
        <v>-86701.21</v>
      </c>
      <c r="I521" t="s">
        <v>124</v>
      </c>
    </row>
    <row r="522" spans="1:9" x14ac:dyDescent="0.35">
      <c r="A522" s="2">
        <v>45337</v>
      </c>
      <c r="B522">
        <v>77</v>
      </c>
      <c r="C522">
        <v>2161001</v>
      </c>
      <c r="D522" t="s">
        <v>93</v>
      </c>
      <c r="E522" t="s">
        <v>290</v>
      </c>
      <c r="F522" s="3">
        <v>4723.05</v>
      </c>
      <c r="G522" s="3">
        <v>0</v>
      </c>
      <c r="H522" s="3">
        <v>4723.05</v>
      </c>
      <c r="I522" t="s">
        <v>291</v>
      </c>
    </row>
    <row r="523" spans="1:9" x14ac:dyDescent="0.35">
      <c r="A523" s="2">
        <v>45337</v>
      </c>
      <c r="B523">
        <v>77</v>
      </c>
      <c r="C523">
        <v>5131006</v>
      </c>
      <c r="D523" t="s">
        <v>125</v>
      </c>
      <c r="E523" t="s">
        <v>290</v>
      </c>
      <c r="F523" s="3">
        <v>0</v>
      </c>
      <c r="G523" s="3">
        <v>4723.05</v>
      </c>
      <c r="H523" s="3">
        <v>-4723.05</v>
      </c>
      <c r="I523" t="s">
        <v>291</v>
      </c>
    </row>
    <row r="524" spans="1:9" x14ac:dyDescent="0.35">
      <c r="A524" s="2">
        <v>45337</v>
      </c>
      <c r="B524">
        <v>77</v>
      </c>
      <c r="C524">
        <v>6121040</v>
      </c>
      <c r="D524" t="s">
        <v>98</v>
      </c>
      <c r="E524" t="s">
        <v>99</v>
      </c>
      <c r="F524" s="3">
        <v>604.84</v>
      </c>
      <c r="G524" s="3">
        <v>0</v>
      </c>
      <c r="H524" s="3">
        <v>604.84</v>
      </c>
      <c r="I524" t="s">
        <v>114</v>
      </c>
    </row>
    <row r="525" spans="1:9" x14ac:dyDescent="0.35">
      <c r="A525" s="2">
        <v>45337</v>
      </c>
      <c r="B525">
        <v>77</v>
      </c>
      <c r="C525">
        <v>6121046</v>
      </c>
      <c r="D525" t="s">
        <v>94</v>
      </c>
      <c r="E525" t="s">
        <v>95</v>
      </c>
      <c r="F525" s="3">
        <v>162.28</v>
      </c>
      <c r="G525" s="3">
        <v>0</v>
      </c>
      <c r="H525" s="3">
        <v>162.28</v>
      </c>
      <c r="I525" t="s">
        <v>114</v>
      </c>
    </row>
    <row r="526" spans="1:9" x14ac:dyDescent="0.35">
      <c r="A526" s="2">
        <v>45337</v>
      </c>
      <c r="B526">
        <v>77</v>
      </c>
      <c r="C526">
        <v>5131016</v>
      </c>
      <c r="D526" t="s">
        <v>238</v>
      </c>
      <c r="E526" t="s">
        <v>292</v>
      </c>
      <c r="F526" s="3">
        <v>2655.55</v>
      </c>
      <c r="G526" s="3">
        <v>0</v>
      </c>
      <c r="H526" s="3">
        <v>2655.55</v>
      </c>
      <c r="I526" t="s">
        <v>114</v>
      </c>
    </row>
    <row r="527" spans="1:9" x14ac:dyDescent="0.35">
      <c r="A527" s="2">
        <v>45337</v>
      </c>
      <c r="B527">
        <v>77</v>
      </c>
      <c r="C527">
        <v>2121003</v>
      </c>
      <c r="D527" t="s">
        <v>28</v>
      </c>
      <c r="E527" t="s">
        <v>293</v>
      </c>
      <c r="F527" s="3">
        <v>11665.21</v>
      </c>
      <c r="G527" s="3">
        <v>0</v>
      </c>
      <c r="H527" s="3">
        <v>11665.21</v>
      </c>
      <c r="I527" t="s">
        <v>114</v>
      </c>
    </row>
    <row r="528" spans="1:9" x14ac:dyDescent="0.35">
      <c r="A528" s="2">
        <v>45337</v>
      </c>
      <c r="B528">
        <v>77</v>
      </c>
      <c r="C528">
        <v>2114001</v>
      </c>
      <c r="D528" t="s">
        <v>97</v>
      </c>
      <c r="E528" t="s">
        <v>294</v>
      </c>
      <c r="F528" s="3">
        <v>3500</v>
      </c>
      <c r="G528" s="3">
        <v>0</v>
      </c>
      <c r="H528" s="3">
        <v>3500</v>
      </c>
      <c r="I528" t="s">
        <v>114</v>
      </c>
    </row>
    <row r="529" spans="1:9" x14ac:dyDescent="0.35">
      <c r="A529" s="2">
        <v>45337</v>
      </c>
      <c r="B529">
        <v>77</v>
      </c>
      <c r="C529">
        <v>1111001</v>
      </c>
      <c r="D529" t="s">
        <v>16</v>
      </c>
      <c r="E529" t="s">
        <v>131</v>
      </c>
      <c r="F529" s="3">
        <v>1800</v>
      </c>
      <c r="G529" s="3">
        <v>0</v>
      </c>
      <c r="H529" s="3">
        <v>1800</v>
      </c>
      <c r="I529" t="s">
        <v>114</v>
      </c>
    </row>
    <row r="530" spans="1:9" x14ac:dyDescent="0.35">
      <c r="A530" s="2">
        <v>45337</v>
      </c>
      <c r="B530">
        <v>77</v>
      </c>
      <c r="C530">
        <v>5131016</v>
      </c>
      <c r="D530" t="s">
        <v>238</v>
      </c>
      <c r="E530" t="s">
        <v>295</v>
      </c>
      <c r="F530" s="3">
        <v>185</v>
      </c>
      <c r="G530" s="3">
        <v>0</v>
      </c>
      <c r="H530" s="3">
        <v>185</v>
      </c>
      <c r="I530" t="s">
        <v>114</v>
      </c>
    </row>
    <row r="531" spans="1:9" x14ac:dyDescent="0.35">
      <c r="A531" s="2">
        <v>45337</v>
      </c>
      <c r="B531">
        <v>77</v>
      </c>
      <c r="C531">
        <v>2141001</v>
      </c>
      <c r="D531" t="s">
        <v>35</v>
      </c>
      <c r="E531" t="s">
        <v>120</v>
      </c>
      <c r="F531" s="3">
        <v>222.75</v>
      </c>
      <c r="G531" s="3">
        <v>0</v>
      </c>
      <c r="H531" s="3">
        <v>222.75</v>
      </c>
      <c r="I531" t="s">
        <v>114</v>
      </c>
    </row>
    <row r="532" spans="1:9" x14ac:dyDescent="0.35">
      <c r="A532" s="2">
        <v>45337</v>
      </c>
      <c r="B532">
        <v>77</v>
      </c>
      <c r="C532">
        <v>2141002</v>
      </c>
      <c r="D532" t="s">
        <v>36</v>
      </c>
      <c r="E532" t="s">
        <v>121</v>
      </c>
      <c r="F532" s="3">
        <v>35.1</v>
      </c>
      <c r="G532" s="3">
        <v>0</v>
      </c>
      <c r="H532" s="3">
        <v>35.1</v>
      </c>
      <c r="I532" t="s">
        <v>114</v>
      </c>
    </row>
    <row r="533" spans="1:9" x14ac:dyDescent="0.35">
      <c r="A533" s="2">
        <v>45337</v>
      </c>
      <c r="B533">
        <v>77</v>
      </c>
      <c r="C533">
        <v>2124007</v>
      </c>
      <c r="D533" t="s">
        <v>30</v>
      </c>
      <c r="E533" t="s">
        <v>214</v>
      </c>
      <c r="F533" s="3">
        <v>183.81</v>
      </c>
      <c r="G533" s="3">
        <v>0</v>
      </c>
      <c r="H533" s="3">
        <v>183.81</v>
      </c>
      <c r="I533" t="s">
        <v>114</v>
      </c>
    </row>
    <row r="534" spans="1:9" x14ac:dyDescent="0.35">
      <c r="A534" s="2">
        <v>45337</v>
      </c>
      <c r="B534">
        <v>77</v>
      </c>
      <c r="C534">
        <v>2124004</v>
      </c>
      <c r="D534" t="s">
        <v>29</v>
      </c>
      <c r="E534" t="s">
        <v>119</v>
      </c>
      <c r="F534" s="3">
        <v>951.94</v>
      </c>
      <c r="G534" s="3">
        <v>0</v>
      </c>
      <c r="H534" s="3">
        <v>951.94</v>
      </c>
      <c r="I534" t="s">
        <v>114</v>
      </c>
    </row>
    <row r="535" spans="1:9" x14ac:dyDescent="0.35">
      <c r="A535" s="2">
        <v>45337</v>
      </c>
      <c r="B535">
        <v>77</v>
      </c>
      <c r="C535">
        <v>2124009</v>
      </c>
      <c r="D535" t="s">
        <v>154</v>
      </c>
      <c r="E535" t="s">
        <v>296</v>
      </c>
      <c r="F535" s="3">
        <v>1431.32</v>
      </c>
      <c r="G535" s="3">
        <v>0</v>
      </c>
      <c r="H535" s="3">
        <v>1431.32</v>
      </c>
      <c r="I535" t="s">
        <v>114</v>
      </c>
    </row>
    <row r="536" spans="1:9" x14ac:dyDescent="0.35">
      <c r="A536" s="2">
        <v>45337</v>
      </c>
      <c r="B536">
        <v>77</v>
      </c>
      <c r="C536">
        <v>2121003</v>
      </c>
      <c r="D536" t="s">
        <v>28</v>
      </c>
      <c r="E536" t="s">
        <v>297</v>
      </c>
      <c r="F536" s="3">
        <v>12457.59</v>
      </c>
      <c r="G536" s="3">
        <v>0</v>
      </c>
      <c r="H536" s="3">
        <v>12457.59</v>
      </c>
      <c r="I536" t="s">
        <v>114</v>
      </c>
    </row>
    <row r="537" spans="1:9" x14ac:dyDescent="0.35">
      <c r="A537" s="2">
        <v>45337</v>
      </c>
      <c r="B537">
        <v>77</v>
      </c>
      <c r="C537">
        <v>2114001</v>
      </c>
      <c r="D537" t="s">
        <v>97</v>
      </c>
      <c r="E537" t="s">
        <v>1768</v>
      </c>
      <c r="F537" s="3">
        <v>946</v>
      </c>
      <c r="G537" s="3">
        <v>0</v>
      </c>
      <c r="H537" s="3">
        <v>946</v>
      </c>
      <c r="I537" t="s">
        <v>114</v>
      </c>
    </row>
    <row r="538" spans="1:9" x14ac:dyDescent="0.35">
      <c r="A538" s="2">
        <v>45337</v>
      </c>
      <c r="B538">
        <v>77</v>
      </c>
      <c r="C538">
        <v>1112003</v>
      </c>
      <c r="D538" t="s">
        <v>22</v>
      </c>
      <c r="E538" t="s">
        <v>107</v>
      </c>
      <c r="F538" s="3">
        <v>0</v>
      </c>
      <c r="G538" s="3">
        <v>36801.39</v>
      </c>
      <c r="H538" s="3">
        <v>-36801.39</v>
      </c>
      <c r="I538" t="s">
        <v>114</v>
      </c>
    </row>
    <row r="539" spans="1:9" x14ac:dyDescent="0.35">
      <c r="A539" s="2">
        <v>45337</v>
      </c>
      <c r="B539">
        <v>77</v>
      </c>
      <c r="C539">
        <v>1112003</v>
      </c>
      <c r="D539" t="s">
        <v>22</v>
      </c>
      <c r="E539" t="s">
        <v>298</v>
      </c>
      <c r="F539" s="3">
        <v>36540</v>
      </c>
      <c r="G539" s="3">
        <v>0</v>
      </c>
      <c r="H539" s="3">
        <v>36540</v>
      </c>
      <c r="I539" t="s">
        <v>114</v>
      </c>
    </row>
    <row r="540" spans="1:9" x14ac:dyDescent="0.35">
      <c r="A540" s="2">
        <v>45337</v>
      </c>
      <c r="B540">
        <v>77</v>
      </c>
      <c r="C540">
        <v>1111001</v>
      </c>
      <c r="D540" t="s">
        <v>16</v>
      </c>
      <c r="E540" t="s">
        <v>111</v>
      </c>
      <c r="F540" s="3">
        <v>0</v>
      </c>
      <c r="G540" s="3">
        <v>25000</v>
      </c>
      <c r="H540" s="3">
        <v>-25000</v>
      </c>
      <c r="I540" t="s">
        <v>114</v>
      </c>
    </row>
    <row r="541" spans="1:9" x14ac:dyDescent="0.35">
      <c r="A541" s="2">
        <v>45337</v>
      </c>
      <c r="B541">
        <v>77</v>
      </c>
      <c r="C541">
        <v>1111001</v>
      </c>
      <c r="D541" t="s">
        <v>16</v>
      </c>
      <c r="E541" t="s">
        <v>112</v>
      </c>
      <c r="F541" s="3">
        <v>0</v>
      </c>
      <c r="G541" s="3">
        <v>90</v>
      </c>
      <c r="H541" s="3">
        <v>-90</v>
      </c>
      <c r="I541" t="s">
        <v>114</v>
      </c>
    </row>
    <row r="542" spans="1:9" x14ac:dyDescent="0.35">
      <c r="A542" s="2">
        <v>45337</v>
      </c>
      <c r="B542">
        <v>77</v>
      </c>
      <c r="C542">
        <v>1111001</v>
      </c>
      <c r="D542" t="s">
        <v>16</v>
      </c>
      <c r="E542" t="s">
        <v>299</v>
      </c>
      <c r="F542" s="3">
        <v>0</v>
      </c>
      <c r="G542" s="3">
        <v>600</v>
      </c>
      <c r="H542" s="3">
        <v>-600</v>
      </c>
      <c r="I542" t="s">
        <v>114</v>
      </c>
    </row>
    <row r="543" spans="1:9" x14ac:dyDescent="0.35">
      <c r="A543" s="2">
        <v>45337</v>
      </c>
      <c r="B543">
        <v>77</v>
      </c>
      <c r="C543">
        <v>1111001</v>
      </c>
      <c r="D543" t="s">
        <v>16</v>
      </c>
      <c r="E543" t="s">
        <v>300</v>
      </c>
      <c r="F543" s="3">
        <v>0</v>
      </c>
      <c r="G543" s="3">
        <v>10850</v>
      </c>
      <c r="H543" s="3">
        <v>-10850</v>
      </c>
      <c r="I543" t="s">
        <v>114</v>
      </c>
    </row>
    <row r="544" spans="1:9" x14ac:dyDescent="0.35">
      <c r="A544" s="2">
        <v>45337</v>
      </c>
      <c r="B544">
        <v>77</v>
      </c>
      <c r="C544">
        <v>6121023</v>
      </c>
      <c r="D544" t="s">
        <v>49</v>
      </c>
      <c r="E544" t="s">
        <v>301</v>
      </c>
      <c r="F544" s="3">
        <v>780</v>
      </c>
      <c r="G544" s="3">
        <v>0</v>
      </c>
      <c r="H544" s="3">
        <v>780</v>
      </c>
      <c r="I544" t="s">
        <v>144</v>
      </c>
    </row>
    <row r="545" spans="1:9" x14ac:dyDescent="0.35">
      <c r="A545" s="2">
        <v>45337</v>
      </c>
      <c r="B545">
        <v>77</v>
      </c>
      <c r="C545">
        <v>2114001</v>
      </c>
      <c r="D545" t="s">
        <v>97</v>
      </c>
      <c r="E545" t="s">
        <v>301</v>
      </c>
      <c r="F545" s="3">
        <v>0</v>
      </c>
      <c r="G545" s="3">
        <v>780</v>
      </c>
      <c r="H545" s="3">
        <v>-780</v>
      </c>
      <c r="I545" t="s">
        <v>144</v>
      </c>
    </row>
    <row r="546" spans="1:9" x14ac:dyDescent="0.35">
      <c r="A546" s="2">
        <v>45337</v>
      </c>
      <c r="B546">
        <v>77</v>
      </c>
      <c r="C546">
        <v>5131016</v>
      </c>
      <c r="D546" t="s">
        <v>238</v>
      </c>
      <c r="E546" t="s">
        <v>302</v>
      </c>
      <c r="F546" s="3">
        <v>4860</v>
      </c>
      <c r="G546" s="3">
        <v>0</v>
      </c>
      <c r="H546" s="3">
        <v>4860</v>
      </c>
      <c r="I546" t="s">
        <v>144</v>
      </c>
    </row>
    <row r="547" spans="1:9" x14ac:dyDescent="0.35">
      <c r="A547" s="2">
        <v>45337</v>
      </c>
      <c r="B547">
        <v>77</v>
      </c>
      <c r="C547">
        <v>5132012</v>
      </c>
      <c r="D547" t="s">
        <v>303</v>
      </c>
      <c r="E547" t="s">
        <v>1777</v>
      </c>
      <c r="F547" s="3">
        <v>720</v>
      </c>
      <c r="G547" s="3">
        <v>0</v>
      </c>
      <c r="H547" s="3">
        <v>720</v>
      </c>
      <c r="I547" t="s">
        <v>144</v>
      </c>
    </row>
    <row r="548" spans="1:9" x14ac:dyDescent="0.35">
      <c r="A548" s="2">
        <v>45337</v>
      </c>
      <c r="B548">
        <v>77</v>
      </c>
      <c r="C548">
        <v>2114001</v>
      </c>
      <c r="D548" t="s">
        <v>97</v>
      </c>
      <c r="E548" t="s">
        <v>302</v>
      </c>
      <c r="F548" s="3">
        <v>0</v>
      </c>
      <c r="G548" s="3">
        <v>4860</v>
      </c>
      <c r="H548" s="3">
        <v>-4860</v>
      </c>
      <c r="I548" t="s">
        <v>144</v>
      </c>
    </row>
    <row r="549" spans="1:9" x14ac:dyDescent="0.35">
      <c r="A549" s="2">
        <v>45337</v>
      </c>
      <c r="B549">
        <v>77</v>
      </c>
      <c r="C549">
        <v>2114001</v>
      </c>
      <c r="D549" t="s">
        <v>97</v>
      </c>
      <c r="E549" t="s">
        <v>1777</v>
      </c>
      <c r="F549" s="3">
        <v>0</v>
      </c>
      <c r="G549" s="3">
        <v>720</v>
      </c>
      <c r="H549" s="3">
        <v>-720</v>
      </c>
      <c r="I549" t="s">
        <v>144</v>
      </c>
    </row>
    <row r="550" spans="1:9" x14ac:dyDescent="0.35">
      <c r="A550" s="2">
        <v>45337</v>
      </c>
      <c r="B550">
        <v>77</v>
      </c>
      <c r="C550">
        <v>1112002</v>
      </c>
      <c r="D550" t="s">
        <v>21</v>
      </c>
      <c r="E550" t="s">
        <v>108</v>
      </c>
      <c r="F550" s="3">
        <v>86676.11</v>
      </c>
      <c r="G550" s="3">
        <v>0</v>
      </c>
      <c r="H550" s="3">
        <v>86676.11</v>
      </c>
      <c r="I550" t="s">
        <v>124</v>
      </c>
    </row>
    <row r="551" spans="1:9" x14ac:dyDescent="0.35">
      <c r="A551" s="2">
        <v>45337</v>
      </c>
      <c r="B551">
        <v>77</v>
      </c>
      <c r="C551">
        <v>1111001</v>
      </c>
      <c r="D551" t="s">
        <v>16</v>
      </c>
      <c r="E551" t="s">
        <v>137</v>
      </c>
      <c r="F551" s="3">
        <v>0</v>
      </c>
      <c r="G551" s="3">
        <v>66085.119999999995</v>
      </c>
      <c r="H551" s="3">
        <v>-66085.119999999995</v>
      </c>
      <c r="I551" t="s">
        <v>124</v>
      </c>
    </row>
    <row r="552" spans="1:9" x14ac:dyDescent="0.35">
      <c r="A552" s="2">
        <v>45337</v>
      </c>
      <c r="B552">
        <v>77</v>
      </c>
      <c r="C552">
        <v>1111001</v>
      </c>
      <c r="D552" t="s">
        <v>16</v>
      </c>
      <c r="E552" t="s">
        <v>139</v>
      </c>
      <c r="F552" s="3">
        <v>0</v>
      </c>
      <c r="G552" s="3">
        <v>10086.26</v>
      </c>
      <c r="H552" s="3">
        <v>-10086.26</v>
      </c>
      <c r="I552" t="s">
        <v>124</v>
      </c>
    </row>
    <row r="553" spans="1:9" x14ac:dyDescent="0.35">
      <c r="A553" s="2">
        <v>45337</v>
      </c>
      <c r="B553">
        <v>77</v>
      </c>
      <c r="C553">
        <v>1111001</v>
      </c>
      <c r="D553" t="s">
        <v>16</v>
      </c>
      <c r="E553" t="s">
        <v>304</v>
      </c>
      <c r="F553" s="3">
        <v>0</v>
      </c>
      <c r="G553" s="3">
        <v>6385.23</v>
      </c>
      <c r="H553" s="3">
        <v>-6385.23</v>
      </c>
      <c r="I553" t="s">
        <v>124</v>
      </c>
    </row>
    <row r="554" spans="1:9" x14ac:dyDescent="0.35">
      <c r="A554" s="2">
        <v>45337</v>
      </c>
      <c r="B554">
        <v>77</v>
      </c>
      <c r="C554">
        <v>1111001</v>
      </c>
      <c r="D554" t="s">
        <v>16</v>
      </c>
      <c r="E554" t="s">
        <v>305</v>
      </c>
      <c r="F554" s="3">
        <v>0</v>
      </c>
      <c r="G554" s="3">
        <v>3900</v>
      </c>
      <c r="H554" s="3">
        <v>-3900</v>
      </c>
      <c r="I554" t="s">
        <v>124</v>
      </c>
    </row>
    <row r="555" spans="1:9" x14ac:dyDescent="0.35">
      <c r="A555" s="2">
        <v>45337</v>
      </c>
      <c r="B555">
        <v>77</v>
      </c>
      <c r="C555">
        <v>4141003</v>
      </c>
      <c r="D555" t="s">
        <v>141</v>
      </c>
      <c r="E555" t="s">
        <v>142</v>
      </c>
      <c r="F555" s="3">
        <v>0</v>
      </c>
      <c r="G555" s="3">
        <v>219.5</v>
      </c>
      <c r="H555" s="3">
        <v>-219.5</v>
      </c>
      <c r="I555" t="s">
        <v>124</v>
      </c>
    </row>
    <row r="556" spans="1:9" x14ac:dyDescent="0.35">
      <c r="A556" s="2">
        <v>45337</v>
      </c>
      <c r="B556">
        <v>77</v>
      </c>
      <c r="C556">
        <v>2114010</v>
      </c>
      <c r="D556" t="s">
        <v>48</v>
      </c>
      <c r="E556" t="s">
        <v>306</v>
      </c>
      <c r="F556" s="3">
        <v>7314.05</v>
      </c>
      <c r="G556" s="3">
        <v>0</v>
      </c>
      <c r="H556" s="3">
        <v>7314.05</v>
      </c>
      <c r="I556" t="s">
        <v>144</v>
      </c>
    </row>
    <row r="557" spans="1:9" x14ac:dyDescent="0.35">
      <c r="A557" s="2">
        <v>45337</v>
      </c>
      <c r="B557">
        <v>77</v>
      </c>
      <c r="C557">
        <v>2114001</v>
      </c>
      <c r="D557" t="s">
        <v>97</v>
      </c>
      <c r="E557" t="s">
        <v>306</v>
      </c>
      <c r="F557" s="3">
        <v>0</v>
      </c>
      <c r="G557" s="3">
        <v>7314.05</v>
      </c>
      <c r="H557" s="3">
        <v>-7314.05</v>
      </c>
      <c r="I557" t="s">
        <v>144</v>
      </c>
    </row>
    <row r="558" spans="1:9" x14ac:dyDescent="0.35">
      <c r="A558" s="2">
        <v>45351</v>
      </c>
      <c r="B558">
        <v>78</v>
      </c>
      <c r="C558">
        <v>6121018</v>
      </c>
      <c r="D558" t="s">
        <v>150</v>
      </c>
      <c r="E558" t="s">
        <v>151</v>
      </c>
      <c r="F558" s="3">
        <v>6017.4</v>
      </c>
      <c r="G558" s="3">
        <v>0</v>
      </c>
      <c r="H558" s="3">
        <v>6017.4</v>
      </c>
      <c r="I558" t="s">
        <v>307</v>
      </c>
    </row>
    <row r="559" spans="1:9" x14ac:dyDescent="0.35">
      <c r="A559" s="2">
        <v>45351</v>
      </c>
      <c r="B559">
        <v>78</v>
      </c>
      <c r="C559">
        <v>1141001</v>
      </c>
      <c r="D559" t="s">
        <v>153</v>
      </c>
      <c r="E559" t="s">
        <v>151</v>
      </c>
      <c r="F559" s="3">
        <v>962.78</v>
      </c>
      <c r="G559" s="3">
        <v>0</v>
      </c>
      <c r="H559" s="3">
        <v>962.78</v>
      </c>
      <c r="I559" t="s">
        <v>307</v>
      </c>
    </row>
    <row r="560" spans="1:9" x14ac:dyDescent="0.35">
      <c r="A560" s="2">
        <v>45351</v>
      </c>
      <c r="B560">
        <v>78</v>
      </c>
      <c r="C560">
        <v>2124009</v>
      </c>
      <c r="D560" t="s">
        <v>154</v>
      </c>
      <c r="E560" t="s">
        <v>151</v>
      </c>
      <c r="F560" s="3">
        <v>0</v>
      </c>
      <c r="G560" s="3">
        <v>722.09</v>
      </c>
      <c r="H560" s="3">
        <v>-722.09</v>
      </c>
      <c r="I560" t="s">
        <v>1438</v>
      </c>
    </row>
    <row r="561" spans="1:9" x14ac:dyDescent="0.35">
      <c r="A561" s="2">
        <v>45351</v>
      </c>
      <c r="B561">
        <v>78</v>
      </c>
      <c r="C561">
        <v>2122003</v>
      </c>
      <c r="D561" t="s">
        <v>308</v>
      </c>
      <c r="E561" t="s">
        <v>151</v>
      </c>
      <c r="F561" s="3">
        <v>0</v>
      </c>
      <c r="G561" s="3">
        <v>120.35</v>
      </c>
      <c r="H561" s="3">
        <v>-120.35</v>
      </c>
      <c r="I561" t="s">
        <v>307</v>
      </c>
    </row>
    <row r="562" spans="1:9" x14ac:dyDescent="0.35">
      <c r="A562" s="2">
        <v>45351</v>
      </c>
      <c r="B562">
        <v>78</v>
      </c>
      <c r="C562">
        <v>2114010</v>
      </c>
      <c r="D562" t="s">
        <v>48</v>
      </c>
      <c r="E562" t="s">
        <v>151</v>
      </c>
      <c r="F562" s="3">
        <v>0</v>
      </c>
      <c r="G562" s="3">
        <v>6137.74</v>
      </c>
      <c r="H562" s="3">
        <v>-6137.74</v>
      </c>
      <c r="I562" t="s">
        <v>307</v>
      </c>
    </row>
    <row r="563" spans="1:9" x14ac:dyDescent="0.35">
      <c r="A563" s="2">
        <v>45351</v>
      </c>
      <c r="B563">
        <v>78</v>
      </c>
      <c r="C563">
        <v>6121016</v>
      </c>
      <c r="D563" t="s">
        <v>156</v>
      </c>
      <c r="E563" t="s">
        <v>157</v>
      </c>
      <c r="F563" s="3">
        <v>310.11</v>
      </c>
      <c r="G563" s="3">
        <v>0</v>
      </c>
      <c r="H563" s="3">
        <v>310.11</v>
      </c>
      <c r="I563" t="s">
        <v>309</v>
      </c>
    </row>
    <row r="564" spans="1:9" x14ac:dyDescent="0.35">
      <c r="A564" s="2">
        <v>45351</v>
      </c>
      <c r="B564">
        <v>78</v>
      </c>
      <c r="C564">
        <v>2114010</v>
      </c>
      <c r="D564" t="s">
        <v>48</v>
      </c>
      <c r="E564" t="s">
        <v>157</v>
      </c>
      <c r="F564" s="3">
        <v>0</v>
      </c>
      <c r="G564" s="3">
        <v>310.11</v>
      </c>
      <c r="H564" s="3">
        <v>-310.11</v>
      </c>
      <c r="I564" t="s">
        <v>309</v>
      </c>
    </row>
    <row r="565" spans="1:9" x14ac:dyDescent="0.35">
      <c r="A565" s="2">
        <v>45351</v>
      </c>
      <c r="B565">
        <v>78</v>
      </c>
      <c r="C565">
        <v>6121023</v>
      </c>
      <c r="D565" t="s">
        <v>49</v>
      </c>
      <c r="E565" t="s">
        <v>166</v>
      </c>
      <c r="F565" s="3">
        <v>150.01</v>
      </c>
      <c r="G565" s="3">
        <v>0</v>
      </c>
      <c r="H565" s="3">
        <v>150.01</v>
      </c>
      <c r="I565" t="s">
        <v>310</v>
      </c>
    </row>
    <row r="566" spans="1:9" x14ac:dyDescent="0.35">
      <c r="A566" s="2">
        <v>45351</v>
      </c>
      <c r="B566">
        <v>78</v>
      </c>
      <c r="C566">
        <v>1141001</v>
      </c>
      <c r="D566" t="s">
        <v>153</v>
      </c>
      <c r="E566" t="s">
        <v>166</v>
      </c>
      <c r="F566" s="3">
        <v>2.78</v>
      </c>
      <c r="G566" s="3">
        <v>0</v>
      </c>
      <c r="H566" s="3">
        <v>2.78</v>
      </c>
      <c r="I566" t="s">
        <v>310</v>
      </c>
    </row>
    <row r="567" spans="1:9" x14ac:dyDescent="0.35">
      <c r="A567" s="2">
        <v>45351</v>
      </c>
      <c r="B567">
        <v>78</v>
      </c>
      <c r="C567">
        <v>2114010</v>
      </c>
      <c r="D567" t="s">
        <v>48</v>
      </c>
      <c r="E567" t="s">
        <v>166</v>
      </c>
      <c r="F567" s="3">
        <v>0</v>
      </c>
      <c r="G567" s="3">
        <v>152.79</v>
      </c>
      <c r="H567" s="3">
        <v>-152.79</v>
      </c>
      <c r="I567" t="s">
        <v>310</v>
      </c>
    </row>
    <row r="568" spans="1:9" x14ac:dyDescent="0.35">
      <c r="A568" s="2">
        <v>45351</v>
      </c>
      <c r="B568">
        <v>78</v>
      </c>
      <c r="C568">
        <v>6121023</v>
      </c>
      <c r="D568" t="s">
        <v>49</v>
      </c>
      <c r="E568" t="s">
        <v>166</v>
      </c>
      <c r="F568" s="3">
        <v>308.44</v>
      </c>
      <c r="G568" s="3">
        <v>0</v>
      </c>
      <c r="H568" s="3">
        <v>308.44</v>
      </c>
      <c r="I568" t="s">
        <v>311</v>
      </c>
    </row>
    <row r="569" spans="1:9" x14ac:dyDescent="0.35">
      <c r="A569" s="2">
        <v>45351</v>
      </c>
      <c r="B569">
        <v>78</v>
      </c>
      <c r="C569">
        <v>1141001</v>
      </c>
      <c r="D569" t="s">
        <v>153</v>
      </c>
      <c r="E569" t="s">
        <v>166</v>
      </c>
      <c r="F569" s="3">
        <v>11.55</v>
      </c>
      <c r="G569" s="3">
        <v>0</v>
      </c>
      <c r="H569" s="3">
        <v>11.55</v>
      </c>
      <c r="I569" t="s">
        <v>311</v>
      </c>
    </row>
    <row r="570" spans="1:9" x14ac:dyDescent="0.35">
      <c r="A570" s="2">
        <v>45351</v>
      </c>
      <c r="B570">
        <v>78</v>
      </c>
      <c r="C570">
        <v>2114010</v>
      </c>
      <c r="D570" t="s">
        <v>48</v>
      </c>
      <c r="E570" t="s">
        <v>166</v>
      </c>
      <c r="F570" s="3">
        <v>0</v>
      </c>
      <c r="G570" s="3">
        <v>319.99</v>
      </c>
      <c r="H570" s="3">
        <v>-319.99</v>
      </c>
      <c r="I570" t="s">
        <v>311</v>
      </c>
    </row>
    <row r="571" spans="1:9" x14ac:dyDescent="0.35">
      <c r="A571" s="2">
        <v>45351</v>
      </c>
      <c r="B571">
        <v>78</v>
      </c>
      <c r="C571">
        <v>6121023</v>
      </c>
      <c r="D571" t="s">
        <v>49</v>
      </c>
      <c r="E571" t="s">
        <v>52</v>
      </c>
      <c r="F571" s="3">
        <v>1430.55</v>
      </c>
      <c r="G571" s="3">
        <v>0</v>
      </c>
      <c r="H571" s="3">
        <v>1430.55</v>
      </c>
      <c r="I571" t="s">
        <v>312</v>
      </c>
    </row>
    <row r="572" spans="1:9" x14ac:dyDescent="0.35">
      <c r="A572" s="2">
        <v>45351</v>
      </c>
      <c r="B572">
        <v>78</v>
      </c>
      <c r="C572">
        <v>2114010</v>
      </c>
      <c r="D572" t="s">
        <v>48</v>
      </c>
      <c r="E572" t="s">
        <v>52</v>
      </c>
      <c r="F572" s="3">
        <v>0</v>
      </c>
      <c r="G572" s="3">
        <v>1430.55</v>
      </c>
      <c r="H572" s="3">
        <v>-1430.55</v>
      </c>
      <c r="I572" t="s">
        <v>312</v>
      </c>
    </row>
    <row r="573" spans="1:9" x14ac:dyDescent="0.35">
      <c r="A573" s="2">
        <v>45351</v>
      </c>
      <c r="B573">
        <v>78</v>
      </c>
      <c r="C573">
        <v>6121023</v>
      </c>
      <c r="D573" t="s">
        <v>49</v>
      </c>
      <c r="E573" t="s">
        <v>159</v>
      </c>
      <c r="F573" s="3">
        <v>380.41</v>
      </c>
      <c r="G573" s="3">
        <v>0</v>
      </c>
      <c r="H573" s="3">
        <v>380.41</v>
      </c>
      <c r="I573" t="s">
        <v>313</v>
      </c>
    </row>
    <row r="574" spans="1:9" x14ac:dyDescent="0.35">
      <c r="A574" s="2">
        <v>45351</v>
      </c>
      <c r="B574">
        <v>78</v>
      </c>
      <c r="C574">
        <v>2114010</v>
      </c>
      <c r="D574" t="s">
        <v>48</v>
      </c>
      <c r="E574" t="s">
        <v>159</v>
      </c>
      <c r="F574" s="3">
        <v>0</v>
      </c>
      <c r="G574" s="3">
        <v>380.41</v>
      </c>
      <c r="H574" s="3">
        <v>-380.41</v>
      </c>
      <c r="I574" t="s">
        <v>313</v>
      </c>
    </row>
    <row r="575" spans="1:9" x14ac:dyDescent="0.35">
      <c r="A575" s="2">
        <v>45351</v>
      </c>
      <c r="B575">
        <v>78</v>
      </c>
      <c r="C575">
        <v>6121023</v>
      </c>
      <c r="D575" t="s">
        <v>49</v>
      </c>
      <c r="E575" t="s">
        <v>52</v>
      </c>
      <c r="F575" s="3">
        <v>838.02</v>
      </c>
      <c r="G575" s="3">
        <v>0</v>
      </c>
      <c r="H575" s="3">
        <v>838.02</v>
      </c>
      <c r="I575" t="s">
        <v>314</v>
      </c>
    </row>
    <row r="576" spans="1:9" x14ac:dyDescent="0.35">
      <c r="A576" s="2">
        <v>45351</v>
      </c>
      <c r="B576">
        <v>78</v>
      </c>
      <c r="C576">
        <v>2114010</v>
      </c>
      <c r="D576" t="s">
        <v>48</v>
      </c>
      <c r="E576" t="s">
        <v>52</v>
      </c>
      <c r="F576" s="3">
        <v>0</v>
      </c>
      <c r="G576" s="3">
        <v>838.02</v>
      </c>
      <c r="H576" s="3">
        <v>-838.02</v>
      </c>
      <c r="I576" t="s">
        <v>314</v>
      </c>
    </row>
    <row r="577" spans="1:9" x14ac:dyDescent="0.35">
      <c r="A577" s="2">
        <v>45351</v>
      </c>
      <c r="B577">
        <v>78</v>
      </c>
      <c r="C577">
        <v>6121023</v>
      </c>
      <c r="D577" t="s">
        <v>49</v>
      </c>
      <c r="E577" t="s">
        <v>52</v>
      </c>
      <c r="F577" s="3">
        <v>263.93</v>
      </c>
      <c r="G577" s="3">
        <v>0</v>
      </c>
      <c r="H577" s="3">
        <v>263.93</v>
      </c>
      <c r="I577" t="s">
        <v>315</v>
      </c>
    </row>
    <row r="578" spans="1:9" x14ac:dyDescent="0.35">
      <c r="A578" s="2">
        <v>45351</v>
      </c>
      <c r="B578">
        <v>78</v>
      </c>
      <c r="C578">
        <v>2114010</v>
      </c>
      <c r="D578" t="s">
        <v>48</v>
      </c>
      <c r="E578" t="s">
        <v>52</v>
      </c>
      <c r="F578" s="3">
        <v>0</v>
      </c>
      <c r="G578" s="3">
        <v>263.93</v>
      </c>
      <c r="H578" s="3">
        <v>-263.93</v>
      </c>
      <c r="I578" t="s">
        <v>315</v>
      </c>
    </row>
    <row r="579" spans="1:9" x14ac:dyDescent="0.35">
      <c r="A579" s="2">
        <v>45351</v>
      </c>
      <c r="B579">
        <v>78</v>
      </c>
      <c r="C579">
        <v>6121023</v>
      </c>
      <c r="D579" t="s">
        <v>49</v>
      </c>
      <c r="E579" t="s">
        <v>166</v>
      </c>
      <c r="F579" s="3">
        <v>528.48</v>
      </c>
      <c r="G579" s="3">
        <v>0</v>
      </c>
      <c r="H579" s="3">
        <v>528.48</v>
      </c>
      <c r="I579" t="s">
        <v>316</v>
      </c>
    </row>
    <row r="580" spans="1:9" x14ac:dyDescent="0.35">
      <c r="A580" s="2">
        <v>45351</v>
      </c>
      <c r="B580">
        <v>78</v>
      </c>
      <c r="C580">
        <v>6121046</v>
      </c>
      <c r="D580" t="s">
        <v>94</v>
      </c>
      <c r="E580" t="s">
        <v>166</v>
      </c>
      <c r="F580" s="3">
        <v>10.87</v>
      </c>
      <c r="G580" s="3">
        <v>0</v>
      </c>
      <c r="H580" s="3">
        <v>10.87</v>
      </c>
      <c r="I580" t="s">
        <v>316</v>
      </c>
    </row>
    <row r="581" spans="1:9" x14ac:dyDescent="0.35">
      <c r="A581" s="2">
        <v>45351</v>
      </c>
      <c r="B581">
        <v>78</v>
      </c>
      <c r="C581">
        <v>1111001</v>
      </c>
      <c r="D581" t="s">
        <v>16</v>
      </c>
      <c r="E581" t="s">
        <v>166</v>
      </c>
      <c r="F581" s="3">
        <v>0</v>
      </c>
      <c r="G581" s="3">
        <v>10.87</v>
      </c>
      <c r="H581" s="3">
        <v>-10.87</v>
      </c>
      <c r="I581" t="s">
        <v>316</v>
      </c>
    </row>
    <row r="582" spans="1:9" x14ac:dyDescent="0.35">
      <c r="A582" s="2">
        <v>45351</v>
      </c>
      <c r="B582">
        <v>78</v>
      </c>
      <c r="C582">
        <v>1111001</v>
      </c>
      <c r="D582" t="s">
        <v>16</v>
      </c>
      <c r="E582" t="s">
        <v>166</v>
      </c>
      <c r="F582" s="3">
        <v>0</v>
      </c>
      <c r="G582" s="3">
        <v>528.48</v>
      </c>
      <c r="H582" s="3">
        <v>-528.48</v>
      </c>
      <c r="I582" t="s">
        <v>316</v>
      </c>
    </row>
    <row r="583" spans="1:9" x14ac:dyDescent="0.35">
      <c r="A583" s="2">
        <v>45351</v>
      </c>
      <c r="B583">
        <v>78</v>
      </c>
      <c r="C583">
        <v>6121023</v>
      </c>
      <c r="D583" t="s">
        <v>49</v>
      </c>
      <c r="E583" t="s">
        <v>161</v>
      </c>
      <c r="F583" s="3">
        <v>643.87</v>
      </c>
      <c r="G583" s="3">
        <v>0</v>
      </c>
      <c r="H583" s="3">
        <v>643.87</v>
      </c>
      <c r="I583" t="s">
        <v>317</v>
      </c>
    </row>
    <row r="584" spans="1:9" x14ac:dyDescent="0.35">
      <c r="A584" s="2">
        <v>45351</v>
      </c>
      <c r="B584">
        <v>78</v>
      </c>
      <c r="C584">
        <v>6121046</v>
      </c>
      <c r="D584" t="s">
        <v>94</v>
      </c>
      <c r="E584" t="s">
        <v>161</v>
      </c>
      <c r="F584" s="3">
        <v>19.32</v>
      </c>
      <c r="G584" s="3">
        <v>0</v>
      </c>
      <c r="H584" s="3">
        <v>19.32</v>
      </c>
      <c r="I584" t="s">
        <v>317</v>
      </c>
    </row>
    <row r="585" spans="1:9" x14ac:dyDescent="0.35">
      <c r="A585" s="2">
        <v>45351</v>
      </c>
      <c r="B585">
        <v>78</v>
      </c>
      <c r="C585">
        <v>1111001</v>
      </c>
      <c r="D585" t="s">
        <v>16</v>
      </c>
      <c r="E585" t="s">
        <v>161</v>
      </c>
      <c r="F585" s="3">
        <v>0</v>
      </c>
      <c r="G585" s="3">
        <v>19.32</v>
      </c>
      <c r="H585" s="3">
        <v>-19.32</v>
      </c>
      <c r="I585" t="s">
        <v>317</v>
      </c>
    </row>
    <row r="586" spans="1:9" x14ac:dyDescent="0.35">
      <c r="A586" s="2">
        <v>45351</v>
      </c>
      <c r="B586">
        <v>78</v>
      </c>
      <c r="C586">
        <v>1111001</v>
      </c>
      <c r="D586" t="s">
        <v>16</v>
      </c>
      <c r="E586" t="s">
        <v>161</v>
      </c>
      <c r="F586" s="3">
        <v>0</v>
      </c>
      <c r="G586" s="3">
        <v>643.87</v>
      </c>
      <c r="H586" s="3">
        <v>-643.87</v>
      </c>
      <c r="I586" t="s">
        <v>317</v>
      </c>
    </row>
    <row r="587" spans="1:9" x14ac:dyDescent="0.35">
      <c r="A587" s="2">
        <v>45351</v>
      </c>
      <c r="B587">
        <v>78</v>
      </c>
      <c r="C587">
        <v>6121023</v>
      </c>
      <c r="D587" t="s">
        <v>49</v>
      </c>
      <c r="E587" t="s">
        <v>52</v>
      </c>
      <c r="F587" s="3">
        <v>265.7</v>
      </c>
      <c r="G587" s="3">
        <v>0</v>
      </c>
      <c r="H587" s="3">
        <v>265.7</v>
      </c>
      <c r="I587" t="s">
        <v>318</v>
      </c>
    </row>
    <row r="588" spans="1:9" x14ac:dyDescent="0.35">
      <c r="A588" s="2">
        <v>45351</v>
      </c>
      <c r="B588">
        <v>78</v>
      </c>
      <c r="C588">
        <v>2114010</v>
      </c>
      <c r="D588" t="s">
        <v>48</v>
      </c>
      <c r="E588" t="s">
        <v>52</v>
      </c>
      <c r="F588" s="3">
        <v>0</v>
      </c>
      <c r="G588" s="3">
        <v>265.7</v>
      </c>
      <c r="H588" s="3">
        <v>-265.7</v>
      </c>
      <c r="I588" t="s">
        <v>318</v>
      </c>
    </row>
    <row r="589" spans="1:9" x14ac:dyDescent="0.35">
      <c r="A589" s="2">
        <v>45351</v>
      </c>
      <c r="B589">
        <v>78</v>
      </c>
      <c r="C589">
        <v>6121023</v>
      </c>
      <c r="D589" t="s">
        <v>49</v>
      </c>
      <c r="E589" t="s">
        <v>52</v>
      </c>
      <c r="F589" s="3">
        <v>79.45</v>
      </c>
      <c r="G589" s="3">
        <v>0</v>
      </c>
      <c r="H589" s="3">
        <v>79.45</v>
      </c>
      <c r="I589" t="s">
        <v>319</v>
      </c>
    </row>
    <row r="590" spans="1:9" x14ac:dyDescent="0.35">
      <c r="A590" s="2">
        <v>45351</v>
      </c>
      <c r="B590">
        <v>78</v>
      </c>
      <c r="C590">
        <v>2114010</v>
      </c>
      <c r="D590" t="s">
        <v>48</v>
      </c>
      <c r="E590" t="s">
        <v>52</v>
      </c>
      <c r="F590" s="3">
        <v>0</v>
      </c>
      <c r="G590" s="3">
        <v>79.45</v>
      </c>
      <c r="H590" s="3">
        <v>-79.45</v>
      </c>
      <c r="I590" t="s">
        <v>319</v>
      </c>
    </row>
    <row r="591" spans="1:9" x14ac:dyDescent="0.35">
      <c r="A591" s="2">
        <v>45351</v>
      </c>
      <c r="B591">
        <v>78</v>
      </c>
      <c r="C591">
        <v>6121023</v>
      </c>
      <c r="D591" t="s">
        <v>49</v>
      </c>
      <c r="E591" t="s">
        <v>172</v>
      </c>
      <c r="F591" s="3">
        <v>76.91</v>
      </c>
      <c r="G591" s="3">
        <v>0</v>
      </c>
      <c r="H591" s="3">
        <v>76.91</v>
      </c>
      <c r="I591" t="s">
        <v>320</v>
      </c>
    </row>
    <row r="592" spans="1:9" x14ac:dyDescent="0.35">
      <c r="A592" s="2">
        <v>45351</v>
      </c>
      <c r="B592">
        <v>78</v>
      </c>
      <c r="C592">
        <v>2114010</v>
      </c>
      <c r="D592" t="s">
        <v>48</v>
      </c>
      <c r="E592" t="s">
        <v>172</v>
      </c>
      <c r="F592" s="3">
        <v>0</v>
      </c>
      <c r="G592" s="3">
        <v>76.91</v>
      </c>
      <c r="H592" s="3">
        <v>-76.91</v>
      </c>
      <c r="I592" t="s">
        <v>320</v>
      </c>
    </row>
    <row r="593" spans="1:9" x14ac:dyDescent="0.35">
      <c r="A593" s="2">
        <v>45351</v>
      </c>
      <c r="B593">
        <v>78</v>
      </c>
      <c r="C593">
        <v>6121016</v>
      </c>
      <c r="D593" t="s">
        <v>156</v>
      </c>
      <c r="E593" t="s">
        <v>157</v>
      </c>
      <c r="F593" s="3">
        <v>1412.98</v>
      </c>
      <c r="G593" s="3">
        <v>0</v>
      </c>
      <c r="H593" s="3">
        <v>1412.98</v>
      </c>
      <c r="I593" t="s">
        <v>321</v>
      </c>
    </row>
    <row r="594" spans="1:9" x14ac:dyDescent="0.35">
      <c r="A594" s="2">
        <v>45351</v>
      </c>
      <c r="B594">
        <v>78</v>
      </c>
      <c r="C594">
        <v>6121046</v>
      </c>
      <c r="D594" t="s">
        <v>94</v>
      </c>
      <c r="E594" t="s">
        <v>157</v>
      </c>
      <c r="F594" s="3">
        <v>42.38</v>
      </c>
      <c r="G594" s="3">
        <v>0</v>
      </c>
      <c r="H594" s="3">
        <v>42.38</v>
      </c>
      <c r="I594" t="s">
        <v>321</v>
      </c>
    </row>
    <row r="595" spans="1:9" x14ac:dyDescent="0.35">
      <c r="A595" s="2">
        <v>45351</v>
      </c>
      <c r="B595">
        <v>78</v>
      </c>
      <c r="C595">
        <v>1111001</v>
      </c>
      <c r="D595" t="s">
        <v>16</v>
      </c>
      <c r="E595" t="s">
        <v>157</v>
      </c>
      <c r="F595" s="3">
        <v>0</v>
      </c>
      <c r="G595" s="3">
        <v>42.38</v>
      </c>
      <c r="H595" s="3">
        <v>-42.38</v>
      </c>
      <c r="I595" t="s">
        <v>321</v>
      </c>
    </row>
    <row r="596" spans="1:9" x14ac:dyDescent="0.35">
      <c r="A596" s="2">
        <v>45351</v>
      </c>
      <c r="B596">
        <v>78</v>
      </c>
      <c r="C596">
        <v>1111001</v>
      </c>
      <c r="D596" t="s">
        <v>16</v>
      </c>
      <c r="E596" t="s">
        <v>157</v>
      </c>
      <c r="F596" s="3">
        <v>0</v>
      </c>
      <c r="G596" s="3">
        <v>1412.98</v>
      </c>
      <c r="H596" s="3">
        <v>-1412.98</v>
      </c>
      <c r="I596" t="s">
        <v>321</v>
      </c>
    </row>
    <row r="597" spans="1:9" x14ac:dyDescent="0.35">
      <c r="A597" s="2">
        <v>45351</v>
      </c>
      <c r="B597">
        <v>78</v>
      </c>
      <c r="C597">
        <v>6121023</v>
      </c>
      <c r="D597" t="s">
        <v>49</v>
      </c>
      <c r="E597" t="s">
        <v>166</v>
      </c>
      <c r="F597" s="3">
        <v>1916.56</v>
      </c>
      <c r="G597" s="3">
        <v>0</v>
      </c>
      <c r="H597" s="3">
        <v>1916.56</v>
      </c>
      <c r="I597" t="s">
        <v>322</v>
      </c>
    </row>
    <row r="598" spans="1:9" x14ac:dyDescent="0.35">
      <c r="A598" s="2">
        <v>45351</v>
      </c>
      <c r="B598">
        <v>78</v>
      </c>
      <c r="C598">
        <v>1141001</v>
      </c>
      <c r="D598" t="s">
        <v>153</v>
      </c>
      <c r="E598" t="s">
        <v>166</v>
      </c>
      <c r="F598" s="3">
        <v>0.17</v>
      </c>
      <c r="G598" s="3">
        <v>0</v>
      </c>
      <c r="H598" s="3">
        <v>0.17</v>
      </c>
      <c r="I598" t="s">
        <v>322</v>
      </c>
    </row>
    <row r="599" spans="1:9" x14ac:dyDescent="0.35">
      <c r="A599" s="2">
        <v>45351</v>
      </c>
      <c r="B599">
        <v>78</v>
      </c>
      <c r="C599">
        <v>2114010</v>
      </c>
      <c r="D599" t="s">
        <v>48</v>
      </c>
      <c r="E599" t="s">
        <v>166</v>
      </c>
      <c r="F599" s="3">
        <v>0</v>
      </c>
      <c r="G599" s="3">
        <v>1916.73</v>
      </c>
      <c r="H599" s="3">
        <v>-1916.73</v>
      </c>
      <c r="I599" t="s">
        <v>322</v>
      </c>
    </row>
    <row r="600" spans="1:9" x14ac:dyDescent="0.35">
      <c r="A600" s="2">
        <v>45351</v>
      </c>
      <c r="B600">
        <v>78</v>
      </c>
      <c r="C600">
        <v>6121023</v>
      </c>
      <c r="D600" t="s">
        <v>49</v>
      </c>
      <c r="E600" t="s">
        <v>52</v>
      </c>
      <c r="F600" s="3">
        <v>419.36</v>
      </c>
      <c r="G600" s="3">
        <v>0</v>
      </c>
      <c r="H600" s="3">
        <v>419.36</v>
      </c>
      <c r="I600" t="s">
        <v>323</v>
      </c>
    </row>
    <row r="601" spans="1:9" x14ac:dyDescent="0.35">
      <c r="A601" s="2">
        <v>45351</v>
      </c>
      <c r="B601">
        <v>78</v>
      </c>
      <c r="C601">
        <v>6121046</v>
      </c>
      <c r="D601" t="s">
        <v>94</v>
      </c>
      <c r="E601" t="s">
        <v>52</v>
      </c>
      <c r="F601" s="3">
        <v>10.88</v>
      </c>
      <c r="G601" s="3">
        <v>0</v>
      </c>
      <c r="H601" s="3">
        <v>10.88</v>
      </c>
      <c r="I601" t="s">
        <v>323</v>
      </c>
    </row>
    <row r="602" spans="1:9" x14ac:dyDescent="0.35">
      <c r="A602" s="2">
        <v>45351</v>
      </c>
      <c r="B602">
        <v>78</v>
      </c>
      <c r="C602">
        <v>1111001</v>
      </c>
      <c r="D602" t="s">
        <v>16</v>
      </c>
      <c r="E602" t="s">
        <v>52</v>
      </c>
      <c r="F602" s="3">
        <v>0</v>
      </c>
      <c r="G602" s="3">
        <v>10.88</v>
      </c>
      <c r="H602" s="3">
        <v>-10.88</v>
      </c>
      <c r="I602" t="s">
        <v>323</v>
      </c>
    </row>
    <row r="603" spans="1:9" x14ac:dyDescent="0.35">
      <c r="A603" s="2">
        <v>45351</v>
      </c>
      <c r="B603">
        <v>78</v>
      </c>
      <c r="C603">
        <v>1111001</v>
      </c>
      <c r="D603" t="s">
        <v>16</v>
      </c>
      <c r="E603" t="s">
        <v>52</v>
      </c>
      <c r="F603" s="3">
        <v>0</v>
      </c>
      <c r="G603" s="3">
        <v>419.36</v>
      </c>
      <c r="H603" s="3">
        <v>-419.36</v>
      </c>
      <c r="I603" t="s">
        <v>323</v>
      </c>
    </row>
    <row r="604" spans="1:9" x14ac:dyDescent="0.35">
      <c r="A604" s="2">
        <v>45351</v>
      </c>
      <c r="B604">
        <v>78</v>
      </c>
      <c r="C604">
        <v>6121023</v>
      </c>
      <c r="D604" t="s">
        <v>49</v>
      </c>
      <c r="E604" t="s">
        <v>52</v>
      </c>
      <c r="F604" s="3">
        <v>409.8</v>
      </c>
      <c r="G604" s="3">
        <v>0</v>
      </c>
      <c r="H604" s="3">
        <v>409.8</v>
      </c>
      <c r="I604" t="s">
        <v>324</v>
      </c>
    </row>
    <row r="605" spans="1:9" x14ac:dyDescent="0.35">
      <c r="A605" s="2">
        <v>45351</v>
      </c>
      <c r="B605">
        <v>78</v>
      </c>
      <c r="C605">
        <v>2114010</v>
      </c>
      <c r="D605" t="s">
        <v>48</v>
      </c>
      <c r="E605" t="s">
        <v>52</v>
      </c>
      <c r="F605" s="3">
        <v>0</v>
      </c>
      <c r="G605" s="3">
        <v>409.8</v>
      </c>
      <c r="H605" s="3">
        <v>-409.8</v>
      </c>
      <c r="I605" t="s">
        <v>324</v>
      </c>
    </row>
    <row r="606" spans="1:9" x14ac:dyDescent="0.35">
      <c r="A606" s="2">
        <v>45351</v>
      </c>
      <c r="B606">
        <v>78</v>
      </c>
      <c r="C606">
        <v>6121023</v>
      </c>
      <c r="D606" t="s">
        <v>49</v>
      </c>
      <c r="E606" t="s">
        <v>159</v>
      </c>
      <c r="F606" s="3">
        <v>389.89</v>
      </c>
      <c r="G606" s="3">
        <v>0</v>
      </c>
      <c r="H606" s="3">
        <v>389.89</v>
      </c>
      <c r="I606" t="s">
        <v>325</v>
      </c>
    </row>
    <row r="607" spans="1:9" x14ac:dyDescent="0.35">
      <c r="A607" s="2">
        <v>45351</v>
      </c>
      <c r="B607">
        <v>78</v>
      </c>
      <c r="C607">
        <v>2114010</v>
      </c>
      <c r="D607" t="s">
        <v>48</v>
      </c>
      <c r="E607" t="s">
        <v>159</v>
      </c>
      <c r="F607" s="3">
        <v>0</v>
      </c>
      <c r="G607" s="3">
        <v>389.89</v>
      </c>
      <c r="H607" s="3">
        <v>-389.89</v>
      </c>
      <c r="I607" t="s">
        <v>325</v>
      </c>
    </row>
    <row r="608" spans="1:9" x14ac:dyDescent="0.35">
      <c r="A608" s="2">
        <v>45351</v>
      </c>
      <c r="B608">
        <v>78</v>
      </c>
      <c r="C608">
        <v>4112003</v>
      </c>
      <c r="D608" t="s">
        <v>58</v>
      </c>
      <c r="E608" t="s">
        <v>59</v>
      </c>
      <c r="F608" s="3">
        <v>0</v>
      </c>
      <c r="G608" s="3">
        <v>7276.89</v>
      </c>
      <c r="H608" s="3">
        <v>-7276.89</v>
      </c>
      <c r="I608" t="s">
        <v>326</v>
      </c>
    </row>
    <row r="609" spans="1:9" x14ac:dyDescent="0.35">
      <c r="A609" s="2">
        <v>45351</v>
      </c>
      <c r="B609">
        <v>78</v>
      </c>
      <c r="C609">
        <v>2121001</v>
      </c>
      <c r="D609" t="s">
        <v>27</v>
      </c>
      <c r="E609" t="s">
        <v>59</v>
      </c>
      <c r="F609" s="3">
        <v>0</v>
      </c>
      <c r="G609" s="3">
        <v>1164.3</v>
      </c>
      <c r="H609" s="3">
        <v>-1164.3</v>
      </c>
      <c r="I609" t="s">
        <v>326</v>
      </c>
    </row>
    <row r="610" spans="1:9" x14ac:dyDescent="0.35">
      <c r="A610" s="2">
        <v>45351</v>
      </c>
      <c r="B610">
        <v>78</v>
      </c>
      <c r="C610">
        <v>1111001</v>
      </c>
      <c r="D610" t="s">
        <v>16</v>
      </c>
      <c r="E610" t="s">
        <v>59</v>
      </c>
      <c r="F610" s="3">
        <v>8441.19</v>
      </c>
      <c r="G610" s="3">
        <v>0</v>
      </c>
      <c r="H610" s="3">
        <v>8441.19</v>
      </c>
      <c r="I610" t="s">
        <v>326</v>
      </c>
    </row>
    <row r="611" spans="1:9" x14ac:dyDescent="0.35">
      <c r="A611" s="2">
        <v>45351</v>
      </c>
      <c r="B611">
        <v>78</v>
      </c>
      <c r="C611">
        <v>4112003</v>
      </c>
      <c r="D611" t="s">
        <v>58</v>
      </c>
      <c r="E611" t="s">
        <v>59</v>
      </c>
      <c r="F611" s="3">
        <v>0</v>
      </c>
      <c r="G611" s="3">
        <v>3259.04</v>
      </c>
      <c r="H611" s="3">
        <v>-3259.04</v>
      </c>
      <c r="I611" t="s">
        <v>327</v>
      </c>
    </row>
    <row r="612" spans="1:9" x14ac:dyDescent="0.35">
      <c r="A612" s="2">
        <v>45351</v>
      </c>
      <c r="B612">
        <v>78</v>
      </c>
      <c r="C612">
        <v>2121001</v>
      </c>
      <c r="D612" t="s">
        <v>27</v>
      </c>
      <c r="E612" t="s">
        <v>59</v>
      </c>
      <c r="F612" s="3">
        <v>0</v>
      </c>
      <c r="G612" s="3">
        <v>521.45000000000005</v>
      </c>
      <c r="H612" s="3">
        <v>-521.45000000000005</v>
      </c>
      <c r="I612" t="s">
        <v>327</v>
      </c>
    </row>
    <row r="613" spans="1:9" x14ac:dyDescent="0.35">
      <c r="A613" s="2">
        <v>45351</v>
      </c>
      <c r="B613">
        <v>78</v>
      </c>
      <c r="C613">
        <v>1111001</v>
      </c>
      <c r="D613" t="s">
        <v>16</v>
      </c>
      <c r="E613" t="s">
        <v>59</v>
      </c>
      <c r="F613" s="3">
        <v>3780.49</v>
      </c>
      <c r="G613" s="3">
        <v>0</v>
      </c>
      <c r="H613" s="3">
        <v>3780.49</v>
      </c>
      <c r="I613" t="s">
        <v>327</v>
      </c>
    </row>
    <row r="614" spans="1:9" x14ac:dyDescent="0.35">
      <c r="A614" s="2">
        <v>45351</v>
      </c>
      <c r="B614">
        <v>78</v>
      </c>
      <c r="C614">
        <v>4112003</v>
      </c>
      <c r="D614" t="s">
        <v>58</v>
      </c>
      <c r="E614" t="s">
        <v>59</v>
      </c>
      <c r="F614" s="3">
        <v>0</v>
      </c>
      <c r="G614" s="3">
        <v>1086.3399999999999</v>
      </c>
      <c r="H614" s="3">
        <v>-1086.3399999999999</v>
      </c>
      <c r="I614" t="s">
        <v>328</v>
      </c>
    </row>
    <row r="615" spans="1:9" x14ac:dyDescent="0.35">
      <c r="A615" s="2">
        <v>45351</v>
      </c>
      <c r="B615">
        <v>78</v>
      </c>
      <c r="C615">
        <v>2121001</v>
      </c>
      <c r="D615" t="s">
        <v>27</v>
      </c>
      <c r="E615" t="s">
        <v>59</v>
      </c>
      <c r="F615" s="3">
        <v>0</v>
      </c>
      <c r="G615" s="3">
        <v>173.81</v>
      </c>
      <c r="H615" s="3">
        <v>-173.81</v>
      </c>
      <c r="I615" t="s">
        <v>328</v>
      </c>
    </row>
    <row r="616" spans="1:9" x14ac:dyDescent="0.35">
      <c r="A616" s="2">
        <v>45351</v>
      </c>
      <c r="B616">
        <v>78</v>
      </c>
      <c r="C616">
        <v>1111001</v>
      </c>
      <c r="D616" t="s">
        <v>16</v>
      </c>
      <c r="E616" t="s">
        <v>59</v>
      </c>
      <c r="F616" s="3">
        <v>1260.1500000000001</v>
      </c>
      <c r="G616" s="3">
        <v>0</v>
      </c>
      <c r="H616" s="3">
        <v>1260.1500000000001</v>
      </c>
      <c r="I616" t="s">
        <v>328</v>
      </c>
    </row>
    <row r="617" spans="1:9" x14ac:dyDescent="0.35">
      <c r="A617" s="2">
        <v>45351</v>
      </c>
      <c r="B617">
        <v>78</v>
      </c>
      <c r="C617">
        <v>4112003</v>
      </c>
      <c r="D617" t="s">
        <v>58</v>
      </c>
      <c r="E617" t="s">
        <v>59</v>
      </c>
      <c r="F617" s="3">
        <v>0</v>
      </c>
      <c r="G617" s="3">
        <v>4578.4399999999996</v>
      </c>
      <c r="H617" s="3">
        <v>-4578.4399999999996</v>
      </c>
      <c r="I617" t="s">
        <v>329</v>
      </c>
    </row>
    <row r="618" spans="1:9" x14ac:dyDescent="0.35">
      <c r="A618" s="2">
        <v>45351</v>
      </c>
      <c r="B618">
        <v>78</v>
      </c>
      <c r="C618">
        <v>2121001</v>
      </c>
      <c r="D618" t="s">
        <v>27</v>
      </c>
      <c r="E618" t="s">
        <v>59</v>
      </c>
      <c r="F618" s="3">
        <v>0</v>
      </c>
      <c r="G618" s="3">
        <v>732.55</v>
      </c>
      <c r="H618" s="3">
        <v>-732.55</v>
      </c>
      <c r="I618" t="s">
        <v>329</v>
      </c>
    </row>
    <row r="619" spans="1:9" x14ac:dyDescent="0.35">
      <c r="A619" s="2">
        <v>45351</v>
      </c>
      <c r="B619">
        <v>78</v>
      </c>
      <c r="C619">
        <v>1111001</v>
      </c>
      <c r="D619" t="s">
        <v>16</v>
      </c>
      <c r="E619" t="s">
        <v>59</v>
      </c>
      <c r="F619" s="3">
        <v>5310.99</v>
      </c>
      <c r="G619" s="3">
        <v>0</v>
      </c>
      <c r="H619" s="3">
        <v>5310.99</v>
      </c>
      <c r="I619" t="s">
        <v>329</v>
      </c>
    </row>
    <row r="620" spans="1:9" x14ac:dyDescent="0.35">
      <c r="A620" s="2">
        <v>45351</v>
      </c>
      <c r="B620">
        <v>78</v>
      </c>
      <c r="C620">
        <v>4112003</v>
      </c>
      <c r="D620" t="s">
        <v>58</v>
      </c>
      <c r="E620" t="s">
        <v>59</v>
      </c>
      <c r="F620" s="3">
        <v>0</v>
      </c>
      <c r="G620" s="3">
        <v>5762.94</v>
      </c>
      <c r="H620" s="3">
        <v>-5762.94</v>
      </c>
      <c r="I620" t="s">
        <v>330</v>
      </c>
    </row>
    <row r="621" spans="1:9" x14ac:dyDescent="0.35">
      <c r="A621" s="2">
        <v>45351</v>
      </c>
      <c r="B621">
        <v>78</v>
      </c>
      <c r="C621">
        <v>2121001</v>
      </c>
      <c r="D621" t="s">
        <v>27</v>
      </c>
      <c r="E621" t="s">
        <v>59</v>
      </c>
      <c r="F621" s="3">
        <v>0</v>
      </c>
      <c r="G621" s="3">
        <v>922.07</v>
      </c>
      <c r="H621" s="3">
        <v>-922.07</v>
      </c>
      <c r="I621" t="s">
        <v>330</v>
      </c>
    </row>
    <row r="622" spans="1:9" x14ac:dyDescent="0.35">
      <c r="A622" s="2">
        <v>45351</v>
      </c>
      <c r="B622">
        <v>78</v>
      </c>
      <c r="C622">
        <v>1111001</v>
      </c>
      <c r="D622" t="s">
        <v>16</v>
      </c>
      <c r="E622" t="s">
        <v>59</v>
      </c>
      <c r="F622" s="3">
        <v>6685.01</v>
      </c>
      <c r="G622" s="3">
        <v>0</v>
      </c>
      <c r="H622" s="3">
        <v>6685.01</v>
      </c>
      <c r="I622" t="s">
        <v>330</v>
      </c>
    </row>
    <row r="623" spans="1:9" x14ac:dyDescent="0.35">
      <c r="A623" s="2">
        <v>45351</v>
      </c>
      <c r="B623">
        <v>78</v>
      </c>
      <c r="C623">
        <v>4112003</v>
      </c>
      <c r="D623" t="s">
        <v>58</v>
      </c>
      <c r="E623" t="s">
        <v>59</v>
      </c>
      <c r="F623" s="3">
        <v>0</v>
      </c>
      <c r="G623" s="3">
        <v>6674.17</v>
      </c>
      <c r="H623" s="3">
        <v>-6674.17</v>
      </c>
      <c r="I623" t="s">
        <v>331</v>
      </c>
    </row>
    <row r="624" spans="1:9" x14ac:dyDescent="0.35">
      <c r="A624" s="2">
        <v>45351</v>
      </c>
      <c r="B624">
        <v>78</v>
      </c>
      <c r="C624">
        <v>2121001</v>
      </c>
      <c r="D624" t="s">
        <v>27</v>
      </c>
      <c r="E624" t="s">
        <v>59</v>
      </c>
      <c r="F624" s="3">
        <v>0</v>
      </c>
      <c r="G624" s="3">
        <v>1067.8699999999999</v>
      </c>
      <c r="H624" s="3">
        <v>-1067.8699999999999</v>
      </c>
      <c r="I624" t="s">
        <v>331</v>
      </c>
    </row>
    <row r="625" spans="1:9" x14ac:dyDescent="0.35">
      <c r="A625" s="2">
        <v>45351</v>
      </c>
      <c r="B625">
        <v>78</v>
      </c>
      <c r="C625">
        <v>1111001</v>
      </c>
      <c r="D625" t="s">
        <v>16</v>
      </c>
      <c r="E625" t="s">
        <v>59</v>
      </c>
      <c r="F625" s="3">
        <v>7742.04</v>
      </c>
      <c r="G625" s="3">
        <v>0</v>
      </c>
      <c r="H625" s="3">
        <v>7742.04</v>
      </c>
      <c r="I625" t="s">
        <v>331</v>
      </c>
    </row>
    <row r="626" spans="1:9" x14ac:dyDescent="0.35">
      <c r="A626" s="2">
        <v>45351</v>
      </c>
      <c r="B626">
        <v>78</v>
      </c>
      <c r="C626">
        <v>4112003</v>
      </c>
      <c r="D626" t="s">
        <v>58</v>
      </c>
      <c r="E626" t="s">
        <v>59</v>
      </c>
      <c r="F626" s="3">
        <v>0</v>
      </c>
      <c r="G626" s="3">
        <v>6905.94</v>
      </c>
      <c r="H626" s="3">
        <v>-6905.94</v>
      </c>
      <c r="I626" t="s">
        <v>332</v>
      </c>
    </row>
    <row r="627" spans="1:9" x14ac:dyDescent="0.35">
      <c r="A627" s="2">
        <v>45351</v>
      </c>
      <c r="B627">
        <v>78</v>
      </c>
      <c r="C627">
        <v>2121001</v>
      </c>
      <c r="D627" t="s">
        <v>27</v>
      </c>
      <c r="E627" t="s">
        <v>59</v>
      </c>
      <c r="F627" s="3">
        <v>0</v>
      </c>
      <c r="G627" s="3">
        <v>1104.95</v>
      </c>
      <c r="H627" s="3">
        <v>-1104.95</v>
      </c>
      <c r="I627" t="s">
        <v>332</v>
      </c>
    </row>
    <row r="628" spans="1:9" x14ac:dyDescent="0.35">
      <c r="A628" s="2">
        <v>45351</v>
      </c>
      <c r="B628">
        <v>78</v>
      </c>
      <c r="C628">
        <v>1111001</v>
      </c>
      <c r="D628" t="s">
        <v>16</v>
      </c>
      <c r="E628" t="s">
        <v>59</v>
      </c>
      <c r="F628" s="3">
        <v>8010.89</v>
      </c>
      <c r="G628" s="3">
        <v>0</v>
      </c>
      <c r="H628" s="3">
        <v>8010.89</v>
      </c>
      <c r="I628" t="s">
        <v>332</v>
      </c>
    </row>
    <row r="629" spans="1:9" x14ac:dyDescent="0.35">
      <c r="A629" s="2">
        <v>45351</v>
      </c>
      <c r="B629">
        <v>78</v>
      </c>
      <c r="C629">
        <v>4112003</v>
      </c>
      <c r="D629" t="s">
        <v>58</v>
      </c>
      <c r="E629" t="s">
        <v>59</v>
      </c>
      <c r="F629" s="3">
        <v>0</v>
      </c>
      <c r="G629" s="3">
        <v>5802.77</v>
      </c>
      <c r="H629" s="3">
        <v>-5802.77</v>
      </c>
      <c r="I629" t="s">
        <v>333</v>
      </c>
    </row>
    <row r="630" spans="1:9" x14ac:dyDescent="0.35">
      <c r="A630" s="2">
        <v>45351</v>
      </c>
      <c r="B630">
        <v>78</v>
      </c>
      <c r="C630">
        <v>2121001</v>
      </c>
      <c r="D630" t="s">
        <v>27</v>
      </c>
      <c r="E630" t="s">
        <v>59</v>
      </c>
      <c r="F630" s="3">
        <v>0</v>
      </c>
      <c r="G630" s="3">
        <v>928.44</v>
      </c>
      <c r="H630" s="3">
        <v>-928.44</v>
      </c>
      <c r="I630" t="s">
        <v>333</v>
      </c>
    </row>
    <row r="631" spans="1:9" x14ac:dyDescent="0.35">
      <c r="A631" s="2">
        <v>45351</v>
      </c>
      <c r="B631">
        <v>78</v>
      </c>
      <c r="C631">
        <v>1111001</v>
      </c>
      <c r="D631" t="s">
        <v>16</v>
      </c>
      <c r="E631" t="s">
        <v>59</v>
      </c>
      <c r="F631" s="3">
        <v>6731.21</v>
      </c>
      <c r="G631" s="3">
        <v>0</v>
      </c>
      <c r="H631" s="3">
        <v>6731.21</v>
      </c>
      <c r="I631" t="s">
        <v>333</v>
      </c>
    </row>
    <row r="632" spans="1:9" x14ac:dyDescent="0.35">
      <c r="A632" s="2">
        <v>45351</v>
      </c>
      <c r="B632">
        <v>78</v>
      </c>
      <c r="C632">
        <v>4112003</v>
      </c>
      <c r="D632" t="s">
        <v>58</v>
      </c>
      <c r="E632" t="s">
        <v>59</v>
      </c>
      <c r="F632" s="3">
        <v>0</v>
      </c>
      <c r="G632" s="3">
        <v>3414.15</v>
      </c>
      <c r="H632" s="3">
        <v>-3414.15</v>
      </c>
      <c r="I632" t="s">
        <v>334</v>
      </c>
    </row>
    <row r="633" spans="1:9" x14ac:dyDescent="0.35">
      <c r="A633" s="2">
        <v>45351</v>
      </c>
      <c r="B633">
        <v>78</v>
      </c>
      <c r="C633">
        <v>2121001</v>
      </c>
      <c r="D633" t="s">
        <v>27</v>
      </c>
      <c r="E633" t="s">
        <v>59</v>
      </c>
      <c r="F633" s="3">
        <v>0</v>
      </c>
      <c r="G633" s="3">
        <v>546.26</v>
      </c>
      <c r="H633" s="3">
        <v>-546.26</v>
      </c>
      <c r="I633" t="s">
        <v>334</v>
      </c>
    </row>
    <row r="634" spans="1:9" x14ac:dyDescent="0.35">
      <c r="A634" s="2">
        <v>45351</v>
      </c>
      <c r="B634">
        <v>78</v>
      </c>
      <c r="C634">
        <v>1111001</v>
      </c>
      <c r="D634" t="s">
        <v>16</v>
      </c>
      <c r="E634" t="s">
        <v>59</v>
      </c>
      <c r="F634" s="3">
        <v>3960.41</v>
      </c>
      <c r="G634" s="3">
        <v>0</v>
      </c>
      <c r="H634" s="3">
        <v>3960.41</v>
      </c>
      <c r="I634" t="s">
        <v>334</v>
      </c>
    </row>
    <row r="635" spans="1:9" x14ac:dyDescent="0.35">
      <c r="A635" s="2">
        <v>45351</v>
      </c>
      <c r="B635">
        <v>78</v>
      </c>
      <c r="C635">
        <v>4112003</v>
      </c>
      <c r="D635" t="s">
        <v>58</v>
      </c>
      <c r="E635" t="s">
        <v>59</v>
      </c>
      <c r="F635" s="3">
        <v>0</v>
      </c>
      <c r="G635" s="3">
        <v>1241.55</v>
      </c>
      <c r="H635" s="3">
        <v>-1241.55</v>
      </c>
      <c r="I635" t="s">
        <v>335</v>
      </c>
    </row>
    <row r="636" spans="1:9" x14ac:dyDescent="0.35">
      <c r="A636" s="2">
        <v>45351</v>
      </c>
      <c r="B636">
        <v>78</v>
      </c>
      <c r="C636">
        <v>2121001</v>
      </c>
      <c r="D636" t="s">
        <v>27</v>
      </c>
      <c r="E636" t="s">
        <v>59</v>
      </c>
      <c r="F636" s="3">
        <v>0</v>
      </c>
      <c r="G636" s="3">
        <v>198.65</v>
      </c>
      <c r="H636" s="3">
        <v>-198.65</v>
      </c>
      <c r="I636" t="s">
        <v>335</v>
      </c>
    </row>
    <row r="637" spans="1:9" x14ac:dyDescent="0.35">
      <c r="A637" s="2">
        <v>45351</v>
      </c>
      <c r="B637">
        <v>78</v>
      </c>
      <c r="C637">
        <v>1111001</v>
      </c>
      <c r="D637" t="s">
        <v>16</v>
      </c>
      <c r="E637" t="s">
        <v>59</v>
      </c>
      <c r="F637" s="3">
        <v>1440.2</v>
      </c>
      <c r="G637" s="3">
        <v>0</v>
      </c>
      <c r="H637" s="3">
        <v>1440.2</v>
      </c>
      <c r="I637" t="s">
        <v>335</v>
      </c>
    </row>
    <row r="638" spans="1:9" x14ac:dyDescent="0.35">
      <c r="A638" s="2">
        <v>45351</v>
      </c>
      <c r="B638">
        <v>78</v>
      </c>
      <c r="C638">
        <v>4112003</v>
      </c>
      <c r="D638" t="s">
        <v>58</v>
      </c>
      <c r="E638" t="s">
        <v>59</v>
      </c>
      <c r="F638" s="3">
        <v>0</v>
      </c>
      <c r="G638" s="3">
        <v>5004.17</v>
      </c>
      <c r="H638" s="3">
        <v>-5004.17</v>
      </c>
      <c r="I638" t="s">
        <v>336</v>
      </c>
    </row>
    <row r="639" spans="1:9" x14ac:dyDescent="0.35">
      <c r="A639" s="2">
        <v>45351</v>
      </c>
      <c r="B639">
        <v>78</v>
      </c>
      <c r="C639">
        <v>2121001</v>
      </c>
      <c r="D639" t="s">
        <v>27</v>
      </c>
      <c r="E639" t="s">
        <v>59</v>
      </c>
      <c r="F639" s="3">
        <v>0</v>
      </c>
      <c r="G639" s="3">
        <v>800.67</v>
      </c>
      <c r="H639" s="3">
        <v>-800.67</v>
      </c>
      <c r="I639" t="s">
        <v>336</v>
      </c>
    </row>
    <row r="640" spans="1:9" x14ac:dyDescent="0.35">
      <c r="A640" s="2">
        <v>45351</v>
      </c>
      <c r="B640">
        <v>78</v>
      </c>
      <c r="C640">
        <v>1111001</v>
      </c>
      <c r="D640" t="s">
        <v>16</v>
      </c>
      <c r="E640" t="s">
        <v>59</v>
      </c>
      <c r="F640" s="3">
        <v>5804.84</v>
      </c>
      <c r="G640" s="3">
        <v>0</v>
      </c>
      <c r="H640" s="3">
        <v>5804.84</v>
      </c>
      <c r="I640" t="s">
        <v>336</v>
      </c>
    </row>
    <row r="641" spans="1:9" x14ac:dyDescent="0.35">
      <c r="A641" s="2">
        <v>45351</v>
      </c>
      <c r="B641">
        <v>78</v>
      </c>
      <c r="C641">
        <v>4112003</v>
      </c>
      <c r="D641" t="s">
        <v>58</v>
      </c>
      <c r="E641" t="s">
        <v>59</v>
      </c>
      <c r="F641" s="3">
        <v>0</v>
      </c>
      <c r="G641" s="3">
        <v>5312.87</v>
      </c>
      <c r="H641" s="3">
        <v>-5312.87</v>
      </c>
      <c r="I641" t="s">
        <v>337</v>
      </c>
    </row>
    <row r="642" spans="1:9" x14ac:dyDescent="0.35">
      <c r="A642" s="2">
        <v>45351</v>
      </c>
      <c r="B642">
        <v>78</v>
      </c>
      <c r="C642">
        <v>2121001</v>
      </c>
      <c r="D642" t="s">
        <v>27</v>
      </c>
      <c r="E642" t="s">
        <v>59</v>
      </c>
      <c r="F642" s="3">
        <v>0</v>
      </c>
      <c r="G642" s="3">
        <v>850.06</v>
      </c>
      <c r="H642" s="3">
        <v>-850.06</v>
      </c>
      <c r="I642" t="s">
        <v>337</v>
      </c>
    </row>
    <row r="643" spans="1:9" x14ac:dyDescent="0.35">
      <c r="A643" s="2">
        <v>45351</v>
      </c>
      <c r="B643">
        <v>78</v>
      </c>
      <c r="C643">
        <v>1111001</v>
      </c>
      <c r="D643" t="s">
        <v>16</v>
      </c>
      <c r="E643" t="s">
        <v>59</v>
      </c>
      <c r="F643" s="3">
        <v>6162.93</v>
      </c>
      <c r="G643" s="3">
        <v>0</v>
      </c>
      <c r="H643" s="3">
        <v>6162.93</v>
      </c>
      <c r="I643" t="s">
        <v>337</v>
      </c>
    </row>
    <row r="644" spans="1:9" x14ac:dyDescent="0.35">
      <c r="A644" s="2">
        <v>45351</v>
      </c>
      <c r="B644">
        <v>78</v>
      </c>
      <c r="C644">
        <v>4112003</v>
      </c>
      <c r="D644" t="s">
        <v>58</v>
      </c>
      <c r="E644" t="s">
        <v>59</v>
      </c>
      <c r="F644" s="3">
        <v>0</v>
      </c>
      <c r="G644" s="3">
        <v>5623.23</v>
      </c>
      <c r="H644" s="3">
        <v>-5623.23</v>
      </c>
      <c r="I644" t="s">
        <v>338</v>
      </c>
    </row>
    <row r="645" spans="1:9" x14ac:dyDescent="0.35">
      <c r="A645" s="2">
        <v>45351</v>
      </c>
      <c r="B645">
        <v>78</v>
      </c>
      <c r="C645">
        <v>2121001</v>
      </c>
      <c r="D645" t="s">
        <v>27</v>
      </c>
      <c r="E645" t="s">
        <v>59</v>
      </c>
      <c r="F645" s="3">
        <v>0</v>
      </c>
      <c r="G645" s="3">
        <v>899.72</v>
      </c>
      <c r="H645" s="3">
        <v>-899.72</v>
      </c>
      <c r="I645" t="s">
        <v>338</v>
      </c>
    </row>
    <row r="646" spans="1:9" x14ac:dyDescent="0.35">
      <c r="A646" s="2">
        <v>45351</v>
      </c>
      <c r="B646">
        <v>78</v>
      </c>
      <c r="C646">
        <v>1111001</v>
      </c>
      <c r="D646" t="s">
        <v>16</v>
      </c>
      <c r="E646" t="s">
        <v>59</v>
      </c>
      <c r="F646" s="3">
        <v>6522.95</v>
      </c>
      <c r="G646" s="3">
        <v>0</v>
      </c>
      <c r="H646" s="3">
        <v>6522.95</v>
      </c>
      <c r="I646" t="s">
        <v>338</v>
      </c>
    </row>
    <row r="647" spans="1:9" x14ac:dyDescent="0.35">
      <c r="A647" s="2">
        <v>45351</v>
      </c>
      <c r="B647">
        <v>78</v>
      </c>
      <c r="C647">
        <v>4112003</v>
      </c>
      <c r="D647" t="s">
        <v>58</v>
      </c>
      <c r="E647" t="s">
        <v>59</v>
      </c>
      <c r="F647" s="3">
        <v>0</v>
      </c>
      <c r="G647" s="3">
        <v>4879.34</v>
      </c>
      <c r="H647" s="3">
        <v>-4879.34</v>
      </c>
      <c r="I647" t="s">
        <v>339</v>
      </c>
    </row>
    <row r="648" spans="1:9" x14ac:dyDescent="0.35">
      <c r="A648" s="2">
        <v>45351</v>
      </c>
      <c r="B648">
        <v>78</v>
      </c>
      <c r="C648">
        <v>2121001</v>
      </c>
      <c r="D648" t="s">
        <v>27</v>
      </c>
      <c r="E648" t="s">
        <v>59</v>
      </c>
      <c r="F648" s="3">
        <v>0</v>
      </c>
      <c r="G648" s="3">
        <v>780.69</v>
      </c>
      <c r="H648" s="3">
        <v>-780.69</v>
      </c>
      <c r="I648" t="s">
        <v>339</v>
      </c>
    </row>
    <row r="649" spans="1:9" x14ac:dyDescent="0.35">
      <c r="A649" s="2">
        <v>45351</v>
      </c>
      <c r="B649">
        <v>78</v>
      </c>
      <c r="C649">
        <v>1111001</v>
      </c>
      <c r="D649" t="s">
        <v>16</v>
      </c>
      <c r="E649" t="s">
        <v>59</v>
      </c>
      <c r="F649" s="3">
        <v>5660.03</v>
      </c>
      <c r="G649" s="3">
        <v>0</v>
      </c>
      <c r="H649" s="3">
        <v>5660.03</v>
      </c>
      <c r="I649" t="s">
        <v>339</v>
      </c>
    </row>
    <row r="650" spans="1:9" x14ac:dyDescent="0.35">
      <c r="A650" s="2">
        <v>45351</v>
      </c>
      <c r="B650">
        <v>78</v>
      </c>
      <c r="C650">
        <v>4112004</v>
      </c>
      <c r="D650" t="s">
        <v>74</v>
      </c>
      <c r="E650" t="s">
        <v>200</v>
      </c>
      <c r="F650" s="3">
        <v>0</v>
      </c>
      <c r="G650" s="3">
        <v>1594.84</v>
      </c>
      <c r="H650" s="3">
        <v>-1594.84</v>
      </c>
      <c r="I650" t="s">
        <v>340</v>
      </c>
    </row>
    <row r="651" spans="1:9" x14ac:dyDescent="0.35">
      <c r="A651" s="2">
        <v>45351</v>
      </c>
      <c r="B651">
        <v>78</v>
      </c>
      <c r="C651">
        <v>2121001</v>
      </c>
      <c r="D651" t="s">
        <v>27</v>
      </c>
      <c r="E651" t="s">
        <v>200</v>
      </c>
      <c r="F651" s="3">
        <v>0</v>
      </c>
      <c r="G651" s="3">
        <v>255.17</v>
      </c>
      <c r="H651" s="3">
        <v>-255.17</v>
      </c>
      <c r="I651" t="s">
        <v>340</v>
      </c>
    </row>
    <row r="652" spans="1:9" x14ac:dyDescent="0.35">
      <c r="A652" s="2">
        <v>45351</v>
      </c>
      <c r="B652">
        <v>78</v>
      </c>
      <c r="C652">
        <v>1111001</v>
      </c>
      <c r="D652" t="s">
        <v>16</v>
      </c>
      <c r="E652" t="s">
        <v>200</v>
      </c>
      <c r="F652" s="3">
        <v>1850.01</v>
      </c>
      <c r="G652" s="3">
        <v>0</v>
      </c>
      <c r="H652" s="3">
        <v>1850.01</v>
      </c>
      <c r="I652" t="s">
        <v>340</v>
      </c>
    </row>
    <row r="653" spans="1:9" x14ac:dyDescent="0.35">
      <c r="A653" s="2">
        <v>45351</v>
      </c>
      <c r="B653">
        <v>78</v>
      </c>
      <c r="C653">
        <v>4112004</v>
      </c>
      <c r="D653" t="s">
        <v>74</v>
      </c>
      <c r="E653" t="s">
        <v>202</v>
      </c>
      <c r="F653" s="3">
        <v>0</v>
      </c>
      <c r="G653" s="3">
        <v>2278.44</v>
      </c>
      <c r="H653" s="3">
        <v>-2278.44</v>
      </c>
      <c r="I653" t="s">
        <v>341</v>
      </c>
    </row>
    <row r="654" spans="1:9" x14ac:dyDescent="0.35">
      <c r="A654" s="2">
        <v>45351</v>
      </c>
      <c r="B654">
        <v>78</v>
      </c>
      <c r="C654">
        <v>2121001</v>
      </c>
      <c r="D654" t="s">
        <v>27</v>
      </c>
      <c r="E654" t="s">
        <v>202</v>
      </c>
      <c r="F654" s="3">
        <v>0</v>
      </c>
      <c r="G654" s="3">
        <v>364.55</v>
      </c>
      <c r="H654" s="3">
        <v>-364.55</v>
      </c>
      <c r="I654" t="s">
        <v>341</v>
      </c>
    </row>
    <row r="655" spans="1:9" x14ac:dyDescent="0.35">
      <c r="A655" s="2">
        <v>45351</v>
      </c>
      <c r="B655">
        <v>78</v>
      </c>
      <c r="C655">
        <v>1111001</v>
      </c>
      <c r="D655" t="s">
        <v>16</v>
      </c>
      <c r="E655" t="s">
        <v>202</v>
      </c>
      <c r="F655" s="3">
        <v>79.290000000000006</v>
      </c>
      <c r="G655" s="3">
        <v>0</v>
      </c>
      <c r="H655" s="3">
        <v>79.290000000000006</v>
      </c>
      <c r="I655" t="s">
        <v>341</v>
      </c>
    </row>
    <row r="656" spans="1:9" x14ac:dyDescent="0.35">
      <c r="A656" s="2">
        <v>45351</v>
      </c>
      <c r="B656">
        <v>78</v>
      </c>
      <c r="C656">
        <v>2124007</v>
      </c>
      <c r="D656" t="s">
        <v>30</v>
      </c>
      <c r="E656" t="s">
        <v>202</v>
      </c>
      <c r="F656" s="3">
        <v>0</v>
      </c>
      <c r="G656" s="3">
        <v>79.290000000000006</v>
      </c>
      <c r="H656" s="3">
        <v>-79.290000000000006</v>
      </c>
      <c r="I656" t="s">
        <v>341</v>
      </c>
    </row>
    <row r="657" spans="1:9" x14ac:dyDescent="0.35">
      <c r="A657" s="2">
        <v>45351</v>
      </c>
      <c r="B657">
        <v>78</v>
      </c>
      <c r="C657">
        <v>1111001</v>
      </c>
      <c r="D657" t="s">
        <v>16</v>
      </c>
      <c r="E657" t="s">
        <v>202</v>
      </c>
      <c r="F657" s="3">
        <v>2642.99</v>
      </c>
      <c r="G657" s="3">
        <v>0</v>
      </c>
      <c r="H657" s="3">
        <v>2642.99</v>
      </c>
      <c r="I657" t="s">
        <v>341</v>
      </c>
    </row>
    <row r="658" spans="1:9" x14ac:dyDescent="0.35">
      <c r="A658" s="2">
        <v>45351</v>
      </c>
      <c r="B658">
        <v>78</v>
      </c>
      <c r="C658">
        <v>4112004</v>
      </c>
      <c r="D658" t="s">
        <v>74</v>
      </c>
      <c r="E658" t="s">
        <v>79</v>
      </c>
      <c r="F658" s="3">
        <v>0</v>
      </c>
      <c r="G658" s="3">
        <v>2278.44</v>
      </c>
      <c r="H658" s="3">
        <v>-2278.44</v>
      </c>
      <c r="I658" t="s">
        <v>342</v>
      </c>
    </row>
    <row r="659" spans="1:9" x14ac:dyDescent="0.35">
      <c r="A659" s="2">
        <v>45351</v>
      </c>
      <c r="B659">
        <v>78</v>
      </c>
      <c r="C659">
        <v>2121001</v>
      </c>
      <c r="D659" t="s">
        <v>27</v>
      </c>
      <c r="E659" t="s">
        <v>79</v>
      </c>
      <c r="F659" s="3">
        <v>0</v>
      </c>
      <c r="G659" s="3">
        <v>364.55</v>
      </c>
      <c r="H659" s="3">
        <v>-364.55</v>
      </c>
      <c r="I659" t="s">
        <v>342</v>
      </c>
    </row>
    <row r="660" spans="1:9" x14ac:dyDescent="0.35">
      <c r="A660" s="2">
        <v>45351</v>
      </c>
      <c r="B660">
        <v>78</v>
      </c>
      <c r="C660">
        <v>1111001</v>
      </c>
      <c r="D660" t="s">
        <v>16</v>
      </c>
      <c r="E660" t="s">
        <v>79</v>
      </c>
      <c r="F660" s="3">
        <v>79.290000000000006</v>
      </c>
      <c r="G660" s="3">
        <v>0</v>
      </c>
      <c r="H660" s="3">
        <v>79.290000000000006</v>
      </c>
      <c r="I660" t="s">
        <v>342</v>
      </c>
    </row>
    <row r="661" spans="1:9" x14ac:dyDescent="0.35">
      <c r="A661" s="2">
        <v>45351</v>
      </c>
      <c r="B661">
        <v>78</v>
      </c>
      <c r="C661">
        <v>2124007</v>
      </c>
      <c r="D661" t="s">
        <v>30</v>
      </c>
      <c r="E661" t="s">
        <v>79</v>
      </c>
      <c r="F661" s="3">
        <v>0</v>
      </c>
      <c r="G661" s="3">
        <v>79.290000000000006</v>
      </c>
      <c r="H661" s="3">
        <v>-79.290000000000006</v>
      </c>
      <c r="I661" t="s">
        <v>342</v>
      </c>
    </row>
    <row r="662" spans="1:9" x14ac:dyDescent="0.35">
      <c r="A662" s="2">
        <v>45351</v>
      </c>
      <c r="B662">
        <v>78</v>
      </c>
      <c r="C662">
        <v>1111001</v>
      </c>
      <c r="D662" t="s">
        <v>16</v>
      </c>
      <c r="E662" t="s">
        <v>79</v>
      </c>
      <c r="F662" s="3">
        <v>2642.99</v>
      </c>
      <c r="G662" s="3">
        <v>0</v>
      </c>
      <c r="H662" s="3">
        <v>2642.99</v>
      </c>
      <c r="I662" t="s">
        <v>342</v>
      </c>
    </row>
    <row r="663" spans="1:9" x14ac:dyDescent="0.35">
      <c r="A663" s="2">
        <v>45351</v>
      </c>
      <c r="B663">
        <v>78</v>
      </c>
      <c r="C663">
        <v>4112004</v>
      </c>
      <c r="D663" t="s">
        <v>74</v>
      </c>
      <c r="E663" t="s">
        <v>195</v>
      </c>
      <c r="F663" s="3">
        <v>0</v>
      </c>
      <c r="G663" s="3">
        <v>3029.6</v>
      </c>
      <c r="H663" s="3">
        <v>-3029.6</v>
      </c>
      <c r="I663" t="s">
        <v>343</v>
      </c>
    </row>
    <row r="664" spans="1:9" x14ac:dyDescent="0.35">
      <c r="A664" s="2">
        <v>45351</v>
      </c>
      <c r="B664">
        <v>78</v>
      </c>
      <c r="C664">
        <v>2121001</v>
      </c>
      <c r="D664" t="s">
        <v>27</v>
      </c>
      <c r="E664" t="s">
        <v>195</v>
      </c>
      <c r="F664" s="3">
        <v>0</v>
      </c>
      <c r="G664" s="3">
        <v>484.74</v>
      </c>
      <c r="H664" s="3">
        <v>-484.74</v>
      </c>
      <c r="I664" t="s">
        <v>343</v>
      </c>
    </row>
    <row r="665" spans="1:9" x14ac:dyDescent="0.35">
      <c r="A665" s="2">
        <v>45351</v>
      </c>
      <c r="B665">
        <v>78</v>
      </c>
      <c r="C665">
        <v>1141002</v>
      </c>
      <c r="D665" t="s">
        <v>23</v>
      </c>
      <c r="E665" t="s">
        <v>195</v>
      </c>
      <c r="F665" s="3">
        <v>363.56</v>
      </c>
      <c r="G665" s="3">
        <v>0</v>
      </c>
      <c r="H665" s="3">
        <v>363.56</v>
      </c>
      <c r="I665" t="s">
        <v>1438</v>
      </c>
    </row>
    <row r="666" spans="1:9" x14ac:dyDescent="0.35">
      <c r="A666" s="2">
        <v>45351</v>
      </c>
      <c r="B666">
        <v>78</v>
      </c>
      <c r="C666">
        <v>1111001</v>
      </c>
      <c r="D666" t="s">
        <v>16</v>
      </c>
      <c r="E666" t="s">
        <v>195</v>
      </c>
      <c r="F666" s="3">
        <v>105.43</v>
      </c>
      <c r="G666" s="3">
        <v>0</v>
      </c>
      <c r="H666" s="3">
        <v>105.43</v>
      </c>
      <c r="I666" t="s">
        <v>343</v>
      </c>
    </row>
    <row r="667" spans="1:9" x14ac:dyDescent="0.35">
      <c r="A667" s="2">
        <v>45351</v>
      </c>
      <c r="B667">
        <v>78</v>
      </c>
      <c r="C667">
        <v>2124007</v>
      </c>
      <c r="D667" t="s">
        <v>30</v>
      </c>
      <c r="E667" t="s">
        <v>195</v>
      </c>
      <c r="F667" s="3">
        <v>0</v>
      </c>
      <c r="G667" s="3">
        <v>105.43</v>
      </c>
      <c r="H667" s="3">
        <v>-105.43</v>
      </c>
      <c r="I667" t="s">
        <v>343</v>
      </c>
    </row>
    <row r="668" spans="1:9" x14ac:dyDescent="0.35">
      <c r="A668" s="2">
        <v>45351</v>
      </c>
      <c r="B668">
        <v>78</v>
      </c>
      <c r="C668">
        <v>1111001</v>
      </c>
      <c r="D668" t="s">
        <v>16</v>
      </c>
      <c r="E668" t="s">
        <v>195</v>
      </c>
      <c r="F668" s="3">
        <v>3150.78</v>
      </c>
      <c r="G668" s="3">
        <v>0</v>
      </c>
      <c r="H668" s="3">
        <v>3150.78</v>
      </c>
      <c r="I668" t="s">
        <v>343</v>
      </c>
    </row>
    <row r="669" spans="1:9" x14ac:dyDescent="0.35">
      <c r="A669" s="2">
        <v>45351</v>
      </c>
      <c r="B669">
        <v>78</v>
      </c>
      <c r="C669">
        <v>4112004</v>
      </c>
      <c r="D669" t="s">
        <v>74</v>
      </c>
      <c r="E669" t="s">
        <v>197</v>
      </c>
      <c r="F669" s="3">
        <v>0</v>
      </c>
      <c r="G669" s="3">
        <v>25731.599999999999</v>
      </c>
      <c r="H669" s="3">
        <v>-25731.599999999999</v>
      </c>
      <c r="I669" t="s">
        <v>344</v>
      </c>
    </row>
    <row r="670" spans="1:9" x14ac:dyDescent="0.35">
      <c r="A670" s="2">
        <v>45351</v>
      </c>
      <c r="B670">
        <v>78</v>
      </c>
      <c r="C670">
        <v>2121001</v>
      </c>
      <c r="D670" t="s">
        <v>27</v>
      </c>
      <c r="E670" t="s">
        <v>197</v>
      </c>
      <c r="F670" s="3">
        <v>0</v>
      </c>
      <c r="G670" s="3">
        <v>4117.0600000000004</v>
      </c>
      <c r="H670" s="3">
        <v>-4117.0600000000004</v>
      </c>
      <c r="I670" t="s">
        <v>344</v>
      </c>
    </row>
    <row r="671" spans="1:9" x14ac:dyDescent="0.35">
      <c r="A671" s="2">
        <v>45351</v>
      </c>
      <c r="B671">
        <v>78</v>
      </c>
      <c r="C671">
        <v>1141002</v>
      </c>
      <c r="D671" t="s">
        <v>23</v>
      </c>
      <c r="E671" t="s">
        <v>197</v>
      </c>
      <c r="F671" s="3">
        <v>3087.79</v>
      </c>
      <c r="G671" s="3">
        <v>0</v>
      </c>
      <c r="H671" s="3">
        <v>3087.79</v>
      </c>
      <c r="I671" t="s">
        <v>1438</v>
      </c>
    </row>
    <row r="672" spans="1:9" x14ac:dyDescent="0.35">
      <c r="A672" s="2">
        <v>45351</v>
      </c>
      <c r="B672">
        <v>78</v>
      </c>
      <c r="C672">
        <v>1142001</v>
      </c>
      <c r="D672" t="s">
        <v>199</v>
      </c>
      <c r="E672" t="s">
        <v>197</v>
      </c>
      <c r="F672" s="3">
        <v>514.63</v>
      </c>
      <c r="G672" s="3">
        <v>0</v>
      </c>
      <c r="H672" s="3">
        <v>514.63</v>
      </c>
      <c r="I672" t="s">
        <v>1438</v>
      </c>
    </row>
    <row r="673" spans="1:9" x14ac:dyDescent="0.35">
      <c r="A673" s="2">
        <v>45351</v>
      </c>
      <c r="B673">
        <v>78</v>
      </c>
      <c r="C673">
        <v>6121040</v>
      </c>
      <c r="D673" t="s">
        <v>98</v>
      </c>
      <c r="E673" t="s">
        <v>197</v>
      </c>
      <c r="F673" s="3">
        <v>596.97</v>
      </c>
      <c r="G673" s="3">
        <v>0</v>
      </c>
      <c r="H673" s="3">
        <v>596.97</v>
      </c>
      <c r="I673" t="s">
        <v>344</v>
      </c>
    </row>
    <row r="674" spans="1:9" x14ac:dyDescent="0.35">
      <c r="A674" s="2">
        <v>45351</v>
      </c>
      <c r="B674">
        <v>78</v>
      </c>
      <c r="C674">
        <v>1111001</v>
      </c>
      <c r="D674" t="s">
        <v>16</v>
      </c>
      <c r="E674" t="s">
        <v>197</v>
      </c>
      <c r="F674" s="3">
        <v>25649.27</v>
      </c>
      <c r="G674" s="3">
        <v>0</v>
      </c>
      <c r="H674" s="3">
        <v>25649.27</v>
      </c>
      <c r="I674" t="s">
        <v>344</v>
      </c>
    </row>
    <row r="675" spans="1:9" x14ac:dyDescent="0.35">
      <c r="A675" s="2">
        <v>45351</v>
      </c>
      <c r="B675">
        <v>78</v>
      </c>
      <c r="C675">
        <v>2121001</v>
      </c>
      <c r="D675" t="s">
        <v>27</v>
      </c>
      <c r="E675" t="s">
        <v>279</v>
      </c>
      <c r="F675" s="3">
        <v>16277.56</v>
      </c>
      <c r="G675" s="3">
        <v>0</v>
      </c>
      <c r="H675" s="3">
        <v>16277.56</v>
      </c>
      <c r="I675" t="s">
        <v>82</v>
      </c>
    </row>
    <row r="676" spans="1:9" x14ac:dyDescent="0.35">
      <c r="A676" s="2">
        <v>45351</v>
      </c>
      <c r="B676">
        <v>78</v>
      </c>
      <c r="C676">
        <v>1141001</v>
      </c>
      <c r="D676" t="s">
        <v>153</v>
      </c>
      <c r="E676" t="s">
        <v>279</v>
      </c>
      <c r="F676" s="3">
        <v>0</v>
      </c>
      <c r="G676" s="3">
        <v>977.29</v>
      </c>
      <c r="H676" s="3">
        <v>-977.29</v>
      </c>
      <c r="I676" t="s">
        <v>82</v>
      </c>
    </row>
    <row r="677" spans="1:9" x14ac:dyDescent="0.35">
      <c r="A677" s="2">
        <v>45351</v>
      </c>
      <c r="B677">
        <v>78</v>
      </c>
      <c r="C677">
        <v>1141002</v>
      </c>
      <c r="D677" t="s">
        <v>23</v>
      </c>
      <c r="E677" t="s">
        <v>279</v>
      </c>
      <c r="F677" s="3">
        <v>0</v>
      </c>
      <c r="G677" s="3">
        <v>3451.35</v>
      </c>
      <c r="H677" s="3">
        <v>-3451.35</v>
      </c>
      <c r="I677" t="s">
        <v>82</v>
      </c>
    </row>
    <row r="678" spans="1:9" x14ac:dyDescent="0.35">
      <c r="A678" s="2">
        <v>45351</v>
      </c>
      <c r="B678">
        <v>78</v>
      </c>
      <c r="C678">
        <v>2121003</v>
      </c>
      <c r="D678" t="s">
        <v>28</v>
      </c>
      <c r="E678" t="s">
        <v>279</v>
      </c>
      <c r="F678" s="3">
        <v>0</v>
      </c>
      <c r="G678" s="3">
        <v>11848.92</v>
      </c>
      <c r="H678" s="3">
        <v>-11848.92</v>
      </c>
      <c r="I678" t="s">
        <v>82</v>
      </c>
    </row>
    <row r="679" spans="1:9" x14ac:dyDescent="0.35">
      <c r="A679" s="2">
        <v>45351</v>
      </c>
      <c r="B679">
        <v>78</v>
      </c>
      <c r="C679">
        <v>5131001</v>
      </c>
      <c r="D679" t="s">
        <v>86</v>
      </c>
      <c r="E679" t="s">
        <v>345</v>
      </c>
      <c r="F679" s="3">
        <v>390</v>
      </c>
      <c r="G679" s="3">
        <v>0</v>
      </c>
      <c r="H679" s="3">
        <v>390</v>
      </c>
      <c r="I679" t="s">
        <v>346</v>
      </c>
    </row>
    <row r="680" spans="1:9" x14ac:dyDescent="0.35">
      <c r="A680" s="2">
        <v>45351</v>
      </c>
      <c r="B680">
        <v>78</v>
      </c>
      <c r="C680">
        <v>5131005</v>
      </c>
      <c r="D680" t="s">
        <v>205</v>
      </c>
      <c r="E680" t="s">
        <v>345</v>
      </c>
      <c r="F680" s="3">
        <v>4330.8</v>
      </c>
      <c r="G680" s="3">
        <v>0</v>
      </c>
      <c r="H680" s="3">
        <v>4330.8</v>
      </c>
      <c r="I680" t="s">
        <v>346</v>
      </c>
    </row>
    <row r="681" spans="1:9" x14ac:dyDescent="0.35">
      <c r="A681" s="2">
        <v>45351</v>
      </c>
      <c r="B681">
        <v>78</v>
      </c>
      <c r="C681">
        <v>5131008</v>
      </c>
      <c r="D681" t="s">
        <v>89</v>
      </c>
      <c r="E681" t="s">
        <v>345</v>
      </c>
      <c r="F681" s="3">
        <v>81.900000000000006</v>
      </c>
      <c r="G681" s="3">
        <v>0</v>
      </c>
      <c r="H681" s="3">
        <v>81.900000000000006</v>
      </c>
      <c r="I681" t="s">
        <v>346</v>
      </c>
    </row>
    <row r="682" spans="1:9" x14ac:dyDescent="0.35">
      <c r="A682" s="2">
        <v>45351</v>
      </c>
      <c r="B682">
        <v>78</v>
      </c>
      <c r="C682">
        <v>5131009</v>
      </c>
      <c r="D682" t="s">
        <v>90</v>
      </c>
      <c r="E682" t="s">
        <v>345</v>
      </c>
      <c r="F682" s="3">
        <v>16.25</v>
      </c>
      <c r="G682" s="3">
        <v>0</v>
      </c>
      <c r="H682" s="3">
        <v>16.25</v>
      </c>
      <c r="I682" t="s">
        <v>346</v>
      </c>
    </row>
    <row r="683" spans="1:9" x14ac:dyDescent="0.35">
      <c r="A683" s="2">
        <v>45351</v>
      </c>
      <c r="B683">
        <v>78</v>
      </c>
      <c r="C683">
        <v>5131010</v>
      </c>
      <c r="D683" t="s">
        <v>91</v>
      </c>
      <c r="E683" t="s">
        <v>345</v>
      </c>
      <c r="F683" s="3">
        <v>32.5</v>
      </c>
      <c r="G683" s="3">
        <v>0</v>
      </c>
      <c r="H683" s="3">
        <v>32.5</v>
      </c>
      <c r="I683" t="s">
        <v>346</v>
      </c>
    </row>
    <row r="684" spans="1:9" x14ac:dyDescent="0.35">
      <c r="A684" s="2">
        <v>45351</v>
      </c>
      <c r="B684">
        <v>78</v>
      </c>
      <c r="C684">
        <v>5131012</v>
      </c>
      <c r="D684" t="s">
        <v>206</v>
      </c>
      <c r="E684" t="s">
        <v>345</v>
      </c>
      <c r="F684" s="3">
        <v>28.6</v>
      </c>
      <c r="G684" s="3">
        <v>0</v>
      </c>
      <c r="H684" s="3">
        <v>28.6</v>
      </c>
      <c r="I684" t="s">
        <v>346</v>
      </c>
    </row>
    <row r="685" spans="1:9" x14ac:dyDescent="0.35">
      <c r="A685" s="2">
        <v>45351</v>
      </c>
      <c r="B685">
        <v>78</v>
      </c>
      <c r="C685">
        <v>5131013</v>
      </c>
      <c r="D685" t="s">
        <v>92</v>
      </c>
      <c r="E685" t="s">
        <v>345</v>
      </c>
      <c r="F685" s="3">
        <v>7.8</v>
      </c>
      <c r="G685" s="3">
        <v>0</v>
      </c>
      <c r="H685" s="3">
        <v>7.8</v>
      </c>
      <c r="I685" t="s">
        <v>346</v>
      </c>
    </row>
    <row r="686" spans="1:9" x14ac:dyDescent="0.35">
      <c r="A686" s="2">
        <v>45351</v>
      </c>
      <c r="B686">
        <v>78</v>
      </c>
      <c r="C686">
        <v>5131014</v>
      </c>
      <c r="D686" t="s">
        <v>207</v>
      </c>
      <c r="E686" t="s">
        <v>345</v>
      </c>
      <c r="F686" s="3">
        <v>7.8</v>
      </c>
      <c r="G686" s="3">
        <v>0</v>
      </c>
      <c r="H686" s="3">
        <v>7.8</v>
      </c>
      <c r="I686" t="s">
        <v>346</v>
      </c>
    </row>
    <row r="687" spans="1:9" x14ac:dyDescent="0.35">
      <c r="A687" s="2">
        <v>45351</v>
      </c>
      <c r="B687">
        <v>78</v>
      </c>
      <c r="C687">
        <v>2131002</v>
      </c>
      <c r="D687" t="s">
        <v>31</v>
      </c>
      <c r="E687" t="s">
        <v>345</v>
      </c>
      <c r="F687" s="3">
        <v>0</v>
      </c>
      <c r="G687" s="3">
        <v>18</v>
      </c>
      <c r="H687" s="3">
        <v>-18</v>
      </c>
      <c r="I687" t="s">
        <v>346</v>
      </c>
    </row>
    <row r="688" spans="1:9" x14ac:dyDescent="0.35">
      <c r="A688" s="2">
        <v>45351</v>
      </c>
      <c r="B688">
        <v>78</v>
      </c>
      <c r="C688">
        <v>2131003</v>
      </c>
      <c r="D688" t="s">
        <v>32</v>
      </c>
      <c r="E688" t="s">
        <v>345</v>
      </c>
      <c r="F688" s="3">
        <v>0</v>
      </c>
      <c r="G688" s="3">
        <v>2.25</v>
      </c>
      <c r="H688" s="3">
        <v>-2.25</v>
      </c>
      <c r="I688" t="s">
        <v>346</v>
      </c>
    </row>
    <row r="689" spans="1:9" x14ac:dyDescent="0.35">
      <c r="A689" s="2">
        <v>45351</v>
      </c>
      <c r="B689">
        <v>78</v>
      </c>
      <c r="C689">
        <v>2131004</v>
      </c>
      <c r="D689" t="s">
        <v>33</v>
      </c>
      <c r="E689" t="s">
        <v>345</v>
      </c>
      <c r="F689" s="3">
        <v>0</v>
      </c>
      <c r="G689" s="3">
        <v>6.25</v>
      </c>
      <c r="H689" s="3">
        <v>-6.25</v>
      </c>
      <c r="I689" t="s">
        <v>346</v>
      </c>
    </row>
    <row r="690" spans="1:9" x14ac:dyDescent="0.35">
      <c r="A690" s="2">
        <v>45351</v>
      </c>
      <c r="B690">
        <v>78</v>
      </c>
      <c r="C690">
        <v>2141001</v>
      </c>
      <c r="D690" t="s">
        <v>35</v>
      </c>
      <c r="E690" t="s">
        <v>345</v>
      </c>
      <c r="F690" s="3">
        <v>0</v>
      </c>
      <c r="G690" s="3">
        <v>28.6</v>
      </c>
      <c r="H690" s="3">
        <v>-28.6</v>
      </c>
      <c r="I690" t="s">
        <v>346</v>
      </c>
    </row>
    <row r="691" spans="1:9" x14ac:dyDescent="0.35">
      <c r="A691" s="2">
        <v>45351</v>
      </c>
      <c r="B691">
        <v>78</v>
      </c>
      <c r="C691">
        <v>2141002</v>
      </c>
      <c r="D691" t="s">
        <v>36</v>
      </c>
      <c r="E691" t="s">
        <v>345</v>
      </c>
      <c r="F691" s="3">
        <v>0</v>
      </c>
      <c r="G691" s="3">
        <v>7.8</v>
      </c>
      <c r="H691" s="3">
        <v>-7.8</v>
      </c>
      <c r="I691" t="s">
        <v>346</v>
      </c>
    </row>
    <row r="692" spans="1:9" x14ac:dyDescent="0.35">
      <c r="A692" s="2">
        <v>45351</v>
      </c>
      <c r="B692">
        <v>78</v>
      </c>
      <c r="C692">
        <v>2141003</v>
      </c>
      <c r="D692" t="s">
        <v>37</v>
      </c>
      <c r="E692" t="s">
        <v>345</v>
      </c>
      <c r="F692" s="3">
        <v>0</v>
      </c>
      <c r="G692" s="3">
        <v>7.8</v>
      </c>
      <c r="H692" s="3">
        <v>-7.8</v>
      </c>
      <c r="I692" t="s">
        <v>346</v>
      </c>
    </row>
    <row r="693" spans="1:9" x14ac:dyDescent="0.35">
      <c r="A693" s="2">
        <v>45351</v>
      </c>
      <c r="B693">
        <v>78</v>
      </c>
      <c r="C693">
        <v>2161004</v>
      </c>
      <c r="D693" t="s">
        <v>38</v>
      </c>
      <c r="E693" t="s">
        <v>345</v>
      </c>
      <c r="F693" s="3">
        <v>0</v>
      </c>
      <c r="G693" s="3">
        <v>16.25</v>
      </c>
      <c r="H693" s="3">
        <v>-16.25</v>
      </c>
      <c r="I693" t="s">
        <v>346</v>
      </c>
    </row>
    <row r="694" spans="1:9" x14ac:dyDescent="0.35">
      <c r="A694" s="2">
        <v>45351</v>
      </c>
      <c r="B694">
        <v>78</v>
      </c>
      <c r="C694">
        <v>2161005</v>
      </c>
      <c r="D694" t="s">
        <v>39</v>
      </c>
      <c r="E694" t="s">
        <v>345</v>
      </c>
      <c r="F694" s="3">
        <v>0</v>
      </c>
      <c r="G694" s="3">
        <v>32.5</v>
      </c>
      <c r="H694" s="3">
        <v>-32.5</v>
      </c>
      <c r="I694" t="s">
        <v>346</v>
      </c>
    </row>
    <row r="695" spans="1:9" x14ac:dyDescent="0.35">
      <c r="A695" s="2">
        <v>45351</v>
      </c>
      <c r="B695">
        <v>78</v>
      </c>
      <c r="C695">
        <v>2241001</v>
      </c>
      <c r="D695" t="s">
        <v>40</v>
      </c>
      <c r="E695" t="s">
        <v>345</v>
      </c>
      <c r="F695" s="3">
        <v>0</v>
      </c>
      <c r="G695" s="3">
        <v>81.900000000000006</v>
      </c>
      <c r="H695" s="3">
        <v>-81.900000000000006</v>
      </c>
      <c r="I695" t="s">
        <v>346</v>
      </c>
    </row>
    <row r="696" spans="1:9" x14ac:dyDescent="0.35">
      <c r="A696" s="2">
        <v>45351</v>
      </c>
      <c r="B696">
        <v>78</v>
      </c>
      <c r="C696">
        <v>2161001</v>
      </c>
      <c r="D696" t="s">
        <v>93</v>
      </c>
      <c r="E696" t="s">
        <v>345</v>
      </c>
      <c r="F696" s="3">
        <v>0</v>
      </c>
      <c r="G696" s="3">
        <v>4694.3</v>
      </c>
      <c r="H696" s="3">
        <v>-4694.3</v>
      </c>
      <c r="I696" t="s">
        <v>346</v>
      </c>
    </row>
    <row r="697" spans="1:9" x14ac:dyDescent="0.35">
      <c r="A697" s="2">
        <v>45351</v>
      </c>
      <c r="B697">
        <v>78</v>
      </c>
      <c r="C697">
        <v>6121040</v>
      </c>
      <c r="D697" t="s">
        <v>98</v>
      </c>
      <c r="E697" t="s">
        <v>99</v>
      </c>
      <c r="F697" s="3">
        <v>102.59</v>
      </c>
      <c r="G697" s="3">
        <v>0</v>
      </c>
      <c r="H697" s="3">
        <v>102.59</v>
      </c>
      <c r="I697" t="s">
        <v>96</v>
      </c>
    </row>
    <row r="698" spans="1:9" x14ac:dyDescent="0.35">
      <c r="A698" s="2">
        <v>45351</v>
      </c>
      <c r="B698">
        <v>78</v>
      </c>
      <c r="C698">
        <v>6121046</v>
      </c>
      <c r="D698" t="s">
        <v>94</v>
      </c>
      <c r="E698" t="s">
        <v>95</v>
      </c>
      <c r="F698" s="3">
        <v>360.29</v>
      </c>
      <c r="G698" s="3">
        <v>0</v>
      </c>
      <c r="H698" s="3">
        <v>360.29</v>
      </c>
      <c r="I698" t="s">
        <v>96</v>
      </c>
    </row>
    <row r="699" spans="1:9" x14ac:dyDescent="0.35">
      <c r="A699" s="2">
        <v>45351</v>
      </c>
      <c r="B699">
        <v>78</v>
      </c>
      <c r="C699">
        <v>2114001</v>
      </c>
      <c r="D699" t="s">
        <v>97</v>
      </c>
      <c r="E699" t="s">
        <v>1768</v>
      </c>
      <c r="F699" s="3">
        <v>15650</v>
      </c>
      <c r="G699" s="3">
        <v>0</v>
      </c>
      <c r="H699" s="3">
        <v>15650</v>
      </c>
      <c r="I699" t="s">
        <v>96</v>
      </c>
    </row>
    <row r="700" spans="1:9" x14ac:dyDescent="0.35">
      <c r="A700" s="2">
        <v>45351</v>
      </c>
      <c r="B700">
        <v>78</v>
      </c>
      <c r="C700">
        <v>2114001</v>
      </c>
      <c r="D700" t="s">
        <v>97</v>
      </c>
      <c r="E700" t="s">
        <v>347</v>
      </c>
      <c r="F700" s="3">
        <v>172.14</v>
      </c>
      <c r="G700" s="3">
        <v>0</v>
      </c>
      <c r="H700" s="3">
        <v>172.14</v>
      </c>
      <c r="I700" t="s">
        <v>96</v>
      </c>
    </row>
    <row r="701" spans="1:9" x14ac:dyDescent="0.35">
      <c r="A701" s="2">
        <v>45351</v>
      </c>
      <c r="B701">
        <v>78</v>
      </c>
      <c r="C701">
        <v>6121021</v>
      </c>
      <c r="D701" t="s">
        <v>102</v>
      </c>
      <c r="E701" t="s">
        <v>348</v>
      </c>
      <c r="F701" s="3">
        <v>1203</v>
      </c>
      <c r="G701" s="3">
        <v>0</v>
      </c>
      <c r="H701" s="3">
        <v>1203</v>
      </c>
      <c r="I701" t="s">
        <v>96</v>
      </c>
    </row>
    <row r="702" spans="1:9" x14ac:dyDescent="0.35">
      <c r="A702" s="2">
        <v>45351</v>
      </c>
      <c r="B702">
        <v>78</v>
      </c>
      <c r="C702">
        <v>6121019</v>
      </c>
      <c r="D702" t="s">
        <v>100</v>
      </c>
      <c r="E702" t="s">
        <v>101</v>
      </c>
      <c r="F702" s="3">
        <v>502.3</v>
      </c>
      <c r="G702" s="3">
        <v>0</v>
      </c>
      <c r="H702" s="3">
        <v>502.3</v>
      </c>
      <c r="I702" t="s">
        <v>96</v>
      </c>
    </row>
    <row r="703" spans="1:9" x14ac:dyDescent="0.35">
      <c r="A703" s="2">
        <v>45351</v>
      </c>
      <c r="B703">
        <v>78</v>
      </c>
      <c r="C703">
        <v>1111001</v>
      </c>
      <c r="D703" t="s">
        <v>16</v>
      </c>
      <c r="E703" t="s">
        <v>349</v>
      </c>
      <c r="F703" s="3">
        <v>3000</v>
      </c>
      <c r="G703" s="3">
        <v>0</v>
      </c>
      <c r="H703" s="3">
        <v>3000</v>
      </c>
      <c r="I703" t="s">
        <v>96</v>
      </c>
    </row>
    <row r="704" spans="1:9" x14ac:dyDescent="0.35">
      <c r="A704" s="2">
        <v>45351</v>
      </c>
      <c r="B704">
        <v>78</v>
      </c>
      <c r="C704">
        <v>1112001</v>
      </c>
      <c r="D704" t="s">
        <v>20</v>
      </c>
      <c r="E704" t="s">
        <v>107</v>
      </c>
      <c r="F704" s="3">
        <v>0</v>
      </c>
      <c r="G704" s="3">
        <v>20990.32</v>
      </c>
      <c r="H704" s="3">
        <v>-20990.32</v>
      </c>
      <c r="I704" t="s">
        <v>96</v>
      </c>
    </row>
    <row r="705" spans="1:9" x14ac:dyDescent="0.35">
      <c r="A705" s="2">
        <v>45351</v>
      </c>
      <c r="B705">
        <v>78</v>
      </c>
      <c r="C705">
        <v>1112001</v>
      </c>
      <c r="D705" t="s">
        <v>20</v>
      </c>
      <c r="E705" t="s">
        <v>108</v>
      </c>
      <c r="F705" s="3">
        <v>20895.57</v>
      </c>
      <c r="G705" s="3">
        <v>0</v>
      </c>
      <c r="H705" s="3">
        <v>20895.57</v>
      </c>
      <c r="I705" t="s">
        <v>96</v>
      </c>
    </row>
    <row r="706" spans="1:9" x14ac:dyDescent="0.35">
      <c r="A706" s="2">
        <v>45351</v>
      </c>
      <c r="B706">
        <v>78</v>
      </c>
      <c r="C706">
        <v>1111001</v>
      </c>
      <c r="D706" t="s">
        <v>16</v>
      </c>
      <c r="E706" t="s">
        <v>112</v>
      </c>
      <c r="F706" s="3">
        <v>0</v>
      </c>
      <c r="G706" s="3">
        <v>7560.3</v>
      </c>
      <c r="H706" s="3">
        <v>-7560.3</v>
      </c>
      <c r="I706" t="s">
        <v>96</v>
      </c>
    </row>
    <row r="707" spans="1:9" x14ac:dyDescent="0.35">
      <c r="A707" s="2">
        <v>45351</v>
      </c>
      <c r="B707">
        <v>78</v>
      </c>
      <c r="C707">
        <v>1111001</v>
      </c>
      <c r="D707" t="s">
        <v>16</v>
      </c>
      <c r="E707" t="s">
        <v>111</v>
      </c>
      <c r="F707" s="3">
        <v>0</v>
      </c>
      <c r="G707" s="3">
        <v>1750</v>
      </c>
      <c r="H707" s="3">
        <v>-1750</v>
      </c>
      <c r="I707" t="s">
        <v>96</v>
      </c>
    </row>
    <row r="708" spans="1:9" x14ac:dyDescent="0.35">
      <c r="A708" s="2">
        <v>45351</v>
      </c>
      <c r="B708">
        <v>78</v>
      </c>
      <c r="C708">
        <v>1111001</v>
      </c>
      <c r="D708" t="s">
        <v>16</v>
      </c>
      <c r="E708" t="s">
        <v>350</v>
      </c>
      <c r="F708" s="3">
        <v>0</v>
      </c>
      <c r="G708" s="3">
        <v>1585.27</v>
      </c>
      <c r="H708" s="3">
        <v>-1585.27</v>
      </c>
      <c r="I708" t="s">
        <v>96</v>
      </c>
    </row>
    <row r="709" spans="1:9" x14ac:dyDescent="0.35">
      <c r="A709" s="2">
        <v>45351</v>
      </c>
      <c r="B709">
        <v>78</v>
      </c>
      <c r="C709">
        <v>2114001</v>
      </c>
      <c r="D709" t="s">
        <v>97</v>
      </c>
      <c r="E709" t="s">
        <v>1768</v>
      </c>
      <c r="F709" s="3">
        <v>0</v>
      </c>
      <c r="G709" s="3">
        <v>10000</v>
      </c>
      <c r="H709" s="3">
        <v>-10000</v>
      </c>
      <c r="I709" t="s">
        <v>96</v>
      </c>
    </row>
    <row r="710" spans="1:9" x14ac:dyDescent="0.35">
      <c r="A710" s="2">
        <v>45351</v>
      </c>
      <c r="B710">
        <v>78</v>
      </c>
      <c r="C710">
        <v>6121046</v>
      </c>
      <c r="D710" t="s">
        <v>94</v>
      </c>
      <c r="E710" t="s">
        <v>95</v>
      </c>
      <c r="F710" s="3">
        <v>776.96</v>
      </c>
      <c r="G710" s="3">
        <v>0</v>
      </c>
      <c r="H710" s="3">
        <v>776.96</v>
      </c>
      <c r="I710" t="s">
        <v>114</v>
      </c>
    </row>
    <row r="711" spans="1:9" x14ac:dyDescent="0.35">
      <c r="A711" s="2">
        <v>45351</v>
      </c>
      <c r="B711">
        <v>78</v>
      </c>
      <c r="C711">
        <v>6121040</v>
      </c>
      <c r="D711" t="s">
        <v>98</v>
      </c>
      <c r="E711" t="s">
        <v>99</v>
      </c>
      <c r="F711" s="3">
        <v>307.29000000000002</v>
      </c>
      <c r="G711" s="3">
        <v>0</v>
      </c>
      <c r="H711" s="3">
        <v>307.29000000000002</v>
      </c>
      <c r="I711" t="s">
        <v>114</v>
      </c>
    </row>
    <row r="712" spans="1:9" x14ac:dyDescent="0.35">
      <c r="A712" s="2">
        <v>45351</v>
      </c>
      <c r="B712">
        <v>78</v>
      </c>
      <c r="C712">
        <v>2124004</v>
      </c>
      <c r="D712" t="s">
        <v>29</v>
      </c>
      <c r="E712" t="s">
        <v>119</v>
      </c>
      <c r="F712" s="3">
        <v>955.99</v>
      </c>
      <c r="G712" s="3">
        <v>0</v>
      </c>
      <c r="H712" s="3">
        <v>955.99</v>
      </c>
      <c r="I712" t="s">
        <v>114</v>
      </c>
    </row>
    <row r="713" spans="1:9" x14ac:dyDescent="0.35">
      <c r="A713" s="2">
        <v>45351</v>
      </c>
      <c r="B713">
        <v>78</v>
      </c>
      <c r="C713">
        <v>5132002</v>
      </c>
      <c r="D713" t="s">
        <v>115</v>
      </c>
      <c r="E713" t="s">
        <v>351</v>
      </c>
      <c r="F713" s="3">
        <v>25860</v>
      </c>
      <c r="G713" s="3">
        <v>0</v>
      </c>
      <c r="H713" s="3">
        <v>25860</v>
      </c>
      <c r="I713" t="s">
        <v>114</v>
      </c>
    </row>
    <row r="714" spans="1:9" x14ac:dyDescent="0.35">
      <c r="A714" s="2">
        <v>45351</v>
      </c>
      <c r="B714">
        <v>78</v>
      </c>
      <c r="C714">
        <v>5132012</v>
      </c>
      <c r="D714" t="s">
        <v>303</v>
      </c>
      <c r="E714" t="s">
        <v>352</v>
      </c>
      <c r="F714" s="3">
        <v>767.6</v>
      </c>
      <c r="G714" s="3">
        <v>0</v>
      </c>
      <c r="H714" s="3">
        <v>767.6</v>
      </c>
      <c r="I714" t="s">
        <v>114</v>
      </c>
    </row>
    <row r="715" spans="1:9" x14ac:dyDescent="0.35">
      <c r="A715" s="2">
        <v>45351</v>
      </c>
      <c r="B715">
        <v>78</v>
      </c>
      <c r="C715">
        <v>5131006</v>
      </c>
      <c r="D715" t="s">
        <v>125</v>
      </c>
      <c r="E715" t="s">
        <v>1778</v>
      </c>
      <c r="F715" s="3">
        <v>3838</v>
      </c>
      <c r="G715" s="3">
        <v>0</v>
      </c>
      <c r="H715" s="3">
        <v>3838</v>
      </c>
      <c r="I715" t="s">
        <v>114</v>
      </c>
    </row>
    <row r="716" spans="1:9" x14ac:dyDescent="0.35">
      <c r="A716" s="2">
        <v>45351</v>
      </c>
      <c r="B716">
        <v>78</v>
      </c>
      <c r="C716">
        <v>5131006</v>
      </c>
      <c r="D716" t="s">
        <v>125</v>
      </c>
      <c r="E716" t="s">
        <v>1779</v>
      </c>
      <c r="F716" s="3">
        <v>2300</v>
      </c>
      <c r="G716" s="3">
        <v>0</v>
      </c>
      <c r="H716" s="3">
        <v>2300</v>
      </c>
      <c r="I716" t="s">
        <v>114</v>
      </c>
    </row>
    <row r="717" spans="1:9" x14ac:dyDescent="0.35">
      <c r="A717" s="2">
        <v>45351</v>
      </c>
      <c r="B717">
        <v>78</v>
      </c>
      <c r="C717">
        <v>2114001</v>
      </c>
      <c r="D717" t="s">
        <v>97</v>
      </c>
      <c r="E717" t="s">
        <v>353</v>
      </c>
      <c r="F717" s="3">
        <v>5774.4</v>
      </c>
      <c r="G717" s="3">
        <v>0</v>
      </c>
      <c r="H717" s="3">
        <v>5774.4</v>
      </c>
      <c r="I717" t="s">
        <v>114</v>
      </c>
    </row>
    <row r="718" spans="1:9" x14ac:dyDescent="0.35">
      <c r="A718" s="2">
        <v>45351</v>
      </c>
      <c r="B718">
        <v>78</v>
      </c>
      <c r="C718">
        <v>1112003</v>
      </c>
      <c r="D718" t="s">
        <v>22</v>
      </c>
      <c r="E718" t="s">
        <v>107</v>
      </c>
      <c r="F718" s="3">
        <v>0</v>
      </c>
      <c r="G718" s="3">
        <v>40580.239999999998</v>
      </c>
      <c r="H718" s="3">
        <v>-40580.239999999998</v>
      </c>
      <c r="I718" t="s">
        <v>114</v>
      </c>
    </row>
    <row r="719" spans="1:9" x14ac:dyDescent="0.35">
      <c r="A719" s="2">
        <v>45351</v>
      </c>
      <c r="B719">
        <v>78</v>
      </c>
      <c r="C719">
        <v>1112003</v>
      </c>
      <c r="D719" t="s">
        <v>22</v>
      </c>
      <c r="E719" t="s">
        <v>108</v>
      </c>
      <c r="F719" s="3">
        <v>40200</v>
      </c>
      <c r="G719" s="3">
        <v>0</v>
      </c>
      <c r="H719" s="3">
        <v>40200</v>
      </c>
      <c r="I719" t="s">
        <v>114</v>
      </c>
    </row>
    <row r="720" spans="1:9" x14ac:dyDescent="0.35">
      <c r="A720" s="2">
        <v>45351</v>
      </c>
      <c r="B720">
        <v>78</v>
      </c>
      <c r="C720">
        <v>1111001</v>
      </c>
      <c r="D720" t="s">
        <v>16</v>
      </c>
      <c r="E720" t="s">
        <v>111</v>
      </c>
      <c r="F720" s="3">
        <v>0</v>
      </c>
      <c r="G720" s="3">
        <v>13300</v>
      </c>
      <c r="H720" s="3">
        <v>-13300</v>
      </c>
      <c r="I720" t="s">
        <v>114</v>
      </c>
    </row>
    <row r="721" spans="1:9" x14ac:dyDescent="0.35">
      <c r="A721" s="2">
        <v>45351</v>
      </c>
      <c r="B721">
        <v>78</v>
      </c>
      <c r="C721">
        <v>1111001</v>
      </c>
      <c r="D721" t="s">
        <v>16</v>
      </c>
      <c r="E721" t="s">
        <v>138</v>
      </c>
      <c r="F721" s="3">
        <v>0</v>
      </c>
      <c r="G721" s="3">
        <v>18000</v>
      </c>
      <c r="H721" s="3">
        <v>-18000</v>
      </c>
      <c r="I721" t="s">
        <v>114</v>
      </c>
    </row>
    <row r="722" spans="1:9" x14ac:dyDescent="0.35">
      <c r="A722" s="2">
        <v>45351</v>
      </c>
      <c r="B722">
        <v>78</v>
      </c>
      <c r="C722">
        <v>1111001</v>
      </c>
      <c r="D722" t="s">
        <v>16</v>
      </c>
      <c r="E722" t="s">
        <v>354</v>
      </c>
      <c r="F722" s="3">
        <v>0</v>
      </c>
      <c r="G722" s="3">
        <v>8900</v>
      </c>
      <c r="H722" s="3">
        <v>-8900</v>
      </c>
      <c r="I722" t="s">
        <v>114</v>
      </c>
    </row>
    <row r="723" spans="1:9" x14ac:dyDescent="0.35">
      <c r="A723" s="2">
        <v>45351</v>
      </c>
      <c r="B723">
        <v>78</v>
      </c>
      <c r="C723">
        <v>6121040</v>
      </c>
      <c r="D723" t="s">
        <v>98</v>
      </c>
      <c r="E723" t="s">
        <v>99</v>
      </c>
      <c r="F723" s="3">
        <v>2412.54</v>
      </c>
      <c r="G723" s="3">
        <v>0</v>
      </c>
      <c r="H723" s="3">
        <v>2412.54</v>
      </c>
      <c r="I723" t="s">
        <v>124</v>
      </c>
    </row>
    <row r="724" spans="1:9" x14ac:dyDescent="0.35">
      <c r="A724" s="2">
        <v>45351</v>
      </c>
      <c r="B724">
        <v>78</v>
      </c>
      <c r="C724">
        <v>6121046</v>
      </c>
      <c r="D724" t="s">
        <v>94</v>
      </c>
      <c r="E724" t="s">
        <v>95</v>
      </c>
      <c r="F724" s="3">
        <v>1770.22</v>
      </c>
      <c r="G724" s="3">
        <v>0</v>
      </c>
      <c r="H724" s="3">
        <v>1770.22</v>
      </c>
      <c r="I724" t="s">
        <v>124</v>
      </c>
    </row>
    <row r="725" spans="1:9" x14ac:dyDescent="0.35">
      <c r="A725" s="2">
        <v>45351</v>
      </c>
      <c r="B725">
        <v>78</v>
      </c>
      <c r="C725">
        <v>5132007</v>
      </c>
      <c r="D725" t="s">
        <v>355</v>
      </c>
      <c r="E725" t="s">
        <v>356</v>
      </c>
      <c r="F725" s="3">
        <v>653</v>
      </c>
      <c r="G725" s="3">
        <v>0</v>
      </c>
      <c r="H725" s="3">
        <v>653</v>
      </c>
      <c r="I725" t="s">
        <v>124</v>
      </c>
    </row>
    <row r="726" spans="1:9" x14ac:dyDescent="0.35">
      <c r="A726" s="2">
        <v>45351</v>
      </c>
      <c r="B726">
        <v>78</v>
      </c>
      <c r="C726">
        <v>2114001</v>
      </c>
      <c r="D726" t="s">
        <v>97</v>
      </c>
      <c r="E726" t="s">
        <v>357</v>
      </c>
      <c r="F726" s="3">
        <v>5900</v>
      </c>
      <c r="G726" s="3">
        <v>0</v>
      </c>
      <c r="H726" s="3">
        <v>5900</v>
      </c>
      <c r="I726" t="s">
        <v>124</v>
      </c>
    </row>
    <row r="727" spans="1:9" x14ac:dyDescent="0.35">
      <c r="A727" s="2">
        <v>45351</v>
      </c>
      <c r="B727">
        <v>78</v>
      </c>
      <c r="C727">
        <v>1111001</v>
      </c>
      <c r="D727" t="s">
        <v>16</v>
      </c>
      <c r="E727" t="s">
        <v>131</v>
      </c>
      <c r="F727" s="3">
        <v>12049.2</v>
      </c>
      <c r="G727" s="3">
        <v>0</v>
      </c>
      <c r="H727" s="3">
        <v>12049.2</v>
      </c>
      <c r="I727" t="s">
        <v>124</v>
      </c>
    </row>
    <row r="728" spans="1:9" x14ac:dyDescent="0.35">
      <c r="A728" s="2">
        <v>45351</v>
      </c>
      <c r="B728">
        <v>78</v>
      </c>
      <c r="C728">
        <v>2114001</v>
      </c>
      <c r="D728" t="s">
        <v>97</v>
      </c>
      <c r="E728" t="s">
        <v>1768</v>
      </c>
      <c r="F728" s="3">
        <v>17205.599999999999</v>
      </c>
      <c r="G728" s="3">
        <v>0</v>
      </c>
      <c r="H728" s="3">
        <v>17205.599999999999</v>
      </c>
      <c r="I728" t="s">
        <v>124</v>
      </c>
    </row>
    <row r="729" spans="1:9" x14ac:dyDescent="0.35">
      <c r="A729" s="2">
        <v>45351</v>
      </c>
      <c r="B729">
        <v>78</v>
      </c>
      <c r="C729">
        <v>1111001</v>
      </c>
      <c r="D729" t="s">
        <v>16</v>
      </c>
      <c r="E729" t="s">
        <v>1773</v>
      </c>
      <c r="F729" s="3">
        <v>3500</v>
      </c>
      <c r="G729" s="3">
        <v>0</v>
      </c>
      <c r="H729" s="3">
        <v>3500</v>
      </c>
      <c r="I729" t="s">
        <v>124</v>
      </c>
    </row>
    <row r="730" spans="1:9" x14ac:dyDescent="0.35">
      <c r="A730" s="2">
        <v>45351</v>
      </c>
      <c r="B730">
        <v>78</v>
      </c>
      <c r="C730">
        <v>2114001</v>
      </c>
      <c r="D730" t="s">
        <v>97</v>
      </c>
      <c r="E730" t="s">
        <v>358</v>
      </c>
      <c r="F730" s="3">
        <v>15000</v>
      </c>
      <c r="G730" s="3">
        <v>0</v>
      </c>
      <c r="H730" s="3">
        <v>15000</v>
      </c>
      <c r="I730" t="s">
        <v>124</v>
      </c>
    </row>
    <row r="731" spans="1:9" x14ac:dyDescent="0.35">
      <c r="A731" s="2">
        <v>45351</v>
      </c>
      <c r="B731">
        <v>78</v>
      </c>
      <c r="C731">
        <v>1111001</v>
      </c>
      <c r="D731" t="s">
        <v>16</v>
      </c>
      <c r="E731" t="s">
        <v>1780</v>
      </c>
      <c r="F731" s="3">
        <v>5500</v>
      </c>
      <c r="G731" s="3">
        <v>0</v>
      </c>
      <c r="H731" s="3">
        <v>5500</v>
      </c>
      <c r="I731" t="s">
        <v>124</v>
      </c>
    </row>
    <row r="732" spans="1:9" x14ac:dyDescent="0.35">
      <c r="A732" s="2">
        <v>45351</v>
      </c>
      <c r="B732">
        <v>78</v>
      </c>
      <c r="C732">
        <v>2121003</v>
      </c>
      <c r="D732" t="s">
        <v>28</v>
      </c>
      <c r="E732" t="s">
        <v>221</v>
      </c>
      <c r="F732" s="3">
        <v>11716.39</v>
      </c>
      <c r="G732" s="3">
        <v>0</v>
      </c>
      <c r="H732" s="3">
        <v>11716.39</v>
      </c>
      <c r="I732" t="s">
        <v>124</v>
      </c>
    </row>
    <row r="733" spans="1:9" x14ac:dyDescent="0.35">
      <c r="A733" s="2">
        <v>45351</v>
      </c>
      <c r="B733">
        <v>78</v>
      </c>
      <c r="C733">
        <v>1111001</v>
      </c>
      <c r="D733" t="s">
        <v>16</v>
      </c>
      <c r="E733" t="s">
        <v>359</v>
      </c>
      <c r="F733" s="3">
        <v>1750</v>
      </c>
      <c r="G733" s="3">
        <v>0</v>
      </c>
      <c r="H733" s="3">
        <v>1750</v>
      </c>
      <c r="I733" t="s">
        <v>124</v>
      </c>
    </row>
    <row r="734" spans="1:9" x14ac:dyDescent="0.35">
      <c r="A734" s="2">
        <v>45351</v>
      </c>
      <c r="B734">
        <v>78</v>
      </c>
      <c r="C734">
        <v>1111001</v>
      </c>
      <c r="D734" t="s">
        <v>16</v>
      </c>
      <c r="E734" t="s">
        <v>132</v>
      </c>
      <c r="F734" s="3">
        <v>4300</v>
      </c>
      <c r="G734" s="3">
        <v>0</v>
      </c>
      <c r="H734" s="3">
        <v>4300</v>
      </c>
      <c r="I734" t="s">
        <v>124</v>
      </c>
    </row>
    <row r="735" spans="1:9" x14ac:dyDescent="0.35">
      <c r="A735" s="2">
        <v>45351</v>
      </c>
      <c r="B735">
        <v>78</v>
      </c>
      <c r="C735">
        <v>2114010</v>
      </c>
      <c r="D735" t="s">
        <v>48</v>
      </c>
      <c r="E735" t="s">
        <v>360</v>
      </c>
      <c r="F735" s="3">
        <v>363.56</v>
      </c>
      <c r="G735" s="3">
        <v>0</v>
      </c>
      <c r="H735" s="3">
        <v>363.56</v>
      </c>
      <c r="I735" t="s">
        <v>124</v>
      </c>
    </row>
    <row r="736" spans="1:9" x14ac:dyDescent="0.35">
      <c r="A736" s="2">
        <v>45351</v>
      </c>
      <c r="B736">
        <v>78</v>
      </c>
      <c r="C736">
        <v>5132012</v>
      </c>
      <c r="D736" t="s">
        <v>303</v>
      </c>
      <c r="E736" t="s">
        <v>361</v>
      </c>
      <c r="F736" s="3">
        <v>5500</v>
      </c>
      <c r="G736" s="3">
        <v>0</v>
      </c>
      <c r="H736" s="3">
        <v>5500</v>
      </c>
      <c r="I736" t="s">
        <v>124</v>
      </c>
    </row>
    <row r="737" spans="1:9" x14ac:dyDescent="0.35">
      <c r="A737" s="2">
        <v>45351</v>
      </c>
      <c r="B737">
        <v>78</v>
      </c>
      <c r="C737">
        <v>5132012</v>
      </c>
      <c r="D737" t="s">
        <v>303</v>
      </c>
      <c r="E737" t="s">
        <v>362</v>
      </c>
      <c r="F737" s="3">
        <v>767.6</v>
      </c>
      <c r="G737" s="3">
        <v>0</v>
      </c>
      <c r="H737" s="3">
        <v>767.6</v>
      </c>
      <c r="I737" t="s">
        <v>124</v>
      </c>
    </row>
    <row r="738" spans="1:9" x14ac:dyDescent="0.35">
      <c r="A738" s="2">
        <v>45351</v>
      </c>
      <c r="B738">
        <v>78</v>
      </c>
      <c r="C738">
        <v>5131006</v>
      </c>
      <c r="D738" t="s">
        <v>125</v>
      </c>
      <c r="E738" t="s">
        <v>1771</v>
      </c>
      <c r="F738" s="3">
        <v>3838</v>
      </c>
      <c r="G738" s="3">
        <v>0</v>
      </c>
      <c r="H738" s="3">
        <v>3838</v>
      </c>
      <c r="I738" t="s">
        <v>124</v>
      </c>
    </row>
    <row r="739" spans="1:9" x14ac:dyDescent="0.35">
      <c r="A739" s="2">
        <v>45351</v>
      </c>
      <c r="B739">
        <v>78</v>
      </c>
      <c r="C739">
        <v>5131006</v>
      </c>
      <c r="D739" t="s">
        <v>125</v>
      </c>
      <c r="E739" t="s">
        <v>1771</v>
      </c>
      <c r="F739" s="3">
        <v>3838</v>
      </c>
      <c r="G739" s="3">
        <v>0</v>
      </c>
      <c r="H739" s="3">
        <v>3838</v>
      </c>
      <c r="I739" t="s">
        <v>124</v>
      </c>
    </row>
    <row r="740" spans="1:9" x14ac:dyDescent="0.35">
      <c r="A740" s="2">
        <v>45351</v>
      </c>
      <c r="B740">
        <v>78</v>
      </c>
      <c r="C740">
        <v>5131006</v>
      </c>
      <c r="D740" t="s">
        <v>125</v>
      </c>
      <c r="E740" t="s">
        <v>1771</v>
      </c>
      <c r="F740" s="3">
        <v>1550</v>
      </c>
      <c r="G740" s="3">
        <v>0</v>
      </c>
      <c r="H740" s="3">
        <v>1550</v>
      </c>
      <c r="I740" t="s">
        <v>124</v>
      </c>
    </row>
    <row r="741" spans="1:9" x14ac:dyDescent="0.35">
      <c r="A741" s="2">
        <v>45351</v>
      </c>
      <c r="B741">
        <v>78</v>
      </c>
      <c r="C741">
        <v>5132012</v>
      </c>
      <c r="D741" t="s">
        <v>303</v>
      </c>
      <c r="E741" t="s">
        <v>363</v>
      </c>
      <c r="F741" s="3">
        <v>282.5</v>
      </c>
      <c r="G741" s="3">
        <v>0</v>
      </c>
      <c r="H741" s="3">
        <v>282.5</v>
      </c>
      <c r="I741" t="s">
        <v>124</v>
      </c>
    </row>
    <row r="742" spans="1:9" x14ac:dyDescent="0.35">
      <c r="A742" s="2">
        <v>45351</v>
      </c>
      <c r="B742">
        <v>78</v>
      </c>
      <c r="C742">
        <v>5131006</v>
      </c>
      <c r="D742" t="s">
        <v>125</v>
      </c>
      <c r="E742" t="s">
        <v>1771</v>
      </c>
      <c r="F742" s="3">
        <v>3838</v>
      </c>
      <c r="G742" s="3">
        <v>0</v>
      </c>
      <c r="H742" s="3">
        <v>3838</v>
      </c>
      <c r="I742" t="s">
        <v>124</v>
      </c>
    </row>
    <row r="743" spans="1:9" x14ac:dyDescent="0.35">
      <c r="A743" s="2">
        <v>45351</v>
      </c>
      <c r="B743">
        <v>78</v>
      </c>
      <c r="C743">
        <v>2114001</v>
      </c>
      <c r="D743" t="s">
        <v>97</v>
      </c>
      <c r="E743" t="s">
        <v>1781</v>
      </c>
      <c r="F743" s="3">
        <v>1446</v>
      </c>
      <c r="G743" s="3">
        <v>0</v>
      </c>
      <c r="H743" s="3">
        <v>1446</v>
      </c>
      <c r="I743" t="s">
        <v>124</v>
      </c>
    </row>
    <row r="744" spans="1:9" x14ac:dyDescent="0.35">
      <c r="A744" s="2">
        <v>45351</v>
      </c>
      <c r="B744">
        <v>78</v>
      </c>
      <c r="C744">
        <v>1112002</v>
      </c>
      <c r="D744" t="s">
        <v>21</v>
      </c>
      <c r="E744" t="s">
        <v>364</v>
      </c>
      <c r="F744" s="3">
        <v>0</v>
      </c>
      <c r="G744" s="3">
        <v>103180.61</v>
      </c>
      <c r="H744" s="3">
        <v>-103180.61</v>
      </c>
      <c r="I744" t="s">
        <v>124</v>
      </c>
    </row>
    <row r="745" spans="1:9" x14ac:dyDescent="0.35">
      <c r="A745" s="2">
        <v>45351</v>
      </c>
      <c r="B745">
        <v>78</v>
      </c>
      <c r="C745">
        <v>1112002</v>
      </c>
      <c r="D745" t="s">
        <v>21</v>
      </c>
      <c r="E745" t="s">
        <v>108</v>
      </c>
      <c r="F745" s="3">
        <v>103329.79</v>
      </c>
      <c r="G745" s="3">
        <v>0</v>
      </c>
      <c r="H745" s="3">
        <v>103329.79</v>
      </c>
      <c r="I745" t="s">
        <v>124</v>
      </c>
    </row>
    <row r="746" spans="1:9" x14ac:dyDescent="0.35">
      <c r="A746" s="2">
        <v>45351</v>
      </c>
      <c r="B746">
        <v>78</v>
      </c>
      <c r="C746">
        <v>1111001</v>
      </c>
      <c r="D746" t="s">
        <v>16</v>
      </c>
      <c r="E746" t="s">
        <v>137</v>
      </c>
      <c r="F746" s="3">
        <v>0</v>
      </c>
      <c r="G746" s="3">
        <v>84556.57</v>
      </c>
      <c r="H746" s="3">
        <v>-84556.57</v>
      </c>
      <c r="I746" t="s">
        <v>124</v>
      </c>
    </row>
    <row r="747" spans="1:9" x14ac:dyDescent="0.35">
      <c r="A747" s="2">
        <v>45351</v>
      </c>
      <c r="B747">
        <v>78</v>
      </c>
      <c r="C747">
        <v>1111001</v>
      </c>
      <c r="D747" t="s">
        <v>16</v>
      </c>
      <c r="E747" t="s">
        <v>299</v>
      </c>
      <c r="F747" s="3">
        <v>0</v>
      </c>
      <c r="G747" s="3">
        <v>3000</v>
      </c>
      <c r="H747" s="3">
        <v>-3000</v>
      </c>
      <c r="I747" t="s">
        <v>124</v>
      </c>
    </row>
    <row r="748" spans="1:9" x14ac:dyDescent="0.35">
      <c r="A748" s="2">
        <v>45351</v>
      </c>
      <c r="B748">
        <v>78</v>
      </c>
      <c r="C748">
        <v>1111001</v>
      </c>
      <c r="D748" t="s">
        <v>16</v>
      </c>
      <c r="E748" t="s">
        <v>139</v>
      </c>
      <c r="F748" s="3">
        <v>0</v>
      </c>
      <c r="G748" s="3">
        <v>15563.01</v>
      </c>
      <c r="H748" s="3">
        <v>-15563.01</v>
      </c>
      <c r="I748" t="s">
        <v>124</v>
      </c>
    </row>
    <row r="749" spans="1:9" x14ac:dyDescent="0.35">
      <c r="A749" s="2">
        <v>45351</v>
      </c>
      <c r="B749">
        <v>78</v>
      </c>
      <c r="C749">
        <v>4141003</v>
      </c>
      <c r="D749" t="s">
        <v>141</v>
      </c>
      <c r="E749" t="s">
        <v>142</v>
      </c>
      <c r="F749" s="3">
        <v>0</v>
      </c>
      <c r="G749" s="3">
        <v>210.21</v>
      </c>
      <c r="H749" s="3">
        <v>-210.21</v>
      </c>
      <c r="I749" t="s">
        <v>124</v>
      </c>
    </row>
    <row r="750" spans="1:9" x14ac:dyDescent="0.35">
      <c r="A750" s="2">
        <v>45351</v>
      </c>
      <c r="B750">
        <v>78</v>
      </c>
      <c r="C750">
        <v>2161001</v>
      </c>
      <c r="D750" t="s">
        <v>93</v>
      </c>
      <c r="E750" t="s">
        <v>365</v>
      </c>
      <c r="F750" s="3">
        <v>4694.3</v>
      </c>
      <c r="G750" s="3">
        <v>0</v>
      </c>
      <c r="H750" s="3">
        <v>4694.3</v>
      </c>
      <c r="I750" t="s">
        <v>291</v>
      </c>
    </row>
    <row r="751" spans="1:9" x14ac:dyDescent="0.35">
      <c r="A751" s="2">
        <v>45351</v>
      </c>
      <c r="B751">
        <v>78</v>
      </c>
      <c r="C751">
        <v>5131006</v>
      </c>
      <c r="D751" t="s">
        <v>125</v>
      </c>
      <c r="E751" t="s">
        <v>365</v>
      </c>
      <c r="F751" s="3">
        <v>0</v>
      </c>
      <c r="G751" s="3">
        <v>4694.3</v>
      </c>
      <c r="H751" s="3">
        <v>-4694.3</v>
      </c>
      <c r="I751" t="s">
        <v>291</v>
      </c>
    </row>
    <row r="752" spans="1:9" x14ac:dyDescent="0.35">
      <c r="A752" s="2">
        <v>45351</v>
      </c>
      <c r="B752">
        <v>78</v>
      </c>
      <c r="C752">
        <v>1142004</v>
      </c>
      <c r="D752" t="s">
        <v>83</v>
      </c>
      <c r="E752" t="s">
        <v>84</v>
      </c>
      <c r="F752" s="3">
        <v>1017.34</v>
      </c>
      <c r="G752" s="3">
        <v>0</v>
      </c>
      <c r="H752" s="3">
        <v>1017.34</v>
      </c>
      <c r="I752" t="s">
        <v>85</v>
      </c>
    </row>
    <row r="753" spans="1:9" x14ac:dyDescent="0.35">
      <c r="A753" s="2">
        <v>45351</v>
      </c>
      <c r="B753">
        <v>78</v>
      </c>
      <c r="C753">
        <v>2124004</v>
      </c>
      <c r="D753" t="s">
        <v>29</v>
      </c>
      <c r="E753" t="s">
        <v>84</v>
      </c>
      <c r="F753" s="3">
        <v>0</v>
      </c>
      <c r="G753" s="3">
        <v>1017.34</v>
      </c>
      <c r="H753" s="3">
        <v>-1017.34</v>
      </c>
      <c r="I753" t="s">
        <v>85</v>
      </c>
    </row>
    <row r="754" spans="1:9" x14ac:dyDescent="0.35">
      <c r="A754" s="2">
        <v>45351</v>
      </c>
      <c r="B754">
        <v>78</v>
      </c>
      <c r="C754">
        <v>5131016</v>
      </c>
      <c r="D754" t="s">
        <v>238</v>
      </c>
      <c r="E754" t="s">
        <v>366</v>
      </c>
      <c r="F754" s="3">
        <v>3240</v>
      </c>
      <c r="G754" s="3">
        <v>0</v>
      </c>
      <c r="H754" s="3">
        <v>3240</v>
      </c>
      <c r="I754" t="s">
        <v>144</v>
      </c>
    </row>
    <row r="755" spans="1:9" x14ac:dyDescent="0.35">
      <c r="A755" s="2">
        <v>45351</v>
      </c>
      <c r="B755">
        <v>78</v>
      </c>
      <c r="C755">
        <v>2114001</v>
      </c>
      <c r="D755" t="s">
        <v>97</v>
      </c>
      <c r="E755" t="s">
        <v>366</v>
      </c>
      <c r="F755" s="3">
        <v>0</v>
      </c>
      <c r="G755" s="3">
        <v>3240</v>
      </c>
      <c r="H755" s="3">
        <v>-3240</v>
      </c>
      <c r="I755" t="s">
        <v>144</v>
      </c>
    </row>
    <row r="756" spans="1:9" x14ac:dyDescent="0.35">
      <c r="A756" s="2">
        <v>45351</v>
      </c>
      <c r="B756">
        <v>78</v>
      </c>
      <c r="C756">
        <v>6121023</v>
      </c>
      <c r="D756" t="s">
        <v>49</v>
      </c>
      <c r="E756" t="s">
        <v>367</v>
      </c>
      <c r="F756" s="3">
        <v>520</v>
      </c>
      <c r="G756" s="3">
        <v>0</v>
      </c>
      <c r="H756" s="3">
        <v>520</v>
      </c>
      <c r="I756" t="s">
        <v>144</v>
      </c>
    </row>
    <row r="757" spans="1:9" x14ac:dyDescent="0.35">
      <c r="A757" s="2">
        <v>45351</v>
      </c>
      <c r="B757">
        <v>78</v>
      </c>
      <c r="C757">
        <v>2114001</v>
      </c>
      <c r="D757" t="s">
        <v>97</v>
      </c>
      <c r="E757" t="s">
        <v>367</v>
      </c>
      <c r="F757" s="3">
        <v>0</v>
      </c>
      <c r="G757" s="3">
        <v>520</v>
      </c>
      <c r="H757" s="3">
        <v>-520</v>
      </c>
      <c r="I757" t="s">
        <v>144</v>
      </c>
    </row>
    <row r="758" spans="1:9" x14ac:dyDescent="0.35">
      <c r="A758" s="2">
        <v>45351</v>
      </c>
      <c r="B758">
        <v>78</v>
      </c>
      <c r="C758">
        <v>2114010</v>
      </c>
      <c r="D758" t="s">
        <v>48</v>
      </c>
      <c r="E758" t="s">
        <v>368</v>
      </c>
      <c r="F758" s="3">
        <v>6470.72</v>
      </c>
      <c r="G758" s="3">
        <v>0</v>
      </c>
      <c r="H758" s="3">
        <v>6470.72</v>
      </c>
      <c r="I758" t="s">
        <v>144</v>
      </c>
    </row>
    <row r="759" spans="1:9" x14ac:dyDescent="0.35">
      <c r="A759" s="2">
        <v>45351</v>
      </c>
      <c r="B759">
        <v>78</v>
      </c>
      <c r="C759">
        <v>2114001</v>
      </c>
      <c r="D759" t="s">
        <v>97</v>
      </c>
      <c r="E759" t="s">
        <v>368</v>
      </c>
      <c r="F759" s="3">
        <v>0</v>
      </c>
      <c r="G759" s="3">
        <v>6470.72</v>
      </c>
      <c r="H759" s="3">
        <v>-6470.72</v>
      </c>
      <c r="I759" t="s">
        <v>144</v>
      </c>
    </row>
    <row r="760" spans="1:9" x14ac:dyDescent="0.35">
      <c r="A760" s="2">
        <v>45351</v>
      </c>
      <c r="B760">
        <v>78</v>
      </c>
      <c r="C760">
        <v>1112003</v>
      </c>
      <c r="D760" t="s">
        <v>22</v>
      </c>
      <c r="E760" t="s">
        <v>1782</v>
      </c>
      <c r="F760" s="3">
        <v>400</v>
      </c>
      <c r="G760" s="3">
        <v>0</v>
      </c>
      <c r="H760" s="3">
        <v>400</v>
      </c>
      <c r="I760" t="s">
        <v>114</v>
      </c>
    </row>
    <row r="761" spans="1:9" x14ac:dyDescent="0.35">
      <c r="A761" s="2">
        <v>45351</v>
      </c>
      <c r="B761">
        <v>78</v>
      </c>
      <c r="C761">
        <v>2114001</v>
      </c>
      <c r="D761" t="s">
        <v>97</v>
      </c>
      <c r="E761" t="s">
        <v>1782</v>
      </c>
      <c r="F761" s="3">
        <v>0</v>
      </c>
      <c r="G761" s="3">
        <v>400</v>
      </c>
      <c r="H761" s="3">
        <v>-400</v>
      </c>
      <c r="I761" t="s">
        <v>114</v>
      </c>
    </row>
    <row r="762" spans="1:9" x14ac:dyDescent="0.35">
      <c r="A762" s="2">
        <v>45366</v>
      </c>
      <c r="B762">
        <v>79</v>
      </c>
      <c r="C762">
        <v>6121016</v>
      </c>
      <c r="D762" t="s">
        <v>156</v>
      </c>
      <c r="E762" t="s">
        <v>157</v>
      </c>
      <c r="F762" s="3">
        <v>397.88</v>
      </c>
      <c r="G762" s="3">
        <v>0</v>
      </c>
      <c r="H762" s="3">
        <v>397.88</v>
      </c>
      <c r="I762" t="s">
        <v>369</v>
      </c>
    </row>
    <row r="763" spans="1:9" x14ac:dyDescent="0.35">
      <c r="A763" s="2">
        <v>45366</v>
      </c>
      <c r="B763">
        <v>79</v>
      </c>
      <c r="C763">
        <v>2114010</v>
      </c>
      <c r="D763" t="s">
        <v>48</v>
      </c>
      <c r="E763" t="s">
        <v>157</v>
      </c>
      <c r="F763" s="3">
        <v>0</v>
      </c>
      <c r="G763" s="3">
        <v>397.88</v>
      </c>
      <c r="H763" s="3">
        <v>-397.88</v>
      </c>
      <c r="I763" t="s">
        <v>369</v>
      </c>
    </row>
    <row r="764" spans="1:9" x14ac:dyDescent="0.35">
      <c r="A764" s="2">
        <v>45366</v>
      </c>
      <c r="B764">
        <v>79</v>
      </c>
      <c r="C764">
        <v>6121023</v>
      </c>
      <c r="D764" t="s">
        <v>49</v>
      </c>
      <c r="E764" t="s">
        <v>52</v>
      </c>
      <c r="F764" s="3">
        <v>644.36</v>
      </c>
      <c r="G764" s="3">
        <v>0</v>
      </c>
      <c r="H764" s="3">
        <v>644.36</v>
      </c>
      <c r="I764" t="s">
        <v>370</v>
      </c>
    </row>
    <row r="765" spans="1:9" x14ac:dyDescent="0.35">
      <c r="A765" s="2">
        <v>45366</v>
      </c>
      <c r="B765">
        <v>79</v>
      </c>
      <c r="C765">
        <v>2114010</v>
      </c>
      <c r="D765" t="s">
        <v>48</v>
      </c>
      <c r="E765" t="s">
        <v>52</v>
      </c>
      <c r="F765" s="3">
        <v>0</v>
      </c>
      <c r="G765" s="3">
        <v>644.36</v>
      </c>
      <c r="H765" s="3">
        <v>-644.36</v>
      </c>
      <c r="I765" t="s">
        <v>370</v>
      </c>
    </row>
    <row r="766" spans="1:9" x14ac:dyDescent="0.35">
      <c r="A766" s="2">
        <v>45366</v>
      </c>
      <c r="B766">
        <v>79</v>
      </c>
      <c r="C766">
        <v>6121023</v>
      </c>
      <c r="D766" t="s">
        <v>49</v>
      </c>
      <c r="E766" t="s">
        <v>166</v>
      </c>
      <c r="F766" s="3">
        <v>235.76</v>
      </c>
      <c r="G766" s="3">
        <v>0</v>
      </c>
      <c r="H766" s="3">
        <v>235.76</v>
      </c>
      <c r="I766" t="s">
        <v>371</v>
      </c>
    </row>
    <row r="767" spans="1:9" x14ac:dyDescent="0.35">
      <c r="A767" s="2">
        <v>45366</v>
      </c>
      <c r="B767">
        <v>79</v>
      </c>
      <c r="C767">
        <v>2114010</v>
      </c>
      <c r="D767" t="s">
        <v>48</v>
      </c>
      <c r="E767" t="s">
        <v>166</v>
      </c>
      <c r="F767" s="3">
        <v>0</v>
      </c>
      <c r="G767" s="3">
        <v>235.76</v>
      </c>
      <c r="H767" s="3">
        <v>-235.76</v>
      </c>
      <c r="I767" t="s">
        <v>371</v>
      </c>
    </row>
    <row r="768" spans="1:9" x14ac:dyDescent="0.35">
      <c r="A768" s="2">
        <v>45366</v>
      </c>
      <c r="B768">
        <v>79</v>
      </c>
      <c r="C768">
        <v>6121023</v>
      </c>
      <c r="D768" t="s">
        <v>49</v>
      </c>
      <c r="E768" t="s">
        <v>372</v>
      </c>
      <c r="F768" s="3">
        <v>508.76</v>
      </c>
      <c r="G768" s="3">
        <v>0</v>
      </c>
      <c r="H768" s="3">
        <v>508.76</v>
      </c>
      <c r="I768" t="s">
        <v>373</v>
      </c>
    </row>
    <row r="769" spans="1:9" x14ac:dyDescent="0.35">
      <c r="A769" s="2">
        <v>45366</v>
      </c>
      <c r="B769">
        <v>79</v>
      </c>
      <c r="C769">
        <v>2114010</v>
      </c>
      <c r="D769" t="s">
        <v>48</v>
      </c>
      <c r="E769" t="s">
        <v>372</v>
      </c>
      <c r="F769" s="3">
        <v>0</v>
      </c>
      <c r="G769" s="3">
        <v>508.76</v>
      </c>
      <c r="H769" s="3">
        <v>-508.76</v>
      </c>
      <c r="I769" t="s">
        <v>373</v>
      </c>
    </row>
    <row r="770" spans="1:9" x14ac:dyDescent="0.35">
      <c r="A770" s="2">
        <v>45366</v>
      </c>
      <c r="B770">
        <v>79</v>
      </c>
      <c r="C770">
        <v>6121023</v>
      </c>
      <c r="D770" t="s">
        <v>49</v>
      </c>
      <c r="E770" t="s">
        <v>166</v>
      </c>
      <c r="F770" s="3">
        <v>267.83999999999997</v>
      </c>
      <c r="G770" s="3">
        <v>0</v>
      </c>
      <c r="H770" s="3">
        <v>267.83999999999997</v>
      </c>
      <c r="I770" t="s">
        <v>374</v>
      </c>
    </row>
    <row r="771" spans="1:9" x14ac:dyDescent="0.35">
      <c r="A771" s="2">
        <v>45366</v>
      </c>
      <c r="B771">
        <v>79</v>
      </c>
      <c r="C771">
        <v>2114010</v>
      </c>
      <c r="D771" t="s">
        <v>48</v>
      </c>
      <c r="E771" t="s">
        <v>166</v>
      </c>
      <c r="F771" s="3">
        <v>0</v>
      </c>
      <c r="G771" s="3">
        <v>267.83999999999997</v>
      </c>
      <c r="H771" s="3">
        <v>-267.83999999999997</v>
      </c>
      <c r="I771" t="s">
        <v>374</v>
      </c>
    </row>
    <row r="772" spans="1:9" x14ac:dyDescent="0.35">
      <c r="A772" s="2">
        <v>45366</v>
      </c>
      <c r="B772">
        <v>79</v>
      </c>
      <c r="C772">
        <v>6121023</v>
      </c>
      <c r="D772" t="s">
        <v>49</v>
      </c>
      <c r="E772" t="s">
        <v>161</v>
      </c>
      <c r="F772" s="3">
        <v>631.17999999999995</v>
      </c>
      <c r="G772" s="3">
        <v>0</v>
      </c>
      <c r="H772" s="3">
        <v>631.17999999999995</v>
      </c>
      <c r="I772" t="s">
        <v>375</v>
      </c>
    </row>
    <row r="773" spans="1:9" x14ac:dyDescent="0.35">
      <c r="A773" s="2">
        <v>45366</v>
      </c>
      <c r="B773">
        <v>79</v>
      </c>
      <c r="C773">
        <v>2114010</v>
      </c>
      <c r="D773" t="s">
        <v>48</v>
      </c>
      <c r="E773" t="s">
        <v>161</v>
      </c>
      <c r="F773" s="3">
        <v>0</v>
      </c>
      <c r="G773" s="3">
        <v>631.17999999999995</v>
      </c>
      <c r="H773" s="3">
        <v>-631.17999999999995</v>
      </c>
      <c r="I773" t="s">
        <v>375</v>
      </c>
    </row>
    <row r="774" spans="1:9" x14ac:dyDescent="0.35">
      <c r="A774" s="2">
        <v>45366</v>
      </c>
      <c r="B774">
        <v>79</v>
      </c>
      <c r="C774">
        <v>6121023</v>
      </c>
      <c r="D774" t="s">
        <v>49</v>
      </c>
      <c r="E774" t="s">
        <v>52</v>
      </c>
      <c r="F774" s="3">
        <v>350.24</v>
      </c>
      <c r="G774" s="3">
        <v>0</v>
      </c>
      <c r="H774" s="3">
        <v>350.24</v>
      </c>
      <c r="I774" t="s">
        <v>376</v>
      </c>
    </row>
    <row r="775" spans="1:9" x14ac:dyDescent="0.35">
      <c r="A775" s="2">
        <v>45366</v>
      </c>
      <c r="B775">
        <v>79</v>
      </c>
      <c r="C775">
        <v>2114010</v>
      </c>
      <c r="D775" t="s">
        <v>48</v>
      </c>
      <c r="E775" t="s">
        <v>52</v>
      </c>
      <c r="F775" s="3">
        <v>0</v>
      </c>
      <c r="G775" s="3">
        <v>350.24</v>
      </c>
      <c r="H775" s="3">
        <v>-350.24</v>
      </c>
      <c r="I775" t="s">
        <v>376</v>
      </c>
    </row>
    <row r="776" spans="1:9" x14ac:dyDescent="0.35">
      <c r="A776" s="2">
        <v>45366</v>
      </c>
      <c r="B776">
        <v>79</v>
      </c>
      <c r="C776">
        <v>6121023</v>
      </c>
      <c r="D776" t="s">
        <v>49</v>
      </c>
      <c r="E776" t="s">
        <v>172</v>
      </c>
      <c r="F776" s="3">
        <v>80.14</v>
      </c>
      <c r="G776" s="3">
        <v>0</v>
      </c>
      <c r="H776" s="3">
        <v>80.14</v>
      </c>
      <c r="I776" t="s">
        <v>377</v>
      </c>
    </row>
    <row r="777" spans="1:9" x14ac:dyDescent="0.35">
      <c r="A777" s="2">
        <v>45366</v>
      </c>
      <c r="B777">
        <v>79</v>
      </c>
      <c r="C777">
        <v>2114010</v>
      </c>
      <c r="D777" t="s">
        <v>48</v>
      </c>
      <c r="E777" t="s">
        <v>172</v>
      </c>
      <c r="F777" s="3">
        <v>0</v>
      </c>
      <c r="G777" s="3">
        <v>80.14</v>
      </c>
      <c r="H777" s="3">
        <v>-80.14</v>
      </c>
      <c r="I777" t="s">
        <v>377</v>
      </c>
    </row>
    <row r="778" spans="1:9" x14ac:dyDescent="0.35">
      <c r="A778" s="2">
        <v>45366</v>
      </c>
      <c r="B778">
        <v>79</v>
      </c>
      <c r="C778">
        <v>6121023</v>
      </c>
      <c r="D778" t="s">
        <v>49</v>
      </c>
      <c r="E778" t="s">
        <v>166</v>
      </c>
      <c r="F778" s="3">
        <v>457.25</v>
      </c>
      <c r="G778" s="3">
        <v>0</v>
      </c>
      <c r="H778" s="3">
        <v>457.25</v>
      </c>
      <c r="I778" t="s">
        <v>378</v>
      </c>
    </row>
    <row r="779" spans="1:9" x14ac:dyDescent="0.35">
      <c r="A779" s="2">
        <v>45366</v>
      </c>
      <c r="B779">
        <v>79</v>
      </c>
      <c r="C779">
        <v>2114010</v>
      </c>
      <c r="D779" t="s">
        <v>48</v>
      </c>
      <c r="E779" t="s">
        <v>166</v>
      </c>
      <c r="F779" s="3">
        <v>0</v>
      </c>
      <c r="G779" s="3">
        <v>457.25</v>
      </c>
      <c r="H779" s="3">
        <v>-457.25</v>
      </c>
      <c r="I779" t="s">
        <v>378</v>
      </c>
    </row>
    <row r="780" spans="1:9" x14ac:dyDescent="0.35">
      <c r="A780" s="2">
        <v>45366</v>
      </c>
      <c r="B780">
        <v>79</v>
      </c>
      <c r="C780">
        <v>6121018</v>
      </c>
      <c r="D780" t="s">
        <v>150</v>
      </c>
      <c r="E780" t="s">
        <v>151</v>
      </c>
      <c r="F780" s="3">
        <v>6528.73</v>
      </c>
      <c r="G780" s="3">
        <v>0</v>
      </c>
      <c r="H780" s="3">
        <v>6528.73</v>
      </c>
      <c r="I780" t="s">
        <v>379</v>
      </c>
    </row>
    <row r="781" spans="1:9" x14ac:dyDescent="0.35">
      <c r="A781" s="2">
        <v>45366</v>
      </c>
      <c r="B781">
        <v>79</v>
      </c>
      <c r="C781">
        <v>1141001</v>
      </c>
      <c r="D781" t="s">
        <v>153</v>
      </c>
      <c r="E781" t="s">
        <v>151</v>
      </c>
      <c r="F781" s="3">
        <v>1044.5999999999999</v>
      </c>
      <c r="G781" s="3">
        <v>0</v>
      </c>
      <c r="H781" s="3">
        <v>1044.5999999999999</v>
      </c>
      <c r="I781" t="s">
        <v>379</v>
      </c>
    </row>
    <row r="782" spans="1:9" x14ac:dyDescent="0.35">
      <c r="A782" s="2">
        <v>45366</v>
      </c>
      <c r="B782">
        <v>79</v>
      </c>
      <c r="C782">
        <v>2124009</v>
      </c>
      <c r="D782" t="s">
        <v>154</v>
      </c>
      <c r="E782" t="s">
        <v>151</v>
      </c>
      <c r="F782" s="3">
        <v>0</v>
      </c>
      <c r="G782" s="3">
        <v>783.45</v>
      </c>
      <c r="H782" s="3">
        <v>-783.45</v>
      </c>
      <c r="I782" t="s">
        <v>1438</v>
      </c>
    </row>
    <row r="783" spans="1:9" x14ac:dyDescent="0.35">
      <c r="A783" s="2">
        <v>45366</v>
      </c>
      <c r="B783">
        <v>79</v>
      </c>
      <c r="C783">
        <v>2122003</v>
      </c>
      <c r="D783" t="s">
        <v>308</v>
      </c>
      <c r="E783" t="s">
        <v>151</v>
      </c>
      <c r="F783" s="3">
        <v>0</v>
      </c>
      <c r="G783" s="3">
        <v>130.57</v>
      </c>
      <c r="H783" s="3">
        <v>-130.57</v>
      </c>
      <c r="I783" t="s">
        <v>379</v>
      </c>
    </row>
    <row r="784" spans="1:9" x14ac:dyDescent="0.35">
      <c r="A784" s="2">
        <v>45366</v>
      </c>
      <c r="B784">
        <v>79</v>
      </c>
      <c r="C784">
        <v>2114010</v>
      </c>
      <c r="D784" t="s">
        <v>48</v>
      </c>
      <c r="E784" t="s">
        <v>151</v>
      </c>
      <c r="F784" s="3">
        <v>0</v>
      </c>
      <c r="G784" s="3">
        <v>6659.31</v>
      </c>
      <c r="H784" s="3">
        <v>-6659.31</v>
      </c>
      <c r="I784" t="s">
        <v>379</v>
      </c>
    </row>
    <row r="785" spans="1:9" x14ac:dyDescent="0.35">
      <c r="A785" s="2">
        <v>45366</v>
      </c>
      <c r="B785">
        <v>79</v>
      </c>
      <c r="C785">
        <v>4112003</v>
      </c>
      <c r="D785" t="s">
        <v>58</v>
      </c>
      <c r="E785" t="s">
        <v>59</v>
      </c>
      <c r="F785" s="3">
        <v>0</v>
      </c>
      <c r="G785" s="3">
        <v>4811.12</v>
      </c>
      <c r="H785" s="3">
        <v>-4811.12</v>
      </c>
      <c r="I785" t="s">
        <v>380</v>
      </c>
    </row>
    <row r="786" spans="1:9" x14ac:dyDescent="0.35">
      <c r="A786" s="2">
        <v>45366</v>
      </c>
      <c r="B786">
        <v>79</v>
      </c>
      <c r="C786">
        <v>2121001</v>
      </c>
      <c r="D786" t="s">
        <v>27</v>
      </c>
      <c r="E786" t="s">
        <v>59</v>
      </c>
      <c r="F786" s="3">
        <v>0</v>
      </c>
      <c r="G786" s="3">
        <v>769.78</v>
      </c>
      <c r="H786" s="3">
        <v>-769.78</v>
      </c>
      <c r="I786" t="s">
        <v>380</v>
      </c>
    </row>
    <row r="787" spans="1:9" x14ac:dyDescent="0.35">
      <c r="A787" s="2">
        <v>45366</v>
      </c>
      <c r="B787">
        <v>79</v>
      </c>
      <c r="C787">
        <v>1111001</v>
      </c>
      <c r="D787" t="s">
        <v>16</v>
      </c>
      <c r="E787" t="s">
        <v>59</v>
      </c>
      <c r="F787" s="3">
        <v>5580.9</v>
      </c>
      <c r="G787" s="3">
        <v>0</v>
      </c>
      <c r="H787" s="3">
        <v>5580.9</v>
      </c>
      <c r="I787" t="s">
        <v>380</v>
      </c>
    </row>
    <row r="788" spans="1:9" x14ac:dyDescent="0.35">
      <c r="A788" s="2">
        <v>45366</v>
      </c>
      <c r="B788">
        <v>79</v>
      </c>
      <c r="C788">
        <v>4112003</v>
      </c>
      <c r="D788" t="s">
        <v>58</v>
      </c>
      <c r="E788" t="s">
        <v>59</v>
      </c>
      <c r="F788" s="3">
        <v>0</v>
      </c>
      <c r="G788" s="3">
        <v>4345.37</v>
      </c>
      <c r="H788" s="3">
        <v>-4345.37</v>
      </c>
      <c r="I788" t="s">
        <v>381</v>
      </c>
    </row>
    <row r="789" spans="1:9" x14ac:dyDescent="0.35">
      <c r="A789" s="2">
        <v>45366</v>
      </c>
      <c r="B789">
        <v>79</v>
      </c>
      <c r="C789">
        <v>2121001</v>
      </c>
      <c r="D789" t="s">
        <v>27</v>
      </c>
      <c r="E789" t="s">
        <v>59</v>
      </c>
      <c r="F789" s="3">
        <v>0</v>
      </c>
      <c r="G789" s="3">
        <v>695.26</v>
      </c>
      <c r="H789" s="3">
        <v>-695.26</v>
      </c>
      <c r="I789" t="s">
        <v>381</v>
      </c>
    </row>
    <row r="790" spans="1:9" x14ac:dyDescent="0.35">
      <c r="A790" s="2">
        <v>45366</v>
      </c>
      <c r="B790">
        <v>79</v>
      </c>
      <c r="C790">
        <v>1111001</v>
      </c>
      <c r="D790" t="s">
        <v>16</v>
      </c>
      <c r="E790" t="s">
        <v>59</v>
      </c>
      <c r="F790" s="3">
        <v>5040.63</v>
      </c>
      <c r="G790" s="3">
        <v>0</v>
      </c>
      <c r="H790" s="3">
        <v>5040.63</v>
      </c>
      <c r="I790" t="s">
        <v>381</v>
      </c>
    </row>
    <row r="791" spans="1:9" x14ac:dyDescent="0.35">
      <c r="A791" s="2">
        <v>45366</v>
      </c>
      <c r="B791">
        <v>79</v>
      </c>
      <c r="C791">
        <v>4112003</v>
      </c>
      <c r="D791" t="s">
        <v>58</v>
      </c>
      <c r="E791" t="s">
        <v>59</v>
      </c>
      <c r="F791" s="3">
        <v>0</v>
      </c>
      <c r="G791" s="3">
        <v>2327.83</v>
      </c>
      <c r="H791" s="3">
        <v>-2327.83</v>
      </c>
      <c r="I791" t="s">
        <v>382</v>
      </c>
    </row>
    <row r="792" spans="1:9" x14ac:dyDescent="0.35">
      <c r="A792" s="2">
        <v>45366</v>
      </c>
      <c r="B792">
        <v>79</v>
      </c>
      <c r="C792">
        <v>2121001</v>
      </c>
      <c r="D792" t="s">
        <v>27</v>
      </c>
      <c r="E792" t="s">
        <v>59</v>
      </c>
      <c r="F792" s="3">
        <v>0</v>
      </c>
      <c r="G792" s="3">
        <v>372.45</v>
      </c>
      <c r="H792" s="3">
        <v>-372.45</v>
      </c>
      <c r="I792" t="s">
        <v>382</v>
      </c>
    </row>
    <row r="793" spans="1:9" x14ac:dyDescent="0.35">
      <c r="A793" s="2">
        <v>45366</v>
      </c>
      <c r="B793">
        <v>79</v>
      </c>
      <c r="C793">
        <v>1111001</v>
      </c>
      <c r="D793" t="s">
        <v>16</v>
      </c>
      <c r="E793" t="s">
        <v>59</v>
      </c>
      <c r="F793" s="3">
        <v>2700.28</v>
      </c>
      <c r="G793" s="3">
        <v>0</v>
      </c>
      <c r="H793" s="3">
        <v>2700.28</v>
      </c>
      <c r="I793" t="s">
        <v>382</v>
      </c>
    </row>
    <row r="794" spans="1:9" x14ac:dyDescent="0.35">
      <c r="A794" s="2">
        <v>45366</v>
      </c>
      <c r="B794">
        <v>79</v>
      </c>
      <c r="C794">
        <v>4112003</v>
      </c>
      <c r="D794" t="s">
        <v>58</v>
      </c>
      <c r="E794" t="s">
        <v>59</v>
      </c>
      <c r="F794" s="3">
        <v>0</v>
      </c>
      <c r="G794" s="3">
        <v>4095.6</v>
      </c>
      <c r="H794" s="3">
        <v>-4095.6</v>
      </c>
      <c r="I794" t="s">
        <v>383</v>
      </c>
    </row>
    <row r="795" spans="1:9" x14ac:dyDescent="0.35">
      <c r="A795" s="2">
        <v>45366</v>
      </c>
      <c r="B795">
        <v>79</v>
      </c>
      <c r="C795">
        <v>2121001</v>
      </c>
      <c r="D795" t="s">
        <v>27</v>
      </c>
      <c r="E795" t="s">
        <v>59</v>
      </c>
      <c r="F795" s="3">
        <v>0</v>
      </c>
      <c r="G795" s="3">
        <v>655.29999999999995</v>
      </c>
      <c r="H795" s="3">
        <v>-655.29999999999995</v>
      </c>
      <c r="I795" t="s">
        <v>383</v>
      </c>
    </row>
    <row r="796" spans="1:9" x14ac:dyDescent="0.35">
      <c r="A796" s="2">
        <v>45366</v>
      </c>
      <c r="B796">
        <v>79</v>
      </c>
      <c r="C796">
        <v>1111001</v>
      </c>
      <c r="D796" t="s">
        <v>16</v>
      </c>
      <c r="E796" t="s">
        <v>59</v>
      </c>
      <c r="F796" s="3">
        <v>4750.8999999999996</v>
      </c>
      <c r="G796" s="3">
        <v>0</v>
      </c>
      <c r="H796" s="3">
        <v>4750.8999999999996</v>
      </c>
      <c r="I796" t="s">
        <v>383</v>
      </c>
    </row>
    <row r="797" spans="1:9" x14ac:dyDescent="0.35">
      <c r="A797" s="2">
        <v>45366</v>
      </c>
      <c r="B797">
        <v>79</v>
      </c>
      <c r="C797">
        <v>4112003</v>
      </c>
      <c r="D797" t="s">
        <v>58</v>
      </c>
      <c r="E797" t="s">
        <v>59</v>
      </c>
      <c r="F797" s="3">
        <v>0</v>
      </c>
      <c r="G797" s="3">
        <v>5000.87</v>
      </c>
      <c r="H797" s="3">
        <v>-5000.87</v>
      </c>
      <c r="I797" t="s">
        <v>384</v>
      </c>
    </row>
    <row r="798" spans="1:9" x14ac:dyDescent="0.35">
      <c r="A798" s="2">
        <v>45366</v>
      </c>
      <c r="B798">
        <v>79</v>
      </c>
      <c r="C798">
        <v>2121001</v>
      </c>
      <c r="D798" t="s">
        <v>27</v>
      </c>
      <c r="E798" t="s">
        <v>59</v>
      </c>
      <c r="F798" s="3">
        <v>0</v>
      </c>
      <c r="G798" s="3">
        <v>800.14</v>
      </c>
      <c r="H798" s="3">
        <v>-800.14</v>
      </c>
      <c r="I798" t="s">
        <v>384</v>
      </c>
    </row>
    <row r="799" spans="1:9" x14ac:dyDescent="0.35">
      <c r="A799" s="2">
        <v>45366</v>
      </c>
      <c r="B799">
        <v>79</v>
      </c>
      <c r="C799">
        <v>1111001</v>
      </c>
      <c r="D799" t="s">
        <v>16</v>
      </c>
      <c r="E799" t="s">
        <v>59</v>
      </c>
      <c r="F799" s="3">
        <v>5801.01</v>
      </c>
      <c r="G799" s="3">
        <v>0</v>
      </c>
      <c r="H799" s="3">
        <v>5801.01</v>
      </c>
      <c r="I799" t="s">
        <v>384</v>
      </c>
    </row>
    <row r="800" spans="1:9" x14ac:dyDescent="0.35">
      <c r="A800" s="2">
        <v>45366</v>
      </c>
      <c r="B800">
        <v>79</v>
      </c>
      <c r="C800">
        <v>4112003</v>
      </c>
      <c r="D800" t="s">
        <v>58</v>
      </c>
      <c r="E800" t="s">
        <v>59</v>
      </c>
      <c r="F800" s="3">
        <v>0</v>
      </c>
      <c r="G800" s="3">
        <v>6289.66</v>
      </c>
      <c r="H800" s="3">
        <v>-6289.66</v>
      </c>
      <c r="I800" t="s">
        <v>385</v>
      </c>
    </row>
    <row r="801" spans="1:9" x14ac:dyDescent="0.35">
      <c r="A801" s="2">
        <v>45366</v>
      </c>
      <c r="B801">
        <v>79</v>
      </c>
      <c r="C801">
        <v>2121001</v>
      </c>
      <c r="D801" t="s">
        <v>27</v>
      </c>
      <c r="E801" t="s">
        <v>59</v>
      </c>
      <c r="F801" s="3">
        <v>0</v>
      </c>
      <c r="G801" s="3">
        <v>1006.35</v>
      </c>
      <c r="H801" s="3">
        <v>-1006.35</v>
      </c>
      <c r="I801" t="s">
        <v>385</v>
      </c>
    </row>
    <row r="802" spans="1:9" x14ac:dyDescent="0.35">
      <c r="A802" s="2">
        <v>45366</v>
      </c>
      <c r="B802">
        <v>79</v>
      </c>
      <c r="C802">
        <v>1111001</v>
      </c>
      <c r="D802" t="s">
        <v>16</v>
      </c>
      <c r="E802" t="s">
        <v>59</v>
      </c>
      <c r="F802" s="3">
        <v>7296.01</v>
      </c>
      <c r="G802" s="3">
        <v>0</v>
      </c>
      <c r="H802" s="3">
        <v>7296.01</v>
      </c>
      <c r="I802" t="s">
        <v>385</v>
      </c>
    </row>
    <row r="803" spans="1:9" x14ac:dyDescent="0.35">
      <c r="A803" s="2">
        <v>45366</v>
      </c>
      <c r="B803">
        <v>79</v>
      </c>
      <c r="C803">
        <v>4112003</v>
      </c>
      <c r="D803" t="s">
        <v>58</v>
      </c>
      <c r="E803" t="s">
        <v>59</v>
      </c>
      <c r="F803" s="3">
        <v>0</v>
      </c>
      <c r="G803" s="3">
        <v>6793.94</v>
      </c>
      <c r="H803" s="3">
        <v>-6793.94</v>
      </c>
      <c r="I803" t="s">
        <v>386</v>
      </c>
    </row>
    <row r="804" spans="1:9" x14ac:dyDescent="0.35">
      <c r="A804" s="2">
        <v>45366</v>
      </c>
      <c r="B804">
        <v>79</v>
      </c>
      <c r="C804">
        <v>2121001</v>
      </c>
      <c r="D804" t="s">
        <v>27</v>
      </c>
      <c r="E804" t="s">
        <v>59</v>
      </c>
      <c r="F804" s="3">
        <v>0</v>
      </c>
      <c r="G804" s="3">
        <v>1087.03</v>
      </c>
      <c r="H804" s="3">
        <v>-1087.03</v>
      </c>
      <c r="I804" t="s">
        <v>386</v>
      </c>
    </row>
    <row r="805" spans="1:9" x14ac:dyDescent="0.35">
      <c r="A805" s="2">
        <v>45366</v>
      </c>
      <c r="B805">
        <v>79</v>
      </c>
      <c r="C805">
        <v>1111001</v>
      </c>
      <c r="D805" t="s">
        <v>16</v>
      </c>
      <c r="E805" t="s">
        <v>59</v>
      </c>
      <c r="F805" s="3">
        <v>7880.97</v>
      </c>
      <c r="G805" s="3">
        <v>0</v>
      </c>
      <c r="H805" s="3">
        <v>7880.97</v>
      </c>
      <c r="I805" t="s">
        <v>386</v>
      </c>
    </row>
    <row r="806" spans="1:9" x14ac:dyDescent="0.35">
      <c r="A806" s="2">
        <v>45366</v>
      </c>
      <c r="B806">
        <v>79</v>
      </c>
      <c r="C806">
        <v>4112003</v>
      </c>
      <c r="D806" t="s">
        <v>58</v>
      </c>
      <c r="E806" t="s">
        <v>59</v>
      </c>
      <c r="F806" s="3">
        <v>0</v>
      </c>
      <c r="G806" s="3">
        <v>6466.39</v>
      </c>
      <c r="H806" s="3">
        <v>-6466.39</v>
      </c>
      <c r="I806" t="s">
        <v>387</v>
      </c>
    </row>
    <row r="807" spans="1:9" x14ac:dyDescent="0.35">
      <c r="A807" s="2">
        <v>45366</v>
      </c>
      <c r="B807">
        <v>79</v>
      </c>
      <c r="C807">
        <v>2121001</v>
      </c>
      <c r="D807" t="s">
        <v>27</v>
      </c>
      <c r="E807" t="s">
        <v>59</v>
      </c>
      <c r="F807" s="3">
        <v>0</v>
      </c>
      <c r="G807" s="3">
        <v>1034.6199999999999</v>
      </c>
      <c r="H807" s="3">
        <v>-1034.6199999999999</v>
      </c>
      <c r="I807" t="s">
        <v>387</v>
      </c>
    </row>
    <row r="808" spans="1:9" x14ac:dyDescent="0.35">
      <c r="A808" s="2">
        <v>45366</v>
      </c>
      <c r="B808">
        <v>79</v>
      </c>
      <c r="C808">
        <v>1111001</v>
      </c>
      <c r="D808" t="s">
        <v>16</v>
      </c>
      <c r="E808" t="s">
        <v>59</v>
      </c>
      <c r="F808" s="3">
        <v>7501.01</v>
      </c>
      <c r="G808" s="3">
        <v>0</v>
      </c>
      <c r="H808" s="3">
        <v>7501.01</v>
      </c>
      <c r="I808" t="s">
        <v>387</v>
      </c>
    </row>
    <row r="809" spans="1:9" x14ac:dyDescent="0.35">
      <c r="A809" s="2">
        <v>45366</v>
      </c>
      <c r="B809">
        <v>79</v>
      </c>
      <c r="C809">
        <v>4112003</v>
      </c>
      <c r="D809" t="s">
        <v>58</v>
      </c>
      <c r="E809" t="s">
        <v>59</v>
      </c>
      <c r="F809" s="3">
        <v>0</v>
      </c>
      <c r="G809" s="3">
        <v>3620.98</v>
      </c>
      <c r="H809" s="3">
        <v>-3620.98</v>
      </c>
      <c r="I809" t="s">
        <v>388</v>
      </c>
    </row>
    <row r="810" spans="1:9" x14ac:dyDescent="0.35">
      <c r="A810" s="2">
        <v>45366</v>
      </c>
      <c r="B810">
        <v>79</v>
      </c>
      <c r="C810">
        <v>2121001</v>
      </c>
      <c r="D810" t="s">
        <v>27</v>
      </c>
      <c r="E810" t="s">
        <v>59</v>
      </c>
      <c r="F810" s="3">
        <v>0</v>
      </c>
      <c r="G810" s="3">
        <v>579.36</v>
      </c>
      <c r="H810" s="3">
        <v>-579.36</v>
      </c>
      <c r="I810" t="s">
        <v>388</v>
      </c>
    </row>
    <row r="811" spans="1:9" x14ac:dyDescent="0.35">
      <c r="A811" s="2">
        <v>45366</v>
      </c>
      <c r="B811">
        <v>79</v>
      </c>
      <c r="C811">
        <v>1111001</v>
      </c>
      <c r="D811" t="s">
        <v>16</v>
      </c>
      <c r="E811" t="s">
        <v>59</v>
      </c>
      <c r="F811" s="3">
        <v>4200.34</v>
      </c>
      <c r="G811" s="3">
        <v>0</v>
      </c>
      <c r="H811" s="3">
        <v>4200.34</v>
      </c>
      <c r="I811" t="s">
        <v>388</v>
      </c>
    </row>
    <row r="812" spans="1:9" x14ac:dyDescent="0.35">
      <c r="A812" s="2">
        <v>45366</v>
      </c>
      <c r="B812">
        <v>79</v>
      </c>
      <c r="C812">
        <v>4112003</v>
      </c>
      <c r="D812" t="s">
        <v>58</v>
      </c>
      <c r="E812" t="s">
        <v>59</v>
      </c>
      <c r="F812" s="3">
        <v>0</v>
      </c>
      <c r="G812" s="3">
        <v>2931.19</v>
      </c>
      <c r="H812" s="3">
        <v>-2931.19</v>
      </c>
      <c r="I812" t="s">
        <v>389</v>
      </c>
    </row>
    <row r="813" spans="1:9" x14ac:dyDescent="0.35">
      <c r="A813" s="2">
        <v>45366</v>
      </c>
      <c r="B813">
        <v>79</v>
      </c>
      <c r="C813">
        <v>2121001</v>
      </c>
      <c r="D813" t="s">
        <v>27</v>
      </c>
      <c r="E813" t="s">
        <v>59</v>
      </c>
      <c r="F813" s="3">
        <v>0</v>
      </c>
      <c r="G813" s="3">
        <v>468.99</v>
      </c>
      <c r="H813" s="3">
        <v>-468.99</v>
      </c>
      <c r="I813" t="s">
        <v>389</v>
      </c>
    </row>
    <row r="814" spans="1:9" x14ac:dyDescent="0.35">
      <c r="A814" s="2">
        <v>45366</v>
      </c>
      <c r="B814">
        <v>79</v>
      </c>
      <c r="C814">
        <v>1111001</v>
      </c>
      <c r="D814" t="s">
        <v>16</v>
      </c>
      <c r="E814" t="s">
        <v>59</v>
      </c>
      <c r="F814" s="3">
        <v>3400.18</v>
      </c>
      <c r="G814" s="3">
        <v>0</v>
      </c>
      <c r="H814" s="3">
        <v>3400.18</v>
      </c>
      <c r="I814" t="s">
        <v>389</v>
      </c>
    </row>
    <row r="815" spans="1:9" x14ac:dyDescent="0.35">
      <c r="A815" s="2">
        <v>45366</v>
      </c>
      <c r="B815">
        <v>79</v>
      </c>
      <c r="C815">
        <v>4112003</v>
      </c>
      <c r="D815" t="s">
        <v>58</v>
      </c>
      <c r="E815" t="s">
        <v>59</v>
      </c>
      <c r="F815" s="3">
        <v>0</v>
      </c>
      <c r="G815" s="3">
        <v>6100</v>
      </c>
      <c r="H815" s="3">
        <v>-6100</v>
      </c>
      <c r="I815" t="s">
        <v>390</v>
      </c>
    </row>
    <row r="816" spans="1:9" x14ac:dyDescent="0.35">
      <c r="A816" s="2">
        <v>45366</v>
      </c>
      <c r="B816">
        <v>79</v>
      </c>
      <c r="C816">
        <v>2121001</v>
      </c>
      <c r="D816" t="s">
        <v>27</v>
      </c>
      <c r="E816" t="s">
        <v>59</v>
      </c>
      <c r="F816" s="3">
        <v>0</v>
      </c>
      <c r="G816" s="3">
        <v>976</v>
      </c>
      <c r="H816" s="3">
        <v>-976</v>
      </c>
      <c r="I816" t="s">
        <v>390</v>
      </c>
    </row>
    <row r="817" spans="1:9" x14ac:dyDescent="0.35">
      <c r="A817" s="2">
        <v>45366</v>
      </c>
      <c r="B817">
        <v>79</v>
      </c>
      <c r="C817">
        <v>1111001</v>
      </c>
      <c r="D817" t="s">
        <v>16</v>
      </c>
      <c r="E817" t="s">
        <v>59</v>
      </c>
      <c r="F817" s="3">
        <v>7076</v>
      </c>
      <c r="G817" s="3">
        <v>0</v>
      </c>
      <c r="H817" s="3">
        <v>7076</v>
      </c>
      <c r="I817" t="s">
        <v>390</v>
      </c>
    </row>
    <row r="818" spans="1:9" x14ac:dyDescent="0.35">
      <c r="A818" s="2">
        <v>45366</v>
      </c>
      <c r="B818">
        <v>79</v>
      </c>
      <c r="C818">
        <v>4112003</v>
      </c>
      <c r="D818" t="s">
        <v>58</v>
      </c>
      <c r="E818" t="s">
        <v>59</v>
      </c>
      <c r="F818" s="3">
        <v>0</v>
      </c>
      <c r="G818" s="3">
        <v>6380.14</v>
      </c>
      <c r="H818" s="3">
        <v>-6380.14</v>
      </c>
      <c r="I818" t="s">
        <v>391</v>
      </c>
    </row>
    <row r="819" spans="1:9" x14ac:dyDescent="0.35">
      <c r="A819" s="2">
        <v>45366</v>
      </c>
      <c r="B819">
        <v>79</v>
      </c>
      <c r="C819">
        <v>2121001</v>
      </c>
      <c r="D819" t="s">
        <v>27</v>
      </c>
      <c r="E819" t="s">
        <v>59</v>
      </c>
      <c r="F819" s="3">
        <v>0</v>
      </c>
      <c r="G819" s="3">
        <v>1020.82</v>
      </c>
      <c r="H819" s="3">
        <v>-1020.82</v>
      </c>
      <c r="I819" t="s">
        <v>391</v>
      </c>
    </row>
    <row r="820" spans="1:9" x14ac:dyDescent="0.35">
      <c r="A820" s="2">
        <v>45366</v>
      </c>
      <c r="B820">
        <v>79</v>
      </c>
      <c r="C820">
        <v>1111001</v>
      </c>
      <c r="D820" t="s">
        <v>16</v>
      </c>
      <c r="E820" t="s">
        <v>59</v>
      </c>
      <c r="F820" s="3">
        <v>7400.96</v>
      </c>
      <c r="G820" s="3">
        <v>0</v>
      </c>
      <c r="H820" s="3">
        <v>7400.96</v>
      </c>
      <c r="I820" t="s">
        <v>391</v>
      </c>
    </row>
    <row r="821" spans="1:9" x14ac:dyDescent="0.35">
      <c r="A821" s="2">
        <v>45366</v>
      </c>
      <c r="B821">
        <v>79</v>
      </c>
      <c r="C821">
        <v>4112003</v>
      </c>
      <c r="D821" t="s">
        <v>58</v>
      </c>
      <c r="E821" t="s">
        <v>59</v>
      </c>
      <c r="F821" s="3">
        <v>0</v>
      </c>
      <c r="G821" s="3">
        <v>7500.97</v>
      </c>
      <c r="H821" s="3">
        <v>-7500.97</v>
      </c>
      <c r="I821" t="s">
        <v>392</v>
      </c>
    </row>
    <row r="822" spans="1:9" x14ac:dyDescent="0.35">
      <c r="A822" s="2">
        <v>45366</v>
      </c>
      <c r="B822">
        <v>79</v>
      </c>
      <c r="C822">
        <v>2121001</v>
      </c>
      <c r="D822" t="s">
        <v>27</v>
      </c>
      <c r="E822" t="s">
        <v>59</v>
      </c>
      <c r="F822" s="3">
        <v>0</v>
      </c>
      <c r="G822" s="3">
        <v>1200.1600000000001</v>
      </c>
      <c r="H822" s="3">
        <v>-1200.1600000000001</v>
      </c>
      <c r="I822" t="s">
        <v>392</v>
      </c>
    </row>
    <row r="823" spans="1:9" x14ac:dyDescent="0.35">
      <c r="A823" s="2">
        <v>45366</v>
      </c>
      <c r="B823">
        <v>79</v>
      </c>
      <c r="C823">
        <v>1111001</v>
      </c>
      <c r="D823" t="s">
        <v>16</v>
      </c>
      <c r="E823" t="s">
        <v>59</v>
      </c>
      <c r="F823" s="3">
        <v>8701.1299999999992</v>
      </c>
      <c r="G823" s="3">
        <v>0</v>
      </c>
      <c r="H823" s="3">
        <v>8701.1299999999992</v>
      </c>
      <c r="I823" t="s">
        <v>392</v>
      </c>
    </row>
    <row r="824" spans="1:9" x14ac:dyDescent="0.35">
      <c r="A824" s="2">
        <v>45366</v>
      </c>
      <c r="B824">
        <v>79</v>
      </c>
      <c r="C824">
        <v>4112003</v>
      </c>
      <c r="D824" t="s">
        <v>58</v>
      </c>
      <c r="E824" t="s">
        <v>59</v>
      </c>
      <c r="F824" s="3">
        <v>0</v>
      </c>
      <c r="G824" s="3">
        <v>6380.11</v>
      </c>
      <c r="H824" s="3">
        <v>-6380.11</v>
      </c>
      <c r="I824" t="s">
        <v>393</v>
      </c>
    </row>
    <row r="825" spans="1:9" x14ac:dyDescent="0.35">
      <c r="A825" s="2">
        <v>45366</v>
      </c>
      <c r="B825">
        <v>79</v>
      </c>
      <c r="C825">
        <v>2121001</v>
      </c>
      <c r="D825" t="s">
        <v>27</v>
      </c>
      <c r="E825" t="s">
        <v>59</v>
      </c>
      <c r="F825" s="3">
        <v>0</v>
      </c>
      <c r="G825" s="3">
        <v>1020.82</v>
      </c>
      <c r="H825" s="3">
        <v>-1020.82</v>
      </c>
      <c r="I825" t="s">
        <v>393</v>
      </c>
    </row>
    <row r="826" spans="1:9" x14ac:dyDescent="0.35">
      <c r="A826" s="2">
        <v>45366</v>
      </c>
      <c r="B826">
        <v>79</v>
      </c>
      <c r="C826">
        <v>1111001</v>
      </c>
      <c r="D826" t="s">
        <v>16</v>
      </c>
      <c r="E826" t="s">
        <v>59</v>
      </c>
      <c r="F826" s="3">
        <v>7400.93</v>
      </c>
      <c r="G826" s="3">
        <v>0</v>
      </c>
      <c r="H826" s="3">
        <v>7400.93</v>
      </c>
      <c r="I826" t="s">
        <v>393</v>
      </c>
    </row>
    <row r="827" spans="1:9" x14ac:dyDescent="0.35">
      <c r="A827" s="2">
        <v>45366</v>
      </c>
      <c r="B827">
        <v>79</v>
      </c>
      <c r="C827">
        <v>4112003</v>
      </c>
      <c r="D827" t="s">
        <v>58</v>
      </c>
      <c r="E827" t="s">
        <v>59</v>
      </c>
      <c r="F827" s="3">
        <v>0</v>
      </c>
      <c r="G827" s="3">
        <v>5948.97</v>
      </c>
      <c r="H827" s="3">
        <v>-5948.97</v>
      </c>
      <c r="I827" t="s">
        <v>394</v>
      </c>
    </row>
    <row r="828" spans="1:9" x14ac:dyDescent="0.35">
      <c r="A828" s="2">
        <v>45366</v>
      </c>
      <c r="B828">
        <v>79</v>
      </c>
      <c r="C828">
        <v>2121001</v>
      </c>
      <c r="D828" t="s">
        <v>27</v>
      </c>
      <c r="E828" t="s">
        <v>59</v>
      </c>
      <c r="F828" s="3">
        <v>0</v>
      </c>
      <c r="G828" s="3">
        <v>951.84</v>
      </c>
      <c r="H828" s="3">
        <v>-951.84</v>
      </c>
      <c r="I828" t="s">
        <v>394</v>
      </c>
    </row>
    <row r="829" spans="1:9" x14ac:dyDescent="0.35">
      <c r="A829" s="2">
        <v>45366</v>
      </c>
      <c r="B829">
        <v>79</v>
      </c>
      <c r="C829">
        <v>1111001</v>
      </c>
      <c r="D829" t="s">
        <v>16</v>
      </c>
      <c r="E829" t="s">
        <v>59</v>
      </c>
      <c r="F829" s="3">
        <v>6900.81</v>
      </c>
      <c r="G829" s="3">
        <v>0</v>
      </c>
      <c r="H829" s="3">
        <v>6900.81</v>
      </c>
      <c r="I829" t="s">
        <v>394</v>
      </c>
    </row>
    <row r="830" spans="1:9" x14ac:dyDescent="0.35">
      <c r="A830" s="2">
        <v>45366</v>
      </c>
      <c r="B830">
        <v>79</v>
      </c>
      <c r="C830">
        <v>4112004</v>
      </c>
      <c r="D830" t="s">
        <v>74</v>
      </c>
      <c r="E830" t="s">
        <v>275</v>
      </c>
      <c r="F830" s="3">
        <v>0</v>
      </c>
      <c r="G830" s="3">
        <v>1554</v>
      </c>
      <c r="H830" s="3">
        <v>-1554</v>
      </c>
      <c r="I830" t="s">
        <v>395</v>
      </c>
    </row>
    <row r="831" spans="1:9" x14ac:dyDescent="0.35">
      <c r="A831" s="2">
        <v>45366</v>
      </c>
      <c r="B831">
        <v>79</v>
      </c>
      <c r="C831">
        <v>2121001</v>
      </c>
      <c r="D831" t="s">
        <v>27</v>
      </c>
      <c r="E831" t="s">
        <v>275</v>
      </c>
      <c r="F831" s="3">
        <v>0</v>
      </c>
      <c r="G831" s="3">
        <v>248.64</v>
      </c>
      <c r="H831" s="3">
        <v>-248.64</v>
      </c>
      <c r="I831" t="s">
        <v>395</v>
      </c>
    </row>
    <row r="832" spans="1:9" x14ac:dyDescent="0.35">
      <c r="A832" s="2">
        <v>45366</v>
      </c>
      <c r="B832">
        <v>79</v>
      </c>
      <c r="C832">
        <v>1141002</v>
      </c>
      <c r="D832" t="s">
        <v>23</v>
      </c>
      <c r="E832" t="s">
        <v>275</v>
      </c>
      <c r="F832" s="3">
        <v>186.48</v>
      </c>
      <c r="G832" s="3">
        <v>0</v>
      </c>
      <c r="H832" s="3">
        <v>186.48</v>
      </c>
      <c r="I832" t="s">
        <v>395</v>
      </c>
    </row>
    <row r="833" spans="1:9" x14ac:dyDescent="0.35">
      <c r="A833" s="2">
        <v>45366</v>
      </c>
      <c r="B833">
        <v>79</v>
      </c>
      <c r="C833">
        <v>1142001</v>
      </c>
      <c r="D833" t="s">
        <v>199</v>
      </c>
      <c r="E833" t="s">
        <v>275</v>
      </c>
      <c r="F833" s="3">
        <v>31.08</v>
      </c>
      <c r="G833" s="3">
        <v>0</v>
      </c>
      <c r="H833" s="3">
        <v>31.08</v>
      </c>
      <c r="I833" t="s">
        <v>395</v>
      </c>
    </row>
    <row r="834" spans="1:9" x14ac:dyDescent="0.35">
      <c r="A834" s="2">
        <v>45366</v>
      </c>
      <c r="B834">
        <v>79</v>
      </c>
      <c r="C834">
        <v>1111001</v>
      </c>
      <c r="D834" t="s">
        <v>16</v>
      </c>
      <c r="E834" t="s">
        <v>275</v>
      </c>
      <c r="F834" s="3">
        <v>1585.08</v>
      </c>
      <c r="G834" s="3">
        <v>0</v>
      </c>
      <c r="H834" s="3">
        <v>1585.08</v>
      </c>
      <c r="I834" t="s">
        <v>395</v>
      </c>
    </row>
    <row r="835" spans="1:9" x14ac:dyDescent="0.35">
      <c r="A835" s="2">
        <v>45366</v>
      </c>
      <c r="B835">
        <v>79</v>
      </c>
      <c r="C835">
        <v>4112004</v>
      </c>
      <c r="D835" t="s">
        <v>74</v>
      </c>
      <c r="E835" t="s">
        <v>79</v>
      </c>
      <c r="F835" s="3">
        <v>0</v>
      </c>
      <c r="G835" s="3">
        <v>2265.9</v>
      </c>
      <c r="H835" s="3">
        <v>-2265.9</v>
      </c>
      <c r="I835" t="s">
        <v>396</v>
      </c>
    </row>
    <row r="836" spans="1:9" x14ac:dyDescent="0.35">
      <c r="A836" s="2">
        <v>45366</v>
      </c>
      <c r="B836">
        <v>79</v>
      </c>
      <c r="C836">
        <v>2121001</v>
      </c>
      <c r="D836" t="s">
        <v>27</v>
      </c>
      <c r="E836" t="s">
        <v>79</v>
      </c>
      <c r="F836" s="3">
        <v>0</v>
      </c>
      <c r="G836" s="3">
        <v>362.54</v>
      </c>
      <c r="H836" s="3">
        <v>-362.54</v>
      </c>
      <c r="I836" t="s">
        <v>396</v>
      </c>
    </row>
    <row r="837" spans="1:9" x14ac:dyDescent="0.35">
      <c r="A837" s="2">
        <v>45366</v>
      </c>
      <c r="B837">
        <v>79</v>
      </c>
      <c r="C837">
        <v>1111001</v>
      </c>
      <c r="D837" t="s">
        <v>16</v>
      </c>
      <c r="E837" t="s">
        <v>79</v>
      </c>
      <c r="F837" s="3">
        <v>78.849999999999994</v>
      </c>
      <c r="G837" s="3">
        <v>0</v>
      </c>
      <c r="H837" s="3">
        <v>78.849999999999994</v>
      </c>
      <c r="I837" t="s">
        <v>396</v>
      </c>
    </row>
    <row r="838" spans="1:9" x14ac:dyDescent="0.35">
      <c r="A838" s="2">
        <v>45366</v>
      </c>
      <c r="B838">
        <v>79</v>
      </c>
      <c r="C838">
        <v>2124007</v>
      </c>
      <c r="D838" t="s">
        <v>30</v>
      </c>
      <c r="E838" t="s">
        <v>79</v>
      </c>
      <c r="F838" s="3">
        <v>0</v>
      </c>
      <c r="G838" s="3">
        <v>78.849999999999994</v>
      </c>
      <c r="H838" s="3">
        <v>-78.849999999999994</v>
      </c>
      <c r="I838" t="s">
        <v>396</v>
      </c>
    </row>
    <row r="839" spans="1:9" x14ac:dyDescent="0.35">
      <c r="A839" s="2">
        <v>45366</v>
      </c>
      <c r="B839">
        <v>79</v>
      </c>
      <c r="C839">
        <v>1111001</v>
      </c>
      <c r="D839" t="s">
        <v>16</v>
      </c>
      <c r="E839" t="s">
        <v>79</v>
      </c>
      <c r="F839" s="3">
        <v>2628.44</v>
      </c>
      <c r="G839" s="3">
        <v>0</v>
      </c>
      <c r="H839" s="3">
        <v>2628.44</v>
      </c>
      <c r="I839" t="s">
        <v>396</v>
      </c>
    </row>
    <row r="840" spans="1:9" x14ac:dyDescent="0.35">
      <c r="A840" s="2">
        <v>45366</v>
      </c>
      <c r="B840">
        <v>79</v>
      </c>
      <c r="C840">
        <v>4112004</v>
      </c>
      <c r="D840" t="s">
        <v>74</v>
      </c>
      <c r="E840" t="s">
        <v>200</v>
      </c>
      <c r="F840" s="3">
        <v>0</v>
      </c>
      <c r="G840" s="3">
        <v>1594.82</v>
      </c>
      <c r="H840" s="3">
        <v>-1594.82</v>
      </c>
      <c r="I840" t="s">
        <v>397</v>
      </c>
    </row>
    <row r="841" spans="1:9" x14ac:dyDescent="0.35">
      <c r="A841" s="2">
        <v>45366</v>
      </c>
      <c r="B841">
        <v>79</v>
      </c>
      <c r="C841">
        <v>2121001</v>
      </c>
      <c r="D841" t="s">
        <v>27</v>
      </c>
      <c r="E841" t="s">
        <v>200</v>
      </c>
      <c r="F841" s="3">
        <v>0</v>
      </c>
      <c r="G841" s="3">
        <v>255.17</v>
      </c>
      <c r="H841" s="3">
        <v>-255.17</v>
      </c>
      <c r="I841" t="s">
        <v>397</v>
      </c>
    </row>
    <row r="842" spans="1:9" x14ac:dyDescent="0.35">
      <c r="A842" s="2">
        <v>45366</v>
      </c>
      <c r="B842">
        <v>79</v>
      </c>
      <c r="C842">
        <v>1111001</v>
      </c>
      <c r="D842" t="s">
        <v>16</v>
      </c>
      <c r="E842" t="s">
        <v>200</v>
      </c>
      <c r="F842" s="3">
        <v>1849.99</v>
      </c>
      <c r="G842" s="3">
        <v>0</v>
      </c>
      <c r="H842" s="3">
        <v>1849.99</v>
      </c>
      <c r="I842" t="s">
        <v>397</v>
      </c>
    </row>
    <row r="843" spans="1:9" x14ac:dyDescent="0.35">
      <c r="A843" s="2">
        <v>45366</v>
      </c>
      <c r="B843">
        <v>79</v>
      </c>
      <c r="C843">
        <v>4112004</v>
      </c>
      <c r="D843" t="s">
        <v>74</v>
      </c>
      <c r="E843" t="s">
        <v>197</v>
      </c>
      <c r="F843" s="3">
        <v>0</v>
      </c>
      <c r="G843" s="3">
        <v>14591.34</v>
      </c>
      <c r="H843" s="3">
        <v>-14591.34</v>
      </c>
      <c r="I843" t="s">
        <v>398</v>
      </c>
    </row>
    <row r="844" spans="1:9" x14ac:dyDescent="0.35">
      <c r="A844" s="2">
        <v>45366</v>
      </c>
      <c r="B844">
        <v>79</v>
      </c>
      <c r="C844">
        <v>2121001</v>
      </c>
      <c r="D844" t="s">
        <v>27</v>
      </c>
      <c r="E844" t="s">
        <v>197</v>
      </c>
      <c r="F844" s="3">
        <v>0</v>
      </c>
      <c r="G844" s="3">
        <v>2334.61</v>
      </c>
      <c r="H844" s="3">
        <v>-2334.61</v>
      </c>
      <c r="I844" t="s">
        <v>398</v>
      </c>
    </row>
    <row r="845" spans="1:9" x14ac:dyDescent="0.35">
      <c r="A845" s="2">
        <v>45366</v>
      </c>
      <c r="B845">
        <v>79</v>
      </c>
      <c r="C845">
        <v>1141002</v>
      </c>
      <c r="D845" t="s">
        <v>23</v>
      </c>
      <c r="E845" t="s">
        <v>197</v>
      </c>
      <c r="F845" s="3">
        <v>1750.96</v>
      </c>
      <c r="G845" s="3">
        <v>0</v>
      </c>
      <c r="H845" s="3">
        <v>1750.96</v>
      </c>
      <c r="I845" t="s">
        <v>1438</v>
      </c>
    </row>
    <row r="846" spans="1:9" x14ac:dyDescent="0.35">
      <c r="A846" s="2">
        <v>45366</v>
      </c>
      <c r="B846">
        <v>79</v>
      </c>
      <c r="C846">
        <v>1142001</v>
      </c>
      <c r="D846" t="s">
        <v>199</v>
      </c>
      <c r="E846" t="s">
        <v>197</v>
      </c>
      <c r="F846" s="3">
        <v>291.83</v>
      </c>
      <c r="G846" s="3">
        <v>0</v>
      </c>
      <c r="H846" s="3">
        <v>291.83</v>
      </c>
      <c r="I846" t="s">
        <v>1438</v>
      </c>
    </row>
    <row r="847" spans="1:9" x14ac:dyDescent="0.35">
      <c r="A847" s="2">
        <v>45366</v>
      </c>
      <c r="B847">
        <v>79</v>
      </c>
      <c r="C847">
        <v>6121040</v>
      </c>
      <c r="D847" t="s">
        <v>98</v>
      </c>
      <c r="E847" t="s">
        <v>197</v>
      </c>
      <c r="F847" s="3">
        <v>338.52</v>
      </c>
      <c r="G847" s="3">
        <v>0</v>
      </c>
      <c r="H847" s="3">
        <v>338.52</v>
      </c>
      <c r="I847" t="s">
        <v>398</v>
      </c>
    </row>
    <row r="848" spans="1:9" x14ac:dyDescent="0.35">
      <c r="A848" s="2">
        <v>45366</v>
      </c>
      <c r="B848">
        <v>79</v>
      </c>
      <c r="C848">
        <v>1111001</v>
      </c>
      <c r="D848" t="s">
        <v>16</v>
      </c>
      <c r="E848" t="s">
        <v>197</v>
      </c>
      <c r="F848" s="3">
        <v>14544.64</v>
      </c>
      <c r="G848" s="3">
        <v>0</v>
      </c>
      <c r="H848" s="3">
        <v>14544.64</v>
      </c>
      <c r="I848" t="s">
        <v>398</v>
      </c>
    </row>
    <row r="849" spans="1:9" x14ac:dyDescent="0.35">
      <c r="A849" s="2">
        <v>45366</v>
      </c>
      <c r="B849">
        <v>79</v>
      </c>
      <c r="C849">
        <v>4112004</v>
      </c>
      <c r="D849" t="s">
        <v>74</v>
      </c>
      <c r="E849" t="s">
        <v>195</v>
      </c>
      <c r="F849" s="3">
        <v>0</v>
      </c>
      <c r="G849" s="3">
        <v>3128.8</v>
      </c>
      <c r="H849" s="3">
        <v>-3128.8</v>
      </c>
      <c r="I849" t="s">
        <v>399</v>
      </c>
    </row>
    <row r="850" spans="1:9" x14ac:dyDescent="0.35">
      <c r="A850" s="2">
        <v>45366</v>
      </c>
      <c r="B850">
        <v>79</v>
      </c>
      <c r="C850">
        <v>2121001</v>
      </c>
      <c r="D850" t="s">
        <v>27</v>
      </c>
      <c r="E850" t="s">
        <v>195</v>
      </c>
      <c r="F850" s="3">
        <v>0</v>
      </c>
      <c r="G850" s="3">
        <v>500.61</v>
      </c>
      <c r="H850" s="3">
        <v>-500.61</v>
      </c>
      <c r="I850" t="s">
        <v>399</v>
      </c>
    </row>
    <row r="851" spans="1:9" x14ac:dyDescent="0.35">
      <c r="A851" s="2">
        <v>45366</v>
      </c>
      <c r="B851">
        <v>79</v>
      </c>
      <c r="C851">
        <v>1141002</v>
      </c>
      <c r="D851" t="s">
        <v>23</v>
      </c>
      <c r="E851" t="s">
        <v>195</v>
      </c>
      <c r="F851" s="3">
        <v>375.46</v>
      </c>
      <c r="G851" s="3">
        <v>0</v>
      </c>
      <c r="H851" s="3">
        <v>375.46</v>
      </c>
      <c r="I851" t="s">
        <v>399</v>
      </c>
    </row>
    <row r="852" spans="1:9" x14ac:dyDescent="0.35">
      <c r="A852" s="2">
        <v>45366</v>
      </c>
      <c r="B852">
        <v>79</v>
      </c>
      <c r="C852">
        <v>1111001</v>
      </c>
      <c r="D852" t="s">
        <v>16</v>
      </c>
      <c r="E852" t="s">
        <v>195</v>
      </c>
      <c r="F852" s="3">
        <v>3253.95</v>
      </c>
      <c r="G852" s="3">
        <v>0</v>
      </c>
      <c r="H852" s="3">
        <v>3253.95</v>
      </c>
      <c r="I852" t="s">
        <v>399</v>
      </c>
    </row>
    <row r="853" spans="1:9" x14ac:dyDescent="0.35">
      <c r="A853" s="2">
        <v>45366</v>
      </c>
      <c r="B853">
        <v>79</v>
      </c>
      <c r="C853">
        <v>4112004</v>
      </c>
      <c r="D853" t="s">
        <v>74</v>
      </c>
      <c r="E853" t="s">
        <v>197</v>
      </c>
      <c r="F853" s="3">
        <v>0</v>
      </c>
      <c r="G853" s="3">
        <v>2972.78</v>
      </c>
      <c r="H853" s="3">
        <v>-2972.78</v>
      </c>
      <c r="I853" t="s">
        <v>400</v>
      </c>
    </row>
    <row r="854" spans="1:9" x14ac:dyDescent="0.35">
      <c r="A854" s="2">
        <v>45366</v>
      </c>
      <c r="B854">
        <v>79</v>
      </c>
      <c r="C854">
        <v>2121001</v>
      </c>
      <c r="D854" t="s">
        <v>27</v>
      </c>
      <c r="E854" t="s">
        <v>197</v>
      </c>
      <c r="F854" s="3">
        <v>0</v>
      </c>
      <c r="G854" s="3">
        <v>475.64</v>
      </c>
      <c r="H854" s="3">
        <v>-475.64</v>
      </c>
      <c r="I854" t="s">
        <v>400</v>
      </c>
    </row>
    <row r="855" spans="1:9" x14ac:dyDescent="0.35">
      <c r="A855" s="2">
        <v>45366</v>
      </c>
      <c r="B855">
        <v>79</v>
      </c>
      <c r="C855">
        <v>1141002</v>
      </c>
      <c r="D855" t="s">
        <v>23</v>
      </c>
      <c r="E855" t="s">
        <v>197</v>
      </c>
      <c r="F855" s="3">
        <v>356.73</v>
      </c>
      <c r="G855" s="3">
        <v>0</v>
      </c>
      <c r="H855" s="3">
        <v>356.73</v>
      </c>
      <c r="I855" t="s">
        <v>1438</v>
      </c>
    </row>
    <row r="856" spans="1:9" x14ac:dyDescent="0.35">
      <c r="A856" s="2">
        <v>45366</v>
      </c>
      <c r="B856">
        <v>79</v>
      </c>
      <c r="C856">
        <v>1142001</v>
      </c>
      <c r="D856" t="s">
        <v>199</v>
      </c>
      <c r="E856" t="s">
        <v>197</v>
      </c>
      <c r="F856" s="3">
        <v>59.46</v>
      </c>
      <c r="G856" s="3">
        <v>0</v>
      </c>
      <c r="H856" s="3">
        <v>59.46</v>
      </c>
      <c r="I856" t="s">
        <v>1438</v>
      </c>
    </row>
    <row r="857" spans="1:9" x14ac:dyDescent="0.35">
      <c r="A857" s="2">
        <v>45366</v>
      </c>
      <c r="B857">
        <v>79</v>
      </c>
      <c r="C857">
        <v>6121040</v>
      </c>
      <c r="D857" t="s">
        <v>98</v>
      </c>
      <c r="E857" t="s">
        <v>197</v>
      </c>
      <c r="F857" s="3">
        <v>68.97</v>
      </c>
      <c r="G857" s="3">
        <v>0</v>
      </c>
      <c r="H857" s="3">
        <v>68.97</v>
      </c>
      <c r="I857" t="s">
        <v>400</v>
      </c>
    </row>
    <row r="858" spans="1:9" x14ac:dyDescent="0.35">
      <c r="A858" s="2">
        <v>45366</v>
      </c>
      <c r="B858">
        <v>79</v>
      </c>
      <c r="C858">
        <v>1111001</v>
      </c>
      <c r="D858" t="s">
        <v>16</v>
      </c>
      <c r="E858" t="s">
        <v>197</v>
      </c>
      <c r="F858" s="3">
        <v>2963.26</v>
      </c>
      <c r="G858" s="3">
        <v>0</v>
      </c>
      <c r="H858" s="3">
        <v>2963.26</v>
      </c>
      <c r="I858" t="s">
        <v>400</v>
      </c>
    </row>
    <row r="859" spans="1:9" x14ac:dyDescent="0.35">
      <c r="A859" s="2">
        <v>45366</v>
      </c>
      <c r="B859">
        <v>79</v>
      </c>
      <c r="C859">
        <v>5131001</v>
      </c>
      <c r="D859" t="s">
        <v>86</v>
      </c>
      <c r="E859" t="s">
        <v>401</v>
      </c>
      <c r="F859" s="3">
        <v>390</v>
      </c>
      <c r="G859" s="3">
        <v>0</v>
      </c>
      <c r="H859" s="3">
        <v>390</v>
      </c>
      <c r="I859" t="s">
        <v>346</v>
      </c>
    </row>
    <row r="860" spans="1:9" x14ac:dyDescent="0.35">
      <c r="A860" s="2">
        <v>45366</v>
      </c>
      <c r="B860">
        <v>79</v>
      </c>
      <c r="C860">
        <v>5131005</v>
      </c>
      <c r="D860" t="s">
        <v>205</v>
      </c>
      <c r="E860" t="s">
        <v>401</v>
      </c>
      <c r="F860" s="3">
        <v>4351.2</v>
      </c>
      <c r="G860" s="3">
        <v>0</v>
      </c>
      <c r="H860" s="3">
        <v>4351.2</v>
      </c>
      <c r="I860" t="s">
        <v>346</v>
      </c>
    </row>
    <row r="861" spans="1:9" x14ac:dyDescent="0.35">
      <c r="A861" s="2">
        <v>45366</v>
      </c>
      <c r="B861">
        <v>79</v>
      </c>
      <c r="C861">
        <v>5131008</v>
      </c>
      <c r="D861" t="s">
        <v>89</v>
      </c>
      <c r="E861" t="s">
        <v>401</v>
      </c>
      <c r="F861" s="3">
        <v>81.900000000000006</v>
      </c>
      <c r="G861" s="3">
        <v>0</v>
      </c>
      <c r="H861" s="3">
        <v>81.900000000000006</v>
      </c>
      <c r="I861" t="s">
        <v>346</v>
      </c>
    </row>
    <row r="862" spans="1:9" x14ac:dyDescent="0.35">
      <c r="A862" s="2">
        <v>45366</v>
      </c>
      <c r="B862">
        <v>79</v>
      </c>
      <c r="C862">
        <v>5131009</v>
      </c>
      <c r="D862" t="s">
        <v>90</v>
      </c>
      <c r="E862" t="s">
        <v>401</v>
      </c>
      <c r="F862" s="3">
        <v>16.25</v>
      </c>
      <c r="G862" s="3">
        <v>0</v>
      </c>
      <c r="H862" s="3">
        <v>16.25</v>
      </c>
      <c r="I862" t="s">
        <v>346</v>
      </c>
    </row>
    <row r="863" spans="1:9" x14ac:dyDescent="0.35">
      <c r="A863" s="2">
        <v>45366</v>
      </c>
      <c r="B863">
        <v>79</v>
      </c>
      <c r="C863">
        <v>5131010</v>
      </c>
      <c r="D863" t="s">
        <v>91</v>
      </c>
      <c r="E863" t="s">
        <v>401</v>
      </c>
      <c r="F863" s="3">
        <v>32.5</v>
      </c>
      <c r="G863" s="3">
        <v>0</v>
      </c>
      <c r="H863" s="3">
        <v>32.5</v>
      </c>
      <c r="I863" t="s">
        <v>346</v>
      </c>
    </row>
    <row r="864" spans="1:9" x14ac:dyDescent="0.35">
      <c r="A864" s="2">
        <v>45366</v>
      </c>
      <c r="B864">
        <v>79</v>
      </c>
      <c r="C864">
        <v>5131012</v>
      </c>
      <c r="D864" t="s">
        <v>206</v>
      </c>
      <c r="E864" t="s">
        <v>401</v>
      </c>
      <c r="F864" s="3">
        <v>28.6</v>
      </c>
      <c r="G864" s="3">
        <v>0</v>
      </c>
      <c r="H864" s="3">
        <v>28.6</v>
      </c>
      <c r="I864" t="s">
        <v>346</v>
      </c>
    </row>
    <row r="865" spans="1:9" x14ac:dyDescent="0.35">
      <c r="A865" s="2">
        <v>45366</v>
      </c>
      <c r="B865">
        <v>79</v>
      </c>
      <c r="C865">
        <v>5131013</v>
      </c>
      <c r="D865" t="s">
        <v>92</v>
      </c>
      <c r="E865" t="s">
        <v>401</v>
      </c>
      <c r="F865" s="3">
        <v>7.8</v>
      </c>
      <c r="G865" s="3">
        <v>0</v>
      </c>
      <c r="H865" s="3">
        <v>7.8</v>
      </c>
      <c r="I865" t="s">
        <v>346</v>
      </c>
    </row>
    <row r="866" spans="1:9" x14ac:dyDescent="0.35">
      <c r="A866" s="2">
        <v>45366</v>
      </c>
      <c r="B866">
        <v>79</v>
      </c>
      <c r="C866">
        <v>5131014</v>
      </c>
      <c r="D866" t="s">
        <v>207</v>
      </c>
      <c r="E866" t="s">
        <v>401</v>
      </c>
      <c r="F866" s="3">
        <v>7.8</v>
      </c>
      <c r="G866" s="3">
        <v>0</v>
      </c>
      <c r="H866" s="3">
        <v>7.8</v>
      </c>
      <c r="I866" t="s">
        <v>346</v>
      </c>
    </row>
    <row r="867" spans="1:9" x14ac:dyDescent="0.35">
      <c r="A867" s="2">
        <v>45366</v>
      </c>
      <c r="B867">
        <v>79</v>
      </c>
      <c r="C867">
        <v>2131002</v>
      </c>
      <c r="D867" t="s">
        <v>31</v>
      </c>
      <c r="E867" t="s">
        <v>401</v>
      </c>
      <c r="F867" s="3">
        <v>0</v>
      </c>
      <c r="G867" s="3">
        <v>18</v>
      </c>
      <c r="H867" s="3">
        <v>-18</v>
      </c>
      <c r="I867" t="s">
        <v>346</v>
      </c>
    </row>
    <row r="868" spans="1:9" x14ac:dyDescent="0.35">
      <c r="A868" s="2">
        <v>45366</v>
      </c>
      <c r="B868">
        <v>79</v>
      </c>
      <c r="C868">
        <v>2131003</v>
      </c>
      <c r="D868" t="s">
        <v>32</v>
      </c>
      <c r="E868" t="s">
        <v>401</v>
      </c>
      <c r="F868" s="3">
        <v>0</v>
      </c>
      <c r="G868" s="3">
        <v>2.25</v>
      </c>
      <c r="H868" s="3">
        <v>-2.25</v>
      </c>
      <c r="I868" t="s">
        <v>346</v>
      </c>
    </row>
    <row r="869" spans="1:9" x14ac:dyDescent="0.35">
      <c r="A869" s="2">
        <v>45366</v>
      </c>
      <c r="B869">
        <v>79</v>
      </c>
      <c r="C869">
        <v>2131004</v>
      </c>
      <c r="D869" t="s">
        <v>33</v>
      </c>
      <c r="E869" t="s">
        <v>401</v>
      </c>
      <c r="F869" s="3">
        <v>0</v>
      </c>
      <c r="G869" s="3">
        <v>6.25</v>
      </c>
      <c r="H869" s="3">
        <v>-6.25</v>
      </c>
      <c r="I869" t="s">
        <v>346</v>
      </c>
    </row>
    <row r="870" spans="1:9" x14ac:dyDescent="0.35">
      <c r="A870" s="2">
        <v>45366</v>
      </c>
      <c r="B870">
        <v>79</v>
      </c>
      <c r="C870">
        <v>2141001</v>
      </c>
      <c r="D870" t="s">
        <v>35</v>
      </c>
      <c r="E870" t="s">
        <v>401</v>
      </c>
      <c r="F870" s="3">
        <v>0</v>
      </c>
      <c r="G870" s="3">
        <v>28.6</v>
      </c>
      <c r="H870" s="3">
        <v>-28.6</v>
      </c>
      <c r="I870" t="s">
        <v>346</v>
      </c>
    </row>
    <row r="871" spans="1:9" x14ac:dyDescent="0.35">
      <c r="A871" s="2">
        <v>45366</v>
      </c>
      <c r="B871">
        <v>79</v>
      </c>
      <c r="C871">
        <v>2141002</v>
      </c>
      <c r="D871" t="s">
        <v>36</v>
      </c>
      <c r="E871" t="s">
        <v>401</v>
      </c>
      <c r="F871" s="3">
        <v>0</v>
      </c>
      <c r="G871" s="3">
        <v>7.8</v>
      </c>
      <c r="H871" s="3">
        <v>-7.8</v>
      </c>
      <c r="I871" t="s">
        <v>346</v>
      </c>
    </row>
    <row r="872" spans="1:9" x14ac:dyDescent="0.35">
      <c r="A872" s="2">
        <v>45366</v>
      </c>
      <c r="B872">
        <v>79</v>
      </c>
      <c r="C872">
        <v>2141003</v>
      </c>
      <c r="D872" t="s">
        <v>37</v>
      </c>
      <c r="E872" t="s">
        <v>401</v>
      </c>
      <c r="F872" s="3">
        <v>0</v>
      </c>
      <c r="G872" s="3">
        <v>7.8</v>
      </c>
      <c r="H872" s="3">
        <v>-7.8</v>
      </c>
      <c r="I872" t="s">
        <v>346</v>
      </c>
    </row>
    <row r="873" spans="1:9" x14ac:dyDescent="0.35">
      <c r="A873" s="2">
        <v>45366</v>
      </c>
      <c r="B873">
        <v>79</v>
      </c>
      <c r="C873">
        <v>2161004</v>
      </c>
      <c r="D873" t="s">
        <v>38</v>
      </c>
      <c r="E873" t="s">
        <v>401</v>
      </c>
      <c r="F873" s="3">
        <v>0</v>
      </c>
      <c r="G873" s="3">
        <v>16.25</v>
      </c>
      <c r="H873" s="3">
        <v>-16.25</v>
      </c>
      <c r="I873" t="s">
        <v>346</v>
      </c>
    </row>
    <row r="874" spans="1:9" x14ac:dyDescent="0.35">
      <c r="A874" s="2">
        <v>45366</v>
      </c>
      <c r="B874">
        <v>79</v>
      </c>
      <c r="C874">
        <v>2161005</v>
      </c>
      <c r="D874" t="s">
        <v>39</v>
      </c>
      <c r="E874" t="s">
        <v>401</v>
      </c>
      <c r="F874" s="3">
        <v>0</v>
      </c>
      <c r="G874" s="3">
        <v>32.5</v>
      </c>
      <c r="H874" s="3">
        <v>-32.5</v>
      </c>
      <c r="I874" t="s">
        <v>346</v>
      </c>
    </row>
    <row r="875" spans="1:9" x14ac:dyDescent="0.35">
      <c r="A875" s="2">
        <v>45366</v>
      </c>
      <c r="B875">
        <v>79</v>
      </c>
      <c r="C875">
        <v>2241001</v>
      </c>
      <c r="D875" t="s">
        <v>40</v>
      </c>
      <c r="E875" t="s">
        <v>401</v>
      </c>
      <c r="F875" s="3">
        <v>0</v>
      </c>
      <c r="G875" s="3">
        <v>81.900000000000006</v>
      </c>
      <c r="H875" s="3">
        <v>-81.900000000000006</v>
      </c>
      <c r="I875" t="s">
        <v>346</v>
      </c>
    </row>
    <row r="876" spans="1:9" x14ac:dyDescent="0.35">
      <c r="A876" s="2">
        <v>45366</v>
      </c>
      <c r="B876">
        <v>79</v>
      </c>
      <c r="C876">
        <v>2161001</v>
      </c>
      <c r="D876" t="s">
        <v>93</v>
      </c>
      <c r="E876" t="s">
        <v>401</v>
      </c>
      <c r="F876" s="3">
        <v>0</v>
      </c>
      <c r="G876" s="3">
        <v>4714.7</v>
      </c>
      <c r="H876" s="3">
        <v>-4714.7</v>
      </c>
      <c r="I876" t="s">
        <v>346</v>
      </c>
    </row>
    <row r="877" spans="1:9" x14ac:dyDescent="0.35">
      <c r="A877" s="2">
        <v>45366</v>
      </c>
      <c r="B877">
        <v>79</v>
      </c>
      <c r="C877">
        <v>1142004</v>
      </c>
      <c r="D877" t="s">
        <v>83</v>
      </c>
      <c r="E877" t="s">
        <v>84</v>
      </c>
      <c r="F877" s="3">
        <v>1051.01</v>
      </c>
      <c r="G877" s="3">
        <v>0</v>
      </c>
      <c r="H877" s="3">
        <v>1051.01</v>
      </c>
      <c r="I877" t="s">
        <v>85</v>
      </c>
    </row>
    <row r="878" spans="1:9" x14ac:dyDescent="0.35">
      <c r="A878" s="2">
        <v>45366</v>
      </c>
      <c r="B878">
        <v>79</v>
      </c>
      <c r="C878">
        <v>2124004</v>
      </c>
      <c r="D878" t="s">
        <v>29</v>
      </c>
      <c r="E878" t="s">
        <v>84</v>
      </c>
      <c r="F878" s="3">
        <v>0</v>
      </c>
      <c r="G878" s="3">
        <v>1051.01</v>
      </c>
      <c r="H878" s="3">
        <v>-1051.01</v>
      </c>
      <c r="I878" t="s">
        <v>85</v>
      </c>
    </row>
    <row r="879" spans="1:9" x14ac:dyDescent="0.35">
      <c r="A879" s="2">
        <v>45366</v>
      </c>
      <c r="B879">
        <v>79</v>
      </c>
      <c r="C879">
        <v>2121001</v>
      </c>
      <c r="D879" t="s">
        <v>27</v>
      </c>
      <c r="E879" t="s">
        <v>402</v>
      </c>
      <c r="F879" s="3">
        <v>16816.12</v>
      </c>
      <c r="G879" s="3">
        <v>0</v>
      </c>
      <c r="H879" s="3">
        <v>16816.12</v>
      </c>
      <c r="I879" t="s">
        <v>82</v>
      </c>
    </row>
    <row r="880" spans="1:9" x14ac:dyDescent="0.35">
      <c r="A880" s="2">
        <v>45366</v>
      </c>
      <c r="B880">
        <v>79</v>
      </c>
      <c r="C880">
        <v>1141001</v>
      </c>
      <c r="D880" t="s">
        <v>153</v>
      </c>
      <c r="E880" t="s">
        <v>402</v>
      </c>
      <c r="F880" s="3">
        <v>0</v>
      </c>
      <c r="G880" s="3">
        <v>1044.5999999999999</v>
      </c>
      <c r="H880" s="3">
        <v>-1044.5999999999999</v>
      </c>
      <c r="I880" t="s">
        <v>82</v>
      </c>
    </row>
    <row r="881" spans="1:9" x14ac:dyDescent="0.35">
      <c r="A881" s="2">
        <v>45366</v>
      </c>
      <c r="B881">
        <v>79</v>
      </c>
      <c r="C881">
        <v>1141002</v>
      </c>
      <c r="D881" t="s">
        <v>23</v>
      </c>
      <c r="E881" t="s">
        <v>402</v>
      </c>
      <c r="F881" s="3">
        <v>0</v>
      </c>
      <c r="G881" s="3">
        <v>2669.63</v>
      </c>
      <c r="H881" s="3">
        <v>-2669.63</v>
      </c>
      <c r="I881" t="s">
        <v>82</v>
      </c>
    </row>
    <row r="882" spans="1:9" x14ac:dyDescent="0.35">
      <c r="A882" s="2">
        <v>45366</v>
      </c>
      <c r="B882">
        <v>79</v>
      </c>
      <c r="C882">
        <v>2121003</v>
      </c>
      <c r="D882" t="s">
        <v>28</v>
      </c>
      <c r="E882" t="s">
        <v>402</v>
      </c>
      <c r="F882" s="3">
        <v>0</v>
      </c>
      <c r="G882" s="3">
        <v>13101.89</v>
      </c>
      <c r="H882" s="3">
        <v>-13101.89</v>
      </c>
      <c r="I882" t="s">
        <v>82</v>
      </c>
    </row>
    <row r="883" spans="1:9" x14ac:dyDescent="0.35">
      <c r="A883" s="2">
        <v>45366</v>
      </c>
      <c r="B883">
        <v>79</v>
      </c>
      <c r="C883">
        <v>6121046</v>
      </c>
      <c r="D883" t="s">
        <v>94</v>
      </c>
      <c r="E883" t="s">
        <v>95</v>
      </c>
      <c r="F883" s="3">
        <v>207.56</v>
      </c>
      <c r="G883" s="3">
        <v>0</v>
      </c>
      <c r="H883" s="3">
        <v>207.56</v>
      </c>
      <c r="I883" t="s">
        <v>114</v>
      </c>
    </row>
    <row r="884" spans="1:9" x14ac:dyDescent="0.35">
      <c r="A884" s="2">
        <v>45366</v>
      </c>
      <c r="B884">
        <v>79</v>
      </c>
      <c r="C884">
        <v>6121040</v>
      </c>
      <c r="D884" t="s">
        <v>98</v>
      </c>
      <c r="E884" t="s">
        <v>99</v>
      </c>
      <c r="F884" s="3">
        <v>581.41</v>
      </c>
      <c r="G884" s="3">
        <v>0</v>
      </c>
      <c r="H884" s="3">
        <v>581.41</v>
      </c>
      <c r="I884" t="s">
        <v>114</v>
      </c>
    </row>
    <row r="885" spans="1:9" x14ac:dyDescent="0.35">
      <c r="A885" s="2">
        <v>45366</v>
      </c>
      <c r="B885">
        <v>79</v>
      </c>
      <c r="C885">
        <v>2121003</v>
      </c>
      <c r="D885" t="s">
        <v>28</v>
      </c>
      <c r="E885" t="s">
        <v>297</v>
      </c>
      <c r="F885" s="3">
        <v>11401.31</v>
      </c>
      <c r="G885" s="3">
        <v>0</v>
      </c>
      <c r="H885" s="3">
        <v>11401.31</v>
      </c>
      <c r="I885" t="s">
        <v>114</v>
      </c>
    </row>
    <row r="886" spans="1:9" x14ac:dyDescent="0.35">
      <c r="A886" s="2">
        <v>45366</v>
      </c>
      <c r="B886">
        <v>79</v>
      </c>
      <c r="C886">
        <v>2141001</v>
      </c>
      <c r="D886" t="s">
        <v>35</v>
      </c>
      <c r="E886" t="s">
        <v>403</v>
      </c>
      <c r="F886" s="3">
        <v>2.19</v>
      </c>
      <c r="G886" s="3">
        <v>0</v>
      </c>
      <c r="H886" s="3">
        <v>2.19</v>
      </c>
      <c r="I886" t="s">
        <v>114</v>
      </c>
    </row>
    <row r="887" spans="1:9" x14ac:dyDescent="0.35">
      <c r="A887" s="2">
        <v>45366</v>
      </c>
      <c r="B887">
        <v>79</v>
      </c>
      <c r="C887">
        <v>2141001</v>
      </c>
      <c r="D887" t="s">
        <v>35</v>
      </c>
      <c r="E887" t="s">
        <v>404</v>
      </c>
      <c r="F887" s="3">
        <v>51.78</v>
      </c>
      <c r="G887" s="3">
        <v>0</v>
      </c>
      <c r="H887" s="3">
        <v>51.78</v>
      </c>
      <c r="I887" t="s">
        <v>114</v>
      </c>
    </row>
    <row r="888" spans="1:9" x14ac:dyDescent="0.35">
      <c r="A888" s="2">
        <v>45366</v>
      </c>
      <c r="B888">
        <v>79</v>
      </c>
      <c r="C888">
        <v>2141001</v>
      </c>
      <c r="D888" t="s">
        <v>35</v>
      </c>
      <c r="E888" t="s">
        <v>405</v>
      </c>
      <c r="F888" s="3">
        <v>178.2</v>
      </c>
      <c r="G888" s="3">
        <v>0</v>
      </c>
      <c r="H888" s="3">
        <v>178.2</v>
      </c>
      <c r="I888" t="s">
        <v>114</v>
      </c>
    </row>
    <row r="889" spans="1:9" x14ac:dyDescent="0.35">
      <c r="A889" s="2">
        <v>45366</v>
      </c>
      <c r="B889">
        <v>79</v>
      </c>
      <c r="C889">
        <v>2141002</v>
      </c>
      <c r="D889" t="s">
        <v>36</v>
      </c>
      <c r="E889" t="s">
        <v>406</v>
      </c>
      <c r="F889" s="3">
        <v>27.3</v>
      </c>
      <c r="G889" s="3">
        <v>0</v>
      </c>
      <c r="H889" s="3">
        <v>27.3</v>
      </c>
      <c r="I889" t="s">
        <v>114</v>
      </c>
    </row>
    <row r="890" spans="1:9" x14ac:dyDescent="0.35">
      <c r="A890" s="2">
        <v>45366</v>
      </c>
      <c r="B890">
        <v>79</v>
      </c>
      <c r="C890">
        <v>2124007</v>
      </c>
      <c r="D890" t="s">
        <v>30</v>
      </c>
      <c r="E890" t="s">
        <v>407</v>
      </c>
      <c r="F890" s="3">
        <v>264.01</v>
      </c>
      <c r="G890" s="3">
        <v>0</v>
      </c>
      <c r="H890" s="3">
        <v>264.01</v>
      </c>
      <c r="I890" t="s">
        <v>114</v>
      </c>
    </row>
    <row r="891" spans="1:9" x14ac:dyDescent="0.35">
      <c r="A891" s="2">
        <v>45366</v>
      </c>
      <c r="B891">
        <v>79</v>
      </c>
      <c r="C891">
        <v>2122003</v>
      </c>
      <c r="D891" t="s">
        <v>308</v>
      </c>
      <c r="E891" t="s">
        <v>408</v>
      </c>
      <c r="F891" s="3">
        <v>120.35</v>
      </c>
      <c r="G891" s="3">
        <v>0</v>
      </c>
      <c r="H891" s="3">
        <v>120.35</v>
      </c>
      <c r="I891" t="s">
        <v>114</v>
      </c>
    </row>
    <row r="892" spans="1:9" x14ac:dyDescent="0.35">
      <c r="A892" s="2">
        <v>45366</v>
      </c>
      <c r="B892">
        <v>79</v>
      </c>
      <c r="C892">
        <v>2124009</v>
      </c>
      <c r="D892" t="s">
        <v>154</v>
      </c>
      <c r="E892" t="s">
        <v>409</v>
      </c>
      <c r="F892" s="3">
        <v>722.09</v>
      </c>
      <c r="G892" s="3">
        <v>0</v>
      </c>
      <c r="H892" s="3">
        <v>722.09</v>
      </c>
      <c r="I892" t="s">
        <v>114</v>
      </c>
    </row>
    <row r="893" spans="1:9" x14ac:dyDescent="0.35">
      <c r="A893" s="2">
        <v>45366</v>
      </c>
      <c r="B893">
        <v>79</v>
      </c>
      <c r="C893">
        <v>2124004</v>
      </c>
      <c r="D893" t="s">
        <v>29</v>
      </c>
      <c r="E893" t="s">
        <v>410</v>
      </c>
      <c r="F893" s="3">
        <v>1017.34</v>
      </c>
      <c r="G893" s="3">
        <v>0</v>
      </c>
      <c r="H893" s="3">
        <v>1017.34</v>
      </c>
      <c r="I893" t="s">
        <v>114</v>
      </c>
    </row>
    <row r="894" spans="1:9" x14ac:dyDescent="0.35">
      <c r="A894" s="2">
        <v>45366</v>
      </c>
      <c r="B894">
        <v>79</v>
      </c>
      <c r="C894">
        <v>2121003</v>
      </c>
      <c r="D894" t="s">
        <v>28</v>
      </c>
      <c r="E894" t="s">
        <v>411</v>
      </c>
      <c r="F894" s="3">
        <v>11848.92</v>
      </c>
      <c r="G894" s="3">
        <v>0</v>
      </c>
      <c r="H894" s="3">
        <v>11848.92</v>
      </c>
      <c r="I894" t="s">
        <v>114</v>
      </c>
    </row>
    <row r="895" spans="1:9" x14ac:dyDescent="0.35">
      <c r="A895" s="2">
        <v>45366</v>
      </c>
      <c r="B895">
        <v>79</v>
      </c>
      <c r="C895">
        <v>5132002</v>
      </c>
      <c r="D895" t="s">
        <v>115</v>
      </c>
      <c r="E895" t="s">
        <v>412</v>
      </c>
      <c r="F895" s="3">
        <v>1737.76</v>
      </c>
      <c r="G895" s="3">
        <v>0</v>
      </c>
      <c r="H895" s="3">
        <v>1737.76</v>
      </c>
      <c r="I895" t="s">
        <v>114</v>
      </c>
    </row>
    <row r="896" spans="1:9" x14ac:dyDescent="0.35">
      <c r="A896" s="2">
        <v>45366</v>
      </c>
      <c r="B896">
        <v>79</v>
      </c>
      <c r="C896">
        <v>1111001</v>
      </c>
      <c r="D896" t="s">
        <v>16</v>
      </c>
      <c r="E896" t="s">
        <v>413</v>
      </c>
      <c r="F896" s="3">
        <v>4400</v>
      </c>
      <c r="G896" s="3">
        <v>0</v>
      </c>
      <c r="H896" s="3">
        <v>4400</v>
      </c>
      <c r="I896" t="s">
        <v>114</v>
      </c>
    </row>
    <row r="897" spans="1:9" x14ac:dyDescent="0.35">
      <c r="A897" s="2">
        <v>45366</v>
      </c>
      <c r="B897">
        <v>79</v>
      </c>
      <c r="C897">
        <v>5131006</v>
      </c>
      <c r="D897" t="s">
        <v>125</v>
      </c>
      <c r="E897" t="s">
        <v>1771</v>
      </c>
      <c r="F897" s="3">
        <v>2700</v>
      </c>
      <c r="G897" s="3">
        <v>0</v>
      </c>
      <c r="H897" s="3">
        <v>2700</v>
      </c>
      <c r="I897" t="s">
        <v>114</v>
      </c>
    </row>
    <row r="898" spans="1:9" x14ac:dyDescent="0.35">
      <c r="A898" s="2">
        <v>45366</v>
      </c>
      <c r="B898">
        <v>79</v>
      </c>
      <c r="C898">
        <v>5131016</v>
      </c>
      <c r="D898" t="s">
        <v>238</v>
      </c>
      <c r="E898" t="s">
        <v>292</v>
      </c>
      <c r="F898" s="3">
        <v>700</v>
      </c>
      <c r="G898" s="3">
        <v>0</v>
      </c>
      <c r="H898" s="3">
        <v>700</v>
      </c>
      <c r="I898" t="s">
        <v>114</v>
      </c>
    </row>
    <row r="899" spans="1:9" x14ac:dyDescent="0.35">
      <c r="A899" s="2">
        <v>45366</v>
      </c>
      <c r="B899">
        <v>79</v>
      </c>
      <c r="C899">
        <v>1112003</v>
      </c>
      <c r="D899" t="s">
        <v>22</v>
      </c>
      <c r="E899" t="s">
        <v>414</v>
      </c>
      <c r="F899" s="3">
        <v>0</v>
      </c>
      <c r="G899" s="3">
        <v>35960.22</v>
      </c>
      <c r="H899" s="3">
        <v>-35960.22</v>
      </c>
      <c r="I899" t="s">
        <v>114</v>
      </c>
    </row>
    <row r="900" spans="1:9" x14ac:dyDescent="0.35">
      <c r="A900" s="2">
        <v>45366</v>
      </c>
      <c r="B900">
        <v>79</v>
      </c>
      <c r="C900">
        <v>1112003</v>
      </c>
      <c r="D900" t="s">
        <v>22</v>
      </c>
      <c r="E900" t="s">
        <v>298</v>
      </c>
      <c r="F900" s="3">
        <v>37180</v>
      </c>
      <c r="G900" s="3">
        <v>0</v>
      </c>
      <c r="H900" s="3">
        <v>37180</v>
      </c>
      <c r="I900" t="s">
        <v>114</v>
      </c>
    </row>
    <row r="901" spans="1:9" x14ac:dyDescent="0.35">
      <c r="A901" s="2">
        <v>45366</v>
      </c>
      <c r="B901">
        <v>79</v>
      </c>
      <c r="C901">
        <v>1111001</v>
      </c>
      <c r="D901" t="s">
        <v>16</v>
      </c>
      <c r="E901" t="s">
        <v>111</v>
      </c>
      <c r="F901" s="3">
        <v>0</v>
      </c>
      <c r="G901" s="3">
        <v>37180</v>
      </c>
      <c r="H901" s="3">
        <v>-37180</v>
      </c>
      <c r="I901" t="s">
        <v>114</v>
      </c>
    </row>
    <row r="902" spans="1:9" x14ac:dyDescent="0.35">
      <c r="A902" s="2">
        <v>45366</v>
      </c>
      <c r="B902">
        <v>79</v>
      </c>
      <c r="C902">
        <v>6121040</v>
      </c>
      <c r="D902" t="s">
        <v>98</v>
      </c>
      <c r="E902" t="s">
        <v>99</v>
      </c>
      <c r="F902" s="3">
        <v>2849.73</v>
      </c>
      <c r="G902" s="3">
        <v>0</v>
      </c>
      <c r="H902" s="3">
        <v>2849.73</v>
      </c>
      <c r="I902" t="s">
        <v>124</v>
      </c>
    </row>
    <row r="903" spans="1:9" x14ac:dyDescent="0.35">
      <c r="A903" s="2">
        <v>45366</v>
      </c>
      <c r="B903">
        <v>79</v>
      </c>
      <c r="C903">
        <v>6121046</v>
      </c>
      <c r="D903" t="s">
        <v>94</v>
      </c>
      <c r="E903" t="s">
        <v>95</v>
      </c>
      <c r="F903" s="3">
        <v>2110.7800000000002</v>
      </c>
      <c r="G903" s="3">
        <v>0</v>
      </c>
      <c r="H903" s="3">
        <v>2110.7800000000002</v>
      </c>
      <c r="I903" t="s">
        <v>124</v>
      </c>
    </row>
    <row r="904" spans="1:9" x14ac:dyDescent="0.35">
      <c r="A904" s="2">
        <v>45366</v>
      </c>
      <c r="B904">
        <v>79</v>
      </c>
      <c r="C904">
        <v>2121003</v>
      </c>
      <c r="D904" t="s">
        <v>28</v>
      </c>
      <c r="E904" t="s">
        <v>221</v>
      </c>
      <c r="F904" s="3">
        <v>9416.91</v>
      </c>
      <c r="G904" s="3">
        <v>0</v>
      </c>
      <c r="H904" s="3">
        <v>9416.91</v>
      </c>
      <c r="I904" t="s">
        <v>124</v>
      </c>
    </row>
    <row r="905" spans="1:9" x14ac:dyDescent="0.35">
      <c r="A905" s="2">
        <v>45366</v>
      </c>
      <c r="B905">
        <v>79</v>
      </c>
      <c r="C905">
        <v>2114001</v>
      </c>
      <c r="D905" t="s">
        <v>97</v>
      </c>
      <c r="E905" t="s">
        <v>1768</v>
      </c>
      <c r="F905" s="3">
        <v>2288</v>
      </c>
      <c r="G905" s="3">
        <v>0</v>
      </c>
      <c r="H905" s="3">
        <v>2288</v>
      </c>
      <c r="I905" t="s">
        <v>124</v>
      </c>
    </row>
    <row r="906" spans="1:9" x14ac:dyDescent="0.35">
      <c r="A906" s="2">
        <v>45366</v>
      </c>
      <c r="B906">
        <v>79</v>
      </c>
      <c r="C906">
        <v>1111001</v>
      </c>
      <c r="D906" t="s">
        <v>16</v>
      </c>
      <c r="E906" t="s">
        <v>132</v>
      </c>
      <c r="F906" s="3">
        <v>31380</v>
      </c>
      <c r="G906" s="3">
        <v>0</v>
      </c>
      <c r="H906" s="3">
        <v>31380</v>
      </c>
      <c r="I906" t="s">
        <v>124</v>
      </c>
    </row>
    <row r="907" spans="1:9" x14ac:dyDescent="0.35">
      <c r="A907" s="2">
        <v>45366</v>
      </c>
      <c r="B907">
        <v>79</v>
      </c>
      <c r="C907">
        <v>2114001</v>
      </c>
      <c r="D907" t="s">
        <v>97</v>
      </c>
      <c r="E907" t="s">
        <v>283</v>
      </c>
      <c r="F907" s="3">
        <v>2130.46</v>
      </c>
      <c r="G907" s="3">
        <v>0</v>
      </c>
      <c r="H907" s="3">
        <v>2130.46</v>
      </c>
      <c r="I907" t="s">
        <v>124</v>
      </c>
    </row>
    <row r="908" spans="1:9" x14ac:dyDescent="0.35">
      <c r="A908" s="2">
        <v>45366</v>
      </c>
      <c r="B908">
        <v>79</v>
      </c>
      <c r="C908">
        <v>2114001</v>
      </c>
      <c r="D908" t="s">
        <v>97</v>
      </c>
      <c r="E908" t="s">
        <v>415</v>
      </c>
      <c r="F908" s="3">
        <v>2022</v>
      </c>
      <c r="G908" s="3">
        <v>0</v>
      </c>
      <c r="H908" s="3">
        <v>2022</v>
      </c>
      <c r="I908" t="s">
        <v>124</v>
      </c>
    </row>
    <row r="909" spans="1:9" x14ac:dyDescent="0.35">
      <c r="A909" s="2">
        <v>45366</v>
      </c>
      <c r="B909">
        <v>79</v>
      </c>
      <c r="C909">
        <v>2114010</v>
      </c>
      <c r="D909" t="s">
        <v>48</v>
      </c>
      <c r="E909" t="s">
        <v>416</v>
      </c>
      <c r="F909" s="3">
        <v>6659.31</v>
      </c>
      <c r="G909" s="3">
        <v>0</v>
      </c>
      <c r="H909" s="3">
        <v>6659.31</v>
      </c>
      <c r="I909" t="s">
        <v>124</v>
      </c>
    </row>
    <row r="910" spans="1:9" x14ac:dyDescent="0.35">
      <c r="A910" s="2">
        <v>45366</v>
      </c>
      <c r="B910">
        <v>79</v>
      </c>
      <c r="C910">
        <v>6121031</v>
      </c>
      <c r="D910" t="s">
        <v>209</v>
      </c>
      <c r="E910" t="s">
        <v>417</v>
      </c>
      <c r="F910" s="3">
        <v>2280</v>
      </c>
      <c r="G910" s="3">
        <v>0</v>
      </c>
      <c r="H910" s="3">
        <v>2280</v>
      </c>
      <c r="I910" t="s">
        <v>124</v>
      </c>
    </row>
    <row r="911" spans="1:9" x14ac:dyDescent="0.35">
      <c r="A911" s="2">
        <v>45366</v>
      </c>
      <c r="B911">
        <v>79</v>
      </c>
      <c r="C911">
        <v>5132007</v>
      </c>
      <c r="D911" t="s">
        <v>355</v>
      </c>
      <c r="E911" t="s">
        <v>418</v>
      </c>
      <c r="F911" s="3">
        <v>652</v>
      </c>
      <c r="G911" s="3">
        <v>0</v>
      </c>
      <c r="H911" s="3">
        <v>652</v>
      </c>
      <c r="I911" t="s">
        <v>124</v>
      </c>
    </row>
    <row r="912" spans="1:9" x14ac:dyDescent="0.35">
      <c r="A912" s="2">
        <v>45366</v>
      </c>
      <c r="B912">
        <v>79</v>
      </c>
      <c r="C912">
        <v>6121025</v>
      </c>
      <c r="D912" t="s">
        <v>134</v>
      </c>
      <c r="E912" t="s">
        <v>419</v>
      </c>
      <c r="F912" s="3">
        <v>1780.36</v>
      </c>
      <c r="G912" s="3">
        <v>0</v>
      </c>
      <c r="H912" s="3">
        <v>1780.36</v>
      </c>
      <c r="I912" t="s">
        <v>124</v>
      </c>
    </row>
    <row r="913" spans="1:9" x14ac:dyDescent="0.35">
      <c r="A913" s="2">
        <v>45366</v>
      </c>
      <c r="B913">
        <v>79</v>
      </c>
      <c r="C913">
        <v>5132002</v>
      </c>
      <c r="D913" t="s">
        <v>115</v>
      </c>
      <c r="E913" t="s">
        <v>420</v>
      </c>
      <c r="F913" s="3">
        <v>20000</v>
      </c>
      <c r="G913" s="3">
        <v>0</v>
      </c>
      <c r="H913" s="3">
        <v>20000</v>
      </c>
      <c r="I913" t="s">
        <v>124</v>
      </c>
    </row>
    <row r="914" spans="1:9" x14ac:dyDescent="0.35">
      <c r="A914" s="2">
        <v>45366</v>
      </c>
      <c r="B914">
        <v>79</v>
      </c>
      <c r="C914">
        <v>6121025</v>
      </c>
      <c r="D914" t="s">
        <v>134</v>
      </c>
      <c r="E914" t="s">
        <v>421</v>
      </c>
      <c r="F914" s="3">
        <v>593.1</v>
      </c>
      <c r="G914" s="3">
        <v>0</v>
      </c>
      <c r="H914" s="3">
        <v>593.1</v>
      </c>
      <c r="I914" t="s">
        <v>124</v>
      </c>
    </row>
    <row r="915" spans="1:9" x14ac:dyDescent="0.35">
      <c r="A915" s="2">
        <v>45366</v>
      </c>
      <c r="B915">
        <v>79</v>
      </c>
      <c r="C915">
        <v>5131016</v>
      </c>
      <c r="D915" t="s">
        <v>238</v>
      </c>
      <c r="E915" t="s">
        <v>292</v>
      </c>
      <c r="F915" s="3">
        <v>2280</v>
      </c>
      <c r="G915" s="3">
        <v>0</v>
      </c>
      <c r="H915" s="3">
        <v>2280</v>
      </c>
      <c r="I915" t="s">
        <v>124</v>
      </c>
    </row>
    <row r="916" spans="1:9" x14ac:dyDescent="0.35">
      <c r="A916" s="2">
        <v>45366</v>
      </c>
      <c r="B916">
        <v>79</v>
      </c>
      <c r="C916">
        <v>1111001</v>
      </c>
      <c r="D916" t="s">
        <v>16</v>
      </c>
      <c r="E916" t="s">
        <v>422</v>
      </c>
      <c r="F916" s="3">
        <v>6000</v>
      </c>
      <c r="G916" s="3">
        <v>0</v>
      </c>
      <c r="H916" s="3">
        <v>6000</v>
      </c>
      <c r="I916" t="s">
        <v>124</v>
      </c>
    </row>
    <row r="917" spans="1:9" x14ac:dyDescent="0.35">
      <c r="A917" s="2">
        <v>45366</v>
      </c>
      <c r="B917">
        <v>79</v>
      </c>
      <c r="C917">
        <v>5131006</v>
      </c>
      <c r="D917" t="s">
        <v>125</v>
      </c>
      <c r="E917" t="s">
        <v>1771</v>
      </c>
      <c r="F917" s="3">
        <v>3800</v>
      </c>
      <c r="G917" s="3">
        <v>0</v>
      </c>
      <c r="H917" s="3">
        <v>3800</v>
      </c>
      <c r="I917" t="s">
        <v>124</v>
      </c>
    </row>
    <row r="918" spans="1:9" x14ac:dyDescent="0.35">
      <c r="A918" s="2">
        <v>45366</v>
      </c>
      <c r="B918">
        <v>79</v>
      </c>
      <c r="C918">
        <v>5131006</v>
      </c>
      <c r="D918" t="s">
        <v>125</v>
      </c>
      <c r="E918" t="s">
        <v>1771</v>
      </c>
      <c r="F918" s="3">
        <v>3800</v>
      </c>
      <c r="G918" s="3">
        <v>0</v>
      </c>
      <c r="H918" s="3">
        <v>3800</v>
      </c>
      <c r="I918" t="s">
        <v>124</v>
      </c>
    </row>
    <row r="919" spans="1:9" x14ac:dyDescent="0.35">
      <c r="A919" s="2">
        <v>45366</v>
      </c>
      <c r="B919">
        <v>79</v>
      </c>
      <c r="C919">
        <v>5131006</v>
      </c>
      <c r="D919" t="s">
        <v>125</v>
      </c>
      <c r="E919" t="s">
        <v>1771</v>
      </c>
      <c r="F919" s="3">
        <v>3800</v>
      </c>
      <c r="G919" s="3">
        <v>0</v>
      </c>
      <c r="H919" s="3">
        <v>3800</v>
      </c>
      <c r="I919" t="s">
        <v>124</v>
      </c>
    </row>
    <row r="920" spans="1:9" x14ac:dyDescent="0.35">
      <c r="A920" s="2">
        <v>45366</v>
      </c>
      <c r="B920">
        <v>79</v>
      </c>
      <c r="C920">
        <v>5131006</v>
      </c>
      <c r="D920" t="s">
        <v>125</v>
      </c>
      <c r="E920" t="s">
        <v>1771</v>
      </c>
      <c r="F920" s="3">
        <v>1100</v>
      </c>
      <c r="G920" s="3">
        <v>0</v>
      </c>
      <c r="H920" s="3">
        <v>1100</v>
      </c>
      <c r="I920" t="s">
        <v>124</v>
      </c>
    </row>
    <row r="921" spans="1:9" x14ac:dyDescent="0.35">
      <c r="A921" s="2">
        <v>45366</v>
      </c>
      <c r="B921">
        <v>79</v>
      </c>
      <c r="C921">
        <v>5131006</v>
      </c>
      <c r="D921" t="s">
        <v>125</v>
      </c>
      <c r="E921" t="s">
        <v>1776</v>
      </c>
      <c r="F921" s="3">
        <v>3800</v>
      </c>
      <c r="G921" s="3">
        <v>0</v>
      </c>
      <c r="H921" s="3">
        <v>3800</v>
      </c>
      <c r="I921" t="s">
        <v>124</v>
      </c>
    </row>
    <row r="922" spans="1:9" x14ac:dyDescent="0.35">
      <c r="A922" s="2">
        <v>45366</v>
      </c>
      <c r="B922">
        <v>79</v>
      </c>
      <c r="C922">
        <v>5132012</v>
      </c>
      <c r="D922" t="s">
        <v>303</v>
      </c>
      <c r="E922" t="s">
        <v>423</v>
      </c>
      <c r="F922" s="3">
        <v>6840</v>
      </c>
      <c r="G922" s="3">
        <v>0</v>
      </c>
      <c r="H922" s="3">
        <v>6840</v>
      </c>
      <c r="I922" t="s">
        <v>124</v>
      </c>
    </row>
    <row r="923" spans="1:9" x14ac:dyDescent="0.35">
      <c r="A923" s="2">
        <v>45366</v>
      </c>
      <c r="B923">
        <v>79</v>
      </c>
      <c r="C923">
        <v>5132012</v>
      </c>
      <c r="D923" t="s">
        <v>303</v>
      </c>
      <c r="E923" t="s">
        <v>1783</v>
      </c>
      <c r="F923" s="3">
        <v>760</v>
      </c>
      <c r="G923" s="3">
        <v>0</v>
      </c>
      <c r="H923" s="3">
        <v>760</v>
      </c>
      <c r="I923" t="s">
        <v>124</v>
      </c>
    </row>
    <row r="924" spans="1:9" x14ac:dyDescent="0.35">
      <c r="A924" s="2">
        <v>45366</v>
      </c>
      <c r="B924">
        <v>79</v>
      </c>
      <c r="C924">
        <v>5132012</v>
      </c>
      <c r="D924" t="s">
        <v>303</v>
      </c>
      <c r="E924" t="s">
        <v>1784</v>
      </c>
      <c r="F924" s="3">
        <v>760</v>
      </c>
      <c r="G924" s="3">
        <v>0</v>
      </c>
      <c r="H924" s="3">
        <v>760</v>
      </c>
      <c r="I924" t="s">
        <v>124</v>
      </c>
    </row>
    <row r="925" spans="1:9" x14ac:dyDescent="0.35">
      <c r="A925" s="2">
        <v>45366</v>
      </c>
      <c r="B925">
        <v>79</v>
      </c>
      <c r="C925">
        <v>1112002</v>
      </c>
      <c r="D925" t="s">
        <v>21</v>
      </c>
      <c r="E925" t="s">
        <v>107</v>
      </c>
      <c r="F925" s="3">
        <v>0</v>
      </c>
      <c r="G925" s="3">
        <v>117102.65</v>
      </c>
      <c r="H925" s="3">
        <v>-117102.65</v>
      </c>
      <c r="I925" t="s">
        <v>124</v>
      </c>
    </row>
    <row r="926" spans="1:9" x14ac:dyDescent="0.35">
      <c r="A926" s="2">
        <v>45366</v>
      </c>
      <c r="B926">
        <v>79</v>
      </c>
      <c r="C926">
        <v>1112002</v>
      </c>
      <c r="D926" t="s">
        <v>21</v>
      </c>
      <c r="E926" t="s">
        <v>108</v>
      </c>
      <c r="F926" s="3">
        <v>182726.27</v>
      </c>
      <c r="G926" s="3">
        <v>0</v>
      </c>
      <c r="H926" s="3">
        <v>182726.27</v>
      </c>
      <c r="I926" t="s">
        <v>124</v>
      </c>
    </row>
    <row r="927" spans="1:9" x14ac:dyDescent="0.35">
      <c r="A927" s="2">
        <v>45366</v>
      </c>
      <c r="B927">
        <v>79</v>
      </c>
      <c r="C927">
        <v>2111002</v>
      </c>
      <c r="D927" t="s">
        <v>424</v>
      </c>
      <c r="E927" t="s">
        <v>425</v>
      </c>
      <c r="F927" s="3">
        <v>0</v>
      </c>
      <c r="G927" s="3">
        <v>64905.02</v>
      </c>
      <c r="H927" s="3">
        <v>-64905.02</v>
      </c>
      <c r="I927" t="s">
        <v>124</v>
      </c>
    </row>
    <row r="928" spans="1:9" x14ac:dyDescent="0.35">
      <c r="A928" s="2">
        <v>45366</v>
      </c>
      <c r="B928">
        <v>79</v>
      </c>
      <c r="C928">
        <v>1111001</v>
      </c>
      <c r="D928" t="s">
        <v>16</v>
      </c>
      <c r="E928" t="s">
        <v>426</v>
      </c>
      <c r="F928" s="3">
        <v>0</v>
      </c>
      <c r="G928" s="3">
        <v>3626</v>
      </c>
      <c r="H928" s="3">
        <v>-3626</v>
      </c>
      <c r="I928" t="s">
        <v>124</v>
      </c>
    </row>
    <row r="929" spans="1:9" x14ac:dyDescent="0.35">
      <c r="A929" s="2">
        <v>45366</v>
      </c>
      <c r="B929">
        <v>79</v>
      </c>
      <c r="C929">
        <v>1111001</v>
      </c>
      <c r="D929" t="s">
        <v>16</v>
      </c>
      <c r="E929" t="s">
        <v>299</v>
      </c>
      <c r="F929" s="3">
        <v>0</v>
      </c>
      <c r="G929" s="3">
        <v>480</v>
      </c>
      <c r="H929" s="3">
        <v>-480</v>
      </c>
      <c r="I929" t="s">
        <v>124</v>
      </c>
    </row>
    <row r="930" spans="1:9" x14ac:dyDescent="0.35">
      <c r="A930" s="2">
        <v>45366</v>
      </c>
      <c r="B930">
        <v>79</v>
      </c>
      <c r="C930">
        <v>1111001</v>
      </c>
      <c r="D930" t="s">
        <v>16</v>
      </c>
      <c r="E930" t="s">
        <v>427</v>
      </c>
      <c r="F930" s="3">
        <v>0</v>
      </c>
      <c r="G930" s="3">
        <v>1850</v>
      </c>
      <c r="H930" s="3">
        <v>-1850</v>
      </c>
      <c r="I930" t="s">
        <v>124</v>
      </c>
    </row>
    <row r="931" spans="1:9" x14ac:dyDescent="0.35">
      <c r="A931" s="2">
        <v>45366</v>
      </c>
      <c r="B931">
        <v>79</v>
      </c>
      <c r="C931">
        <v>1111001</v>
      </c>
      <c r="D931" t="s">
        <v>16</v>
      </c>
      <c r="E931" t="s">
        <v>428</v>
      </c>
      <c r="F931" s="3">
        <v>0</v>
      </c>
      <c r="G931" s="3">
        <v>4400</v>
      </c>
      <c r="H931" s="3">
        <v>-4400</v>
      </c>
      <c r="I931" t="s">
        <v>124</v>
      </c>
    </row>
    <row r="932" spans="1:9" x14ac:dyDescent="0.35">
      <c r="A932" s="2">
        <v>45366</v>
      </c>
      <c r="B932">
        <v>79</v>
      </c>
      <c r="C932">
        <v>1111001</v>
      </c>
      <c r="D932" t="s">
        <v>16</v>
      </c>
      <c r="E932" t="s">
        <v>139</v>
      </c>
      <c r="F932" s="3">
        <v>0</v>
      </c>
      <c r="G932" s="3">
        <v>17507.900000000001</v>
      </c>
      <c r="H932" s="3">
        <v>-17507.900000000001</v>
      </c>
      <c r="I932" t="s">
        <v>124</v>
      </c>
    </row>
    <row r="933" spans="1:9" x14ac:dyDescent="0.35">
      <c r="A933" s="2">
        <v>45366</v>
      </c>
      <c r="B933">
        <v>79</v>
      </c>
      <c r="C933">
        <v>1111001</v>
      </c>
      <c r="D933" t="s">
        <v>16</v>
      </c>
      <c r="E933" t="s">
        <v>429</v>
      </c>
      <c r="F933" s="3">
        <v>0</v>
      </c>
      <c r="G933" s="3">
        <v>600</v>
      </c>
      <c r="H933" s="3">
        <v>-600</v>
      </c>
      <c r="I933" t="s">
        <v>124</v>
      </c>
    </row>
    <row r="934" spans="1:9" x14ac:dyDescent="0.35">
      <c r="A934" s="2">
        <v>45366</v>
      </c>
      <c r="B934">
        <v>79</v>
      </c>
      <c r="C934">
        <v>1111001</v>
      </c>
      <c r="D934" t="s">
        <v>16</v>
      </c>
      <c r="E934" t="s">
        <v>430</v>
      </c>
      <c r="F934" s="3">
        <v>0</v>
      </c>
      <c r="G934" s="3">
        <v>1086</v>
      </c>
      <c r="H934" s="3">
        <v>-1086</v>
      </c>
      <c r="I934" t="s">
        <v>124</v>
      </c>
    </row>
    <row r="935" spans="1:9" x14ac:dyDescent="0.35">
      <c r="A935" s="2">
        <v>45366</v>
      </c>
      <c r="B935">
        <v>79</v>
      </c>
      <c r="C935">
        <v>1111001</v>
      </c>
      <c r="D935" t="s">
        <v>16</v>
      </c>
      <c r="E935" t="s">
        <v>431</v>
      </c>
      <c r="F935" s="3">
        <v>0</v>
      </c>
      <c r="G935" s="3">
        <v>3500</v>
      </c>
      <c r="H935" s="3">
        <v>-3500</v>
      </c>
      <c r="I935" t="s">
        <v>124</v>
      </c>
    </row>
    <row r="936" spans="1:9" x14ac:dyDescent="0.35">
      <c r="A936" s="2">
        <v>45366</v>
      </c>
      <c r="B936">
        <v>79</v>
      </c>
      <c r="C936">
        <v>1111001</v>
      </c>
      <c r="D936" t="s">
        <v>16</v>
      </c>
      <c r="E936" t="s">
        <v>137</v>
      </c>
      <c r="F936" s="3">
        <v>0</v>
      </c>
      <c r="G936" s="3">
        <v>84488.27</v>
      </c>
      <c r="H936" s="3">
        <v>-84488.27</v>
      </c>
      <c r="I936" t="s">
        <v>124</v>
      </c>
    </row>
    <row r="937" spans="1:9" x14ac:dyDescent="0.35">
      <c r="A937" s="2">
        <v>45366</v>
      </c>
      <c r="B937">
        <v>79</v>
      </c>
      <c r="C937">
        <v>4141003</v>
      </c>
      <c r="D937" t="s">
        <v>141</v>
      </c>
      <c r="E937" t="s">
        <v>142</v>
      </c>
      <c r="F937" s="3">
        <v>0</v>
      </c>
      <c r="G937" s="3">
        <v>283.08</v>
      </c>
      <c r="H937" s="3">
        <v>-283.08</v>
      </c>
      <c r="I937" t="s">
        <v>124</v>
      </c>
    </row>
    <row r="938" spans="1:9" x14ac:dyDescent="0.35">
      <c r="A938" s="2">
        <v>45366</v>
      </c>
      <c r="B938">
        <v>79</v>
      </c>
      <c r="C938">
        <v>6121040</v>
      </c>
      <c r="D938" t="s">
        <v>98</v>
      </c>
      <c r="E938" t="s">
        <v>99</v>
      </c>
      <c r="F938" s="3">
        <v>104.71</v>
      </c>
      <c r="G938" s="3">
        <v>0</v>
      </c>
      <c r="H938" s="3">
        <v>104.71</v>
      </c>
      <c r="I938" t="s">
        <v>96</v>
      </c>
    </row>
    <row r="939" spans="1:9" x14ac:dyDescent="0.35">
      <c r="A939" s="2">
        <v>45366</v>
      </c>
      <c r="B939">
        <v>79</v>
      </c>
      <c r="C939">
        <v>6121046</v>
      </c>
      <c r="D939" t="s">
        <v>94</v>
      </c>
      <c r="E939" t="s">
        <v>95</v>
      </c>
      <c r="F939" s="3">
        <v>149.88999999999999</v>
      </c>
      <c r="G939" s="3">
        <v>0</v>
      </c>
      <c r="H939" s="3">
        <v>149.88999999999999</v>
      </c>
      <c r="I939" t="s">
        <v>96</v>
      </c>
    </row>
    <row r="940" spans="1:9" x14ac:dyDescent="0.35">
      <c r="A940" s="2">
        <v>45366</v>
      </c>
      <c r="B940">
        <v>79</v>
      </c>
      <c r="C940">
        <v>2114001</v>
      </c>
      <c r="D940" t="s">
        <v>97</v>
      </c>
      <c r="E940" t="s">
        <v>1768</v>
      </c>
      <c r="F940" s="3">
        <v>6175</v>
      </c>
      <c r="G940" s="3">
        <v>0</v>
      </c>
      <c r="H940" s="3">
        <v>6175</v>
      </c>
      <c r="I940" t="s">
        <v>96</v>
      </c>
    </row>
    <row r="941" spans="1:9" x14ac:dyDescent="0.35">
      <c r="A941" s="2">
        <v>45366</v>
      </c>
      <c r="B941">
        <v>79</v>
      </c>
      <c r="C941">
        <v>6121019</v>
      </c>
      <c r="D941" t="s">
        <v>100</v>
      </c>
      <c r="E941" t="s">
        <v>104</v>
      </c>
      <c r="F941" s="3">
        <v>160</v>
      </c>
      <c r="G941" s="3">
        <v>0</v>
      </c>
      <c r="H941" s="3">
        <v>160</v>
      </c>
      <c r="I941" t="s">
        <v>96</v>
      </c>
    </row>
    <row r="942" spans="1:9" x14ac:dyDescent="0.35">
      <c r="A942" s="2">
        <v>45366</v>
      </c>
      <c r="B942">
        <v>79</v>
      </c>
      <c r="C942">
        <v>2114010</v>
      </c>
      <c r="D942" t="s">
        <v>48</v>
      </c>
      <c r="E942" t="s">
        <v>432</v>
      </c>
      <c r="F942" s="3">
        <v>438</v>
      </c>
      <c r="G942" s="3">
        <v>0</v>
      </c>
      <c r="H942" s="3">
        <v>438</v>
      </c>
      <c r="I942" t="s">
        <v>96</v>
      </c>
    </row>
    <row r="943" spans="1:9" x14ac:dyDescent="0.35">
      <c r="A943" s="2">
        <v>45366</v>
      </c>
      <c r="B943">
        <v>79</v>
      </c>
      <c r="C943">
        <v>1111001</v>
      </c>
      <c r="D943" t="s">
        <v>16</v>
      </c>
      <c r="E943" t="s">
        <v>433</v>
      </c>
      <c r="F943" s="3">
        <v>620</v>
      </c>
      <c r="G943" s="3">
        <v>0</v>
      </c>
      <c r="H943" s="3">
        <v>620</v>
      </c>
      <c r="I943" t="s">
        <v>96</v>
      </c>
    </row>
    <row r="944" spans="1:9" x14ac:dyDescent="0.35">
      <c r="A944" s="2">
        <v>45366</v>
      </c>
      <c r="B944">
        <v>79</v>
      </c>
      <c r="C944">
        <v>1112001</v>
      </c>
      <c r="D944" t="s">
        <v>20</v>
      </c>
      <c r="E944" t="s">
        <v>107</v>
      </c>
      <c r="F944" s="3">
        <v>0</v>
      </c>
      <c r="G944" s="3">
        <v>7647.6</v>
      </c>
      <c r="H944" s="3">
        <v>-7647.6</v>
      </c>
      <c r="I944" t="s">
        <v>96</v>
      </c>
    </row>
    <row r="945" spans="1:9" x14ac:dyDescent="0.35">
      <c r="A945" s="2">
        <v>45366</v>
      </c>
      <c r="B945">
        <v>79</v>
      </c>
      <c r="C945">
        <v>1112001</v>
      </c>
      <c r="D945" t="s">
        <v>20</v>
      </c>
      <c r="E945" t="s">
        <v>108</v>
      </c>
      <c r="F945" s="3">
        <v>7660.4</v>
      </c>
      <c r="G945" s="3">
        <v>0</v>
      </c>
      <c r="H945" s="3">
        <v>7660.4</v>
      </c>
      <c r="I945" t="s">
        <v>96</v>
      </c>
    </row>
    <row r="946" spans="1:9" x14ac:dyDescent="0.35">
      <c r="A946" s="2">
        <v>45366</v>
      </c>
      <c r="B946">
        <v>79</v>
      </c>
      <c r="C946">
        <v>1111001</v>
      </c>
      <c r="D946" t="s">
        <v>16</v>
      </c>
      <c r="E946" t="s">
        <v>112</v>
      </c>
      <c r="F946" s="3">
        <v>0</v>
      </c>
      <c r="G946" s="3">
        <v>7660.4</v>
      </c>
      <c r="H946" s="3">
        <v>-7660.4</v>
      </c>
      <c r="I946" t="s">
        <v>96</v>
      </c>
    </row>
    <row r="947" spans="1:9" x14ac:dyDescent="0.35">
      <c r="A947" s="2">
        <v>45366</v>
      </c>
      <c r="B947">
        <v>79</v>
      </c>
      <c r="C947">
        <v>5131016</v>
      </c>
      <c r="D947" t="s">
        <v>238</v>
      </c>
      <c r="E947" t="s">
        <v>434</v>
      </c>
      <c r="F947" s="3">
        <v>2700</v>
      </c>
      <c r="G947" s="3">
        <v>0</v>
      </c>
      <c r="H947" s="3">
        <v>2700</v>
      </c>
      <c r="I947" t="s">
        <v>144</v>
      </c>
    </row>
    <row r="948" spans="1:9" x14ac:dyDescent="0.35">
      <c r="A948" s="2">
        <v>45366</v>
      </c>
      <c r="B948">
        <v>79</v>
      </c>
      <c r="C948">
        <v>2114001</v>
      </c>
      <c r="D948" t="s">
        <v>97</v>
      </c>
      <c r="E948" t="s">
        <v>434</v>
      </c>
      <c r="F948" s="3">
        <v>0</v>
      </c>
      <c r="G948" s="3">
        <v>2700</v>
      </c>
      <c r="H948" s="3">
        <v>-2700</v>
      </c>
      <c r="I948" t="s">
        <v>144</v>
      </c>
    </row>
    <row r="949" spans="1:9" x14ac:dyDescent="0.35">
      <c r="A949" s="2">
        <v>45366</v>
      </c>
      <c r="B949">
        <v>79</v>
      </c>
      <c r="C949">
        <v>6121023</v>
      </c>
      <c r="D949" t="s">
        <v>49</v>
      </c>
      <c r="E949" t="s">
        <v>435</v>
      </c>
      <c r="F949" s="3">
        <v>520</v>
      </c>
      <c r="G949" s="3">
        <v>0</v>
      </c>
      <c r="H949" s="3">
        <v>520</v>
      </c>
      <c r="I949" t="s">
        <v>144</v>
      </c>
    </row>
    <row r="950" spans="1:9" x14ac:dyDescent="0.35">
      <c r="A950" s="2">
        <v>45366</v>
      </c>
      <c r="B950">
        <v>79</v>
      </c>
      <c r="C950">
        <v>2114001</v>
      </c>
      <c r="D950" t="s">
        <v>97</v>
      </c>
      <c r="E950" t="s">
        <v>435</v>
      </c>
      <c r="F950" s="3">
        <v>0</v>
      </c>
      <c r="G950" s="3">
        <v>520</v>
      </c>
      <c r="H950" s="3">
        <v>-520</v>
      </c>
      <c r="I950" t="s">
        <v>144</v>
      </c>
    </row>
    <row r="951" spans="1:9" x14ac:dyDescent="0.35">
      <c r="A951" s="2">
        <v>45366</v>
      </c>
      <c r="B951">
        <v>79</v>
      </c>
      <c r="C951">
        <v>2161001</v>
      </c>
      <c r="D951" t="s">
        <v>93</v>
      </c>
      <c r="E951" t="s">
        <v>436</v>
      </c>
      <c r="F951" s="3">
        <v>4714.7</v>
      </c>
      <c r="G951" s="3">
        <v>0</v>
      </c>
      <c r="H951" s="3">
        <v>4714.7</v>
      </c>
      <c r="I951" t="s">
        <v>291</v>
      </c>
    </row>
    <row r="952" spans="1:9" x14ac:dyDescent="0.35">
      <c r="A952" s="2">
        <v>45366</v>
      </c>
      <c r="B952">
        <v>79</v>
      </c>
      <c r="C952">
        <v>5131006</v>
      </c>
      <c r="D952" t="s">
        <v>125</v>
      </c>
      <c r="E952" t="s">
        <v>436</v>
      </c>
      <c r="F952" s="3">
        <v>0</v>
      </c>
      <c r="G952" s="3">
        <v>4714.7</v>
      </c>
      <c r="H952" s="3">
        <v>-4714.7</v>
      </c>
      <c r="I952" t="s">
        <v>291</v>
      </c>
    </row>
    <row r="953" spans="1:9" x14ac:dyDescent="0.35">
      <c r="A953" s="2">
        <v>45366</v>
      </c>
      <c r="B953">
        <v>79</v>
      </c>
      <c r="C953">
        <v>2114010</v>
      </c>
      <c r="D953" t="s">
        <v>48</v>
      </c>
      <c r="E953" t="s">
        <v>437</v>
      </c>
      <c r="F953" s="3">
        <v>3135.41</v>
      </c>
      <c r="G953" s="3">
        <v>0</v>
      </c>
      <c r="H953" s="3">
        <v>3135.41</v>
      </c>
      <c r="I953" t="s">
        <v>438</v>
      </c>
    </row>
    <row r="954" spans="1:9" x14ac:dyDescent="0.35">
      <c r="A954" s="2">
        <v>45366</v>
      </c>
      <c r="B954">
        <v>79</v>
      </c>
      <c r="C954">
        <v>2114001</v>
      </c>
      <c r="D954" t="s">
        <v>97</v>
      </c>
      <c r="E954" t="s">
        <v>437</v>
      </c>
      <c r="F954" s="3">
        <v>0</v>
      </c>
      <c r="G954" s="3">
        <v>3135.41</v>
      </c>
      <c r="H954" s="3">
        <v>-3135.41</v>
      </c>
      <c r="I954" t="s">
        <v>438</v>
      </c>
    </row>
    <row r="955" spans="1:9" x14ac:dyDescent="0.35">
      <c r="A955" s="2">
        <v>45382</v>
      </c>
      <c r="B955">
        <v>80</v>
      </c>
      <c r="C955">
        <v>6121023</v>
      </c>
      <c r="D955" t="s">
        <v>49</v>
      </c>
      <c r="E955" t="s">
        <v>161</v>
      </c>
      <c r="F955" s="3">
        <v>637.42999999999995</v>
      </c>
      <c r="G955" s="3">
        <v>0</v>
      </c>
      <c r="H955" s="3">
        <v>637.42999999999995</v>
      </c>
      <c r="I955" t="s">
        <v>439</v>
      </c>
    </row>
    <row r="956" spans="1:9" x14ac:dyDescent="0.35">
      <c r="A956" s="2">
        <v>45382</v>
      </c>
      <c r="B956">
        <v>80</v>
      </c>
      <c r="C956">
        <v>2114010</v>
      </c>
      <c r="D956" t="s">
        <v>48</v>
      </c>
      <c r="E956" t="s">
        <v>161</v>
      </c>
      <c r="F956" s="3">
        <v>0</v>
      </c>
      <c r="G956" s="3">
        <v>637.42999999999995</v>
      </c>
      <c r="H956" s="3">
        <v>-637.42999999999995</v>
      </c>
      <c r="I956" t="s">
        <v>439</v>
      </c>
    </row>
    <row r="957" spans="1:9" x14ac:dyDescent="0.35">
      <c r="A957" s="2">
        <v>45382</v>
      </c>
      <c r="B957">
        <v>80</v>
      </c>
      <c r="C957">
        <v>6121023</v>
      </c>
      <c r="D957" t="s">
        <v>49</v>
      </c>
      <c r="E957" t="s">
        <v>52</v>
      </c>
      <c r="F957" s="3">
        <v>340.52</v>
      </c>
      <c r="G957" s="3">
        <v>0</v>
      </c>
      <c r="H957" s="3">
        <v>340.52</v>
      </c>
      <c r="I957" t="s">
        <v>440</v>
      </c>
    </row>
    <row r="958" spans="1:9" x14ac:dyDescent="0.35">
      <c r="A958" s="2">
        <v>45382</v>
      </c>
      <c r="B958">
        <v>80</v>
      </c>
      <c r="C958">
        <v>2114010</v>
      </c>
      <c r="D958" t="s">
        <v>48</v>
      </c>
      <c r="E958" t="s">
        <v>52</v>
      </c>
      <c r="F958" s="3">
        <v>0</v>
      </c>
      <c r="G958" s="3">
        <v>340.52</v>
      </c>
      <c r="H958" s="3">
        <v>-340.52</v>
      </c>
      <c r="I958" t="s">
        <v>440</v>
      </c>
    </row>
    <row r="959" spans="1:9" x14ac:dyDescent="0.35">
      <c r="A959" s="2">
        <v>45382</v>
      </c>
      <c r="B959">
        <v>80</v>
      </c>
      <c r="C959">
        <v>6121023</v>
      </c>
      <c r="D959" t="s">
        <v>49</v>
      </c>
      <c r="E959" t="s">
        <v>159</v>
      </c>
      <c r="F959" s="3">
        <v>661.55</v>
      </c>
      <c r="G959" s="3">
        <v>0</v>
      </c>
      <c r="H959" s="3">
        <v>661.55</v>
      </c>
      <c r="I959" t="s">
        <v>441</v>
      </c>
    </row>
    <row r="960" spans="1:9" x14ac:dyDescent="0.35">
      <c r="A960" s="2">
        <v>45382</v>
      </c>
      <c r="B960">
        <v>80</v>
      </c>
      <c r="C960">
        <v>2114010</v>
      </c>
      <c r="D960" t="s">
        <v>48</v>
      </c>
      <c r="E960" t="s">
        <v>159</v>
      </c>
      <c r="F960" s="3">
        <v>0</v>
      </c>
      <c r="G960" s="3">
        <v>661.55</v>
      </c>
      <c r="H960" s="3">
        <v>-661.55</v>
      </c>
      <c r="I960" t="s">
        <v>441</v>
      </c>
    </row>
    <row r="961" spans="1:9" x14ac:dyDescent="0.35">
      <c r="A961" s="2">
        <v>45382</v>
      </c>
      <c r="B961">
        <v>80</v>
      </c>
      <c r="C961">
        <v>6121023</v>
      </c>
      <c r="D961" t="s">
        <v>49</v>
      </c>
      <c r="E961" t="s">
        <v>159</v>
      </c>
      <c r="F961" s="3">
        <v>163.16999999999999</v>
      </c>
      <c r="G961" s="3">
        <v>0</v>
      </c>
      <c r="H961" s="3">
        <v>163.16999999999999</v>
      </c>
      <c r="I961" t="s">
        <v>442</v>
      </c>
    </row>
    <row r="962" spans="1:9" x14ac:dyDescent="0.35">
      <c r="A962" s="2">
        <v>45382</v>
      </c>
      <c r="B962">
        <v>80</v>
      </c>
      <c r="C962">
        <v>2114010</v>
      </c>
      <c r="D962" t="s">
        <v>48</v>
      </c>
      <c r="E962" t="s">
        <v>159</v>
      </c>
      <c r="F962" s="3">
        <v>0</v>
      </c>
      <c r="G962" s="3">
        <v>163.16999999999999</v>
      </c>
      <c r="H962" s="3">
        <v>-163.16999999999999</v>
      </c>
      <c r="I962" t="s">
        <v>442</v>
      </c>
    </row>
    <row r="963" spans="1:9" x14ac:dyDescent="0.35">
      <c r="A963" s="2">
        <v>45382</v>
      </c>
      <c r="B963">
        <v>80</v>
      </c>
      <c r="C963">
        <v>6121023</v>
      </c>
      <c r="D963" t="s">
        <v>49</v>
      </c>
      <c r="E963" t="s">
        <v>52</v>
      </c>
      <c r="F963" s="3">
        <v>240.75</v>
      </c>
      <c r="G963" s="3">
        <v>0</v>
      </c>
      <c r="H963" s="3">
        <v>240.75</v>
      </c>
      <c r="I963" t="s">
        <v>443</v>
      </c>
    </row>
    <row r="964" spans="1:9" x14ac:dyDescent="0.35">
      <c r="A964" s="2">
        <v>45382</v>
      </c>
      <c r="B964">
        <v>80</v>
      </c>
      <c r="C964">
        <v>2114010</v>
      </c>
      <c r="D964" t="s">
        <v>48</v>
      </c>
      <c r="E964" t="s">
        <v>52</v>
      </c>
      <c r="F964" s="3">
        <v>0</v>
      </c>
      <c r="G964" s="3">
        <v>240.75</v>
      </c>
      <c r="H964" s="3">
        <v>-240.75</v>
      </c>
      <c r="I964" t="s">
        <v>443</v>
      </c>
    </row>
    <row r="965" spans="1:9" x14ac:dyDescent="0.35">
      <c r="A965" s="2">
        <v>45382</v>
      </c>
      <c r="B965">
        <v>80</v>
      </c>
      <c r="C965">
        <v>6121023</v>
      </c>
      <c r="D965" t="s">
        <v>49</v>
      </c>
      <c r="E965" t="s">
        <v>52</v>
      </c>
      <c r="F965" s="3">
        <v>144.93</v>
      </c>
      <c r="G965" s="3">
        <v>0</v>
      </c>
      <c r="H965" s="3">
        <v>144.93</v>
      </c>
      <c r="I965" t="s">
        <v>444</v>
      </c>
    </row>
    <row r="966" spans="1:9" x14ac:dyDescent="0.35">
      <c r="A966" s="2">
        <v>45382</v>
      </c>
      <c r="B966">
        <v>80</v>
      </c>
      <c r="C966">
        <v>2114010</v>
      </c>
      <c r="D966" t="s">
        <v>48</v>
      </c>
      <c r="E966" t="s">
        <v>52</v>
      </c>
      <c r="F966" s="3">
        <v>0</v>
      </c>
      <c r="G966" s="3">
        <v>144.93</v>
      </c>
      <c r="H966" s="3">
        <v>-144.93</v>
      </c>
      <c r="I966" t="s">
        <v>444</v>
      </c>
    </row>
    <row r="967" spans="1:9" x14ac:dyDescent="0.35">
      <c r="A967" s="2">
        <v>45382</v>
      </c>
      <c r="B967">
        <v>80</v>
      </c>
      <c r="C967">
        <v>6121023</v>
      </c>
      <c r="D967" t="s">
        <v>49</v>
      </c>
      <c r="E967" t="s">
        <v>52</v>
      </c>
      <c r="F967" s="3">
        <v>144.93</v>
      </c>
      <c r="G967" s="3">
        <v>0</v>
      </c>
      <c r="H967" s="3">
        <v>144.93</v>
      </c>
      <c r="I967" t="s">
        <v>445</v>
      </c>
    </row>
    <row r="968" spans="1:9" x14ac:dyDescent="0.35">
      <c r="A968" s="2">
        <v>45382</v>
      </c>
      <c r="B968">
        <v>80</v>
      </c>
      <c r="C968">
        <v>2114010</v>
      </c>
      <c r="D968" t="s">
        <v>48</v>
      </c>
      <c r="E968" t="s">
        <v>52</v>
      </c>
      <c r="F968" s="3">
        <v>0</v>
      </c>
      <c r="G968" s="3">
        <v>144.93</v>
      </c>
      <c r="H968" s="3">
        <v>-144.93</v>
      </c>
      <c r="I968" t="s">
        <v>445</v>
      </c>
    </row>
    <row r="969" spans="1:9" x14ac:dyDescent="0.35">
      <c r="A969" s="2">
        <v>45382</v>
      </c>
      <c r="B969">
        <v>80</v>
      </c>
      <c r="C969">
        <v>6121027</v>
      </c>
      <c r="D969" t="s">
        <v>45</v>
      </c>
      <c r="E969" t="s">
        <v>257</v>
      </c>
      <c r="F969" s="3">
        <v>249.97</v>
      </c>
      <c r="G969" s="3">
        <v>0</v>
      </c>
      <c r="H969" s="3">
        <v>249.97</v>
      </c>
      <c r="I969" t="s">
        <v>446</v>
      </c>
    </row>
    <row r="970" spans="1:9" x14ac:dyDescent="0.35">
      <c r="A970" s="2">
        <v>45382</v>
      </c>
      <c r="B970">
        <v>80</v>
      </c>
      <c r="C970">
        <v>2114010</v>
      </c>
      <c r="D970" t="s">
        <v>48</v>
      </c>
      <c r="E970" t="s">
        <v>257</v>
      </c>
      <c r="F970" s="3">
        <v>0</v>
      </c>
      <c r="G970" s="3">
        <v>249.97</v>
      </c>
      <c r="H970" s="3">
        <v>-249.97</v>
      </c>
      <c r="I970" t="s">
        <v>446</v>
      </c>
    </row>
    <row r="971" spans="1:9" x14ac:dyDescent="0.35">
      <c r="A971" s="2">
        <v>45382</v>
      </c>
      <c r="B971">
        <v>80</v>
      </c>
      <c r="C971">
        <v>6121026</v>
      </c>
      <c r="D971" t="s">
        <v>447</v>
      </c>
      <c r="E971" t="s">
        <v>448</v>
      </c>
      <c r="F971" s="3">
        <v>871.21</v>
      </c>
      <c r="G971" s="3">
        <v>0</v>
      </c>
      <c r="H971" s="3">
        <v>871.21</v>
      </c>
      <c r="I971" t="s">
        <v>327</v>
      </c>
    </row>
    <row r="972" spans="1:9" x14ac:dyDescent="0.35">
      <c r="A972" s="2">
        <v>45382</v>
      </c>
      <c r="B972">
        <v>80</v>
      </c>
      <c r="C972">
        <v>2114010</v>
      </c>
      <c r="D972" t="s">
        <v>48</v>
      </c>
      <c r="E972" t="s">
        <v>448</v>
      </c>
      <c r="F972" s="3">
        <v>0</v>
      </c>
      <c r="G972" s="3">
        <v>871.21</v>
      </c>
      <c r="H972" s="3">
        <v>-871.21</v>
      </c>
      <c r="I972" t="s">
        <v>327</v>
      </c>
    </row>
    <row r="973" spans="1:9" x14ac:dyDescent="0.35">
      <c r="A973" s="2">
        <v>45382</v>
      </c>
      <c r="B973">
        <v>80</v>
      </c>
      <c r="C973">
        <v>6121023</v>
      </c>
      <c r="D973" t="s">
        <v>49</v>
      </c>
      <c r="E973" t="s">
        <v>172</v>
      </c>
      <c r="F973" s="3">
        <v>77.819999999999993</v>
      </c>
      <c r="G973" s="3">
        <v>0</v>
      </c>
      <c r="H973" s="3">
        <v>77.819999999999993</v>
      </c>
      <c r="I973" t="s">
        <v>449</v>
      </c>
    </row>
    <row r="974" spans="1:9" x14ac:dyDescent="0.35">
      <c r="A974" s="2">
        <v>45382</v>
      </c>
      <c r="B974">
        <v>80</v>
      </c>
      <c r="C974">
        <v>2114010</v>
      </c>
      <c r="D974" t="s">
        <v>48</v>
      </c>
      <c r="E974" t="s">
        <v>172</v>
      </c>
      <c r="F974" s="3">
        <v>0</v>
      </c>
      <c r="G974" s="3">
        <v>77.819999999999993</v>
      </c>
      <c r="H974" s="3">
        <v>-77.819999999999993</v>
      </c>
      <c r="I974" t="s">
        <v>449</v>
      </c>
    </row>
    <row r="975" spans="1:9" x14ac:dyDescent="0.35">
      <c r="A975" s="2">
        <v>45382</v>
      </c>
      <c r="B975">
        <v>80</v>
      </c>
      <c r="C975">
        <v>6121023</v>
      </c>
      <c r="D975" t="s">
        <v>49</v>
      </c>
      <c r="E975" t="s">
        <v>52</v>
      </c>
      <c r="F975" s="3">
        <v>3510.34</v>
      </c>
      <c r="G975" s="3">
        <v>0</v>
      </c>
      <c r="H975" s="3">
        <v>3510.34</v>
      </c>
      <c r="I975" t="s">
        <v>450</v>
      </c>
    </row>
    <row r="976" spans="1:9" x14ac:dyDescent="0.35">
      <c r="A976" s="2">
        <v>45382</v>
      </c>
      <c r="B976">
        <v>80</v>
      </c>
      <c r="C976">
        <v>2114010</v>
      </c>
      <c r="D976" t="s">
        <v>48</v>
      </c>
      <c r="E976" t="s">
        <v>52</v>
      </c>
      <c r="F976" s="3">
        <v>0</v>
      </c>
      <c r="G976" s="3">
        <v>3510.34</v>
      </c>
      <c r="H976" s="3">
        <v>-3510.34</v>
      </c>
      <c r="I976" t="s">
        <v>450</v>
      </c>
    </row>
    <row r="977" spans="1:9" x14ac:dyDescent="0.35">
      <c r="A977" s="2">
        <v>45382</v>
      </c>
      <c r="B977">
        <v>80</v>
      </c>
      <c r="C977">
        <v>6121027</v>
      </c>
      <c r="D977" t="s">
        <v>45</v>
      </c>
      <c r="E977" t="s">
        <v>46</v>
      </c>
      <c r="F977" s="3">
        <v>289.02999999999997</v>
      </c>
      <c r="G977" s="3">
        <v>0</v>
      </c>
      <c r="H977" s="3">
        <v>289.02999999999997</v>
      </c>
      <c r="I977" t="s">
        <v>451</v>
      </c>
    </row>
    <row r="978" spans="1:9" x14ac:dyDescent="0.35">
      <c r="A978" s="2">
        <v>45382</v>
      </c>
      <c r="B978">
        <v>80</v>
      </c>
      <c r="C978">
        <v>2114010</v>
      </c>
      <c r="D978" t="s">
        <v>48</v>
      </c>
      <c r="E978" t="s">
        <v>46</v>
      </c>
      <c r="F978" s="3">
        <v>0</v>
      </c>
      <c r="G978" s="3">
        <v>289.02999999999997</v>
      </c>
      <c r="H978" s="3">
        <v>-289.02999999999997</v>
      </c>
      <c r="I978" t="s">
        <v>451</v>
      </c>
    </row>
    <row r="979" spans="1:9" x14ac:dyDescent="0.35">
      <c r="A979" s="2">
        <v>45382</v>
      </c>
      <c r="B979">
        <v>80</v>
      </c>
      <c r="C979">
        <v>6121023</v>
      </c>
      <c r="D979" t="s">
        <v>49</v>
      </c>
      <c r="E979" t="s">
        <v>52</v>
      </c>
      <c r="F979" s="3">
        <v>1256.6600000000001</v>
      </c>
      <c r="G979" s="3">
        <v>0</v>
      </c>
      <c r="H979" s="3">
        <v>1256.6600000000001</v>
      </c>
      <c r="I979" t="s">
        <v>452</v>
      </c>
    </row>
    <row r="980" spans="1:9" x14ac:dyDescent="0.35">
      <c r="A980" s="2">
        <v>45382</v>
      </c>
      <c r="B980">
        <v>80</v>
      </c>
      <c r="C980">
        <v>2114010</v>
      </c>
      <c r="D980" t="s">
        <v>48</v>
      </c>
      <c r="E980" t="s">
        <v>52</v>
      </c>
      <c r="F980" s="3">
        <v>0</v>
      </c>
      <c r="G980" s="3">
        <v>1256.6600000000001</v>
      </c>
      <c r="H980" s="3">
        <v>-1256.6600000000001</v>
      </c>
      <c r="I980" t="s">
        <v>452</v>
      </c>
    </row>
    <row r="981" spans="1:9" x14ac:dyDescent="0.35">
      <c r="A981" s="2">
        <v>45382</v>
      </c>
      <c r="B981">
        <v>80</v>
      </c>
      <c r="C981">
        <v>6121023</v>
      </c>
      <c r="D981" t="s">
        <v>49</v>
      </c>
      <c r="E981" t="s">
        <v>172</v>
      </c>
      <c r="F981" s="3">
        <v>80.38</v>
      </c>
      <c r="G981" s="3">
        <v>0</v>
      </c>
      <c r="H981" s="3">
        <v>80.38</v>
      </c>
      <c r="I981" t="s">
        <v>453</v>
      </c>
    </row>
    <row r="982" spans="1:9" x14ac:dyDescent="0.35">
      <c r="A982" s="2">
        <v>45382</v>
      </c>
      <c r="B982">
        <v>80</v>
      </c>
      <c r="C982">
        <v>2114010</v>
      </c>
      <c r="D982" t="s">
        <v>48</v>
      </c>
      <c r="E982" t="s">
        <v>172</v>
      </c>
      <c r="F982" s="3">
        <v>0</v>
      </c>
      <c r="G982" s="3">
        <v>80.38</v>
      </c>
      <c r="H982" s="3">
        <v>-80.38</v>
      </c>
      <c r="I982" t="s">
        <v>453</v>
      </c>
    </row>
    <row r="983" spans="1:9" x14ac:dyDescent="0.35">
      <c r="A983" s="2">
        <v>45382</v>
      </c>
      <c r="B983">
        <v>80</v>
      </c>
      <c r="C983">
        <v>4112003</v>
      </c>
      <c r="D983" t="s">
        <v>58</v>
      </c>
      <c r="E983" t="s">
        <v>59</v>
      </c>
      <c r="F983" s="3">
        <v>0</v>
      </c>
      <c r="G983" s="3">
        <v>4659.41</v>
      </c>
      <c r="H983" s="3">
        <v>-4659.41</v>
      </c>
      <c r="I983" t="s">
        <v>454</v>
      </c>
    </row>
    <row r="984" spans="1:9" x14ac:dyDescent="0.35">
      <c r="A984" s="2">
        <v>45382</v>
      </c>
      <c r="B984">
        <v>80</v>
      </c>
      <c r="C984">
        <v>2121001</v>
      </c>
      <c r="D984" t="s">
        <v>27</v>
      </c>
      <c r="E984" t="s">
        <v>59</v>
      </c>
      <c r="F984" s="3">
        <v>0</v>
      </c>
      <c r="G984" s="3">
        <v>745.51</v>
      </c>
      <c r="H984" s="3">
        <v>-745.51</v>
      </c>
      <c r="I984" t="s">
        <v>454</v>
      </c>
    </row>
    <row r="985" spans="1:9" x14ac:dyDescent="0.35">
      <c r="A985" s="2">
        <v>45382</v>
      </c>
      <c r="B985">
        <v>80</v>
      </c>
      <c r="C985">
        <v>1111001</v>
      </c>
      <c r="D985" t="s">
        <v>16</v>
      </c>
      <c r="E985" t="s">
        <v>59</v>
      </c>
      <c r="F985" s="3">
        <v>5404.92</v>
      </c>
      <c r="G985" s="3">
        <v>0</v>
      </c>
      <c r="H985" s="3">
        <v>5404.92</v>
      </c>
      <c r="I985" t="s">
        <v>454</v>
      </c>
    </row>
    <row r="986" spans="1:9" x14ac:dyDescent="0.35">
      <c r="A986" s="2">
        <v>45382</v>
      </c>
      <c r="B986">
        <v>80</v>
      </c>
      <c r="C986">
        <v>4112003</v>
      </c>
      <c r="D986" t="s">
        <v>58</v>
      </c>
      <c r="E986" t="s">
        <v>59</v>
      </c>
      <c r="F986" s="3">
        <v>0</v>
      </c>
      <c r="G986" s="3">
        <v>1638.05</v>
      </c>
      <c r="H986" s="3">
        <v>-1638.05</v>
      </c>
      <c r="I986" t="s">
        <v>455</v>
      </c>
    </row>
    <row r="987" spans="1:9" x14ac:dyDescent="0.35">
      <c r="A987" s="2">
        <v>45382</v>
      </c>
      <c r="B987">
        <v>80</v>
      </c>
      <c r="C987">
        <v>2121001</v>
      </c>
      <c r="D987" t="s">
        <v>27</v>
      </c>
      <c r="E987" t="s">
        <v>59</v>
      </c>
      <c r="F987" s="3">
        <v>0</v>
      </c>
      <c r="G987" s="3">
        <v>262.08999999999997</v>
      </c>
      <c r="H987" s="3">
        <v>-262.08999999999997</v>
      </c>
      <c r="I987" t="s">
        <v>455</v>
      </c>
    </row>
    <row r="988" spans="1:9" x14ac:dyDescent="0.35">
      <c r="A988" s="2">
        <v>45382</v>
      </c>
      <c r="B988">
        <v>80</v>
      </c>
      <c r="C988">
        <v>1111001</v>
      </c>
      <c r="D988" t="s">
        <v>16</v>
      </c>
      <c r="E988" t="s">
        <v>59</v>
      </c>
      <c r="F988" s="3">
        <v>1900.14</v>
      </c>
      <c r="G988" s="3">
        <v>0</v>
      </c>
      <c r="H988" s="3">
        <v>1900.14</v>
      </c>
      <c r="I988" t="s">
        <v>455</v>
      </c>
    </row>
    <row r="989" spans="1:9" x14ac:dyDescent="0.35">
      <c r="A989" s="2">
        <v>45382</v>
      </c>
      <c r="B989">
        <v>80</v>
      </c>
      <c r="C989">
        <v>4112003</v>
      </c>
      <c r="D989" t="s">
        <v>58</v>
      </c>
      <c r="E989" t="s">
        <v>59</v>
      </c>
      <c r="F989" s="3">
        <v>0</v>
      </c>
      <c r="G989" s="3">
        <v>4311</v>
      </c>
      <c r="H989" s="3">
        <v>-4311</v>
      </c>
      <c r="I989" t="s">
        <v>456</v>
      </c>
    </row>
    <row r="990" spans="1:9" x14ac:dyDescent="0.35">
      <c r="A990" s="2">
        <v>45382</v>
      </c>
      <c r="B990">
        <v>80</v>
      </c>
      <c r="C990">
        <v>2121001</v>
      </c>
      <c r="D990" t="s">
        <v>27</v>
      </c>
      <c r="E990" t="s">
        <v>59</v>
      </c>
      <c r="F990" s="3">
        <v>0</v>
      </c>
      <c r="G990" s="3">
        <v>689.76</v>
      </c>
      <c r="H990" s="3">
        <v>-689.76</v>
      </c>
      <c r="I990" t="s">
        <v>456</v>
      </c>
    </row>
    <row r="991" spans="1:9" x14ac:dyDescent="0.35">
      <c r="A991" s="2">
        <v>45382</v>
      </c>
      <c r="B991">
        <v>80</v>
      </c>
      <c r="C991">
        <v>1111001</v>
      </c>
      <c r="D991" t="s">
        <v>16</v>
      </c>
      <c r="E991" t="s">
        <v>59</v>
      </c>
      <c r="F991" s="3">
        <v>5000.76</v>
      </c>
      <c r="G991" s="3">
        <v>0</v>
      </c>
      <c r="H991" s="3">
        <v>5000.76</v>
      </c>
      <c r="I991" t="s">
        <v>456</v>
      </c>
    </row>
    <row r="992" spans="1:9" x14ac:dyDescent="0.35">
      <c r="A992" s="2">
        <v>45382</v>
      </c>
      <c r="B992">
        <v>80</v>
      </c>
      <c r="C992">
        <v>4112003</v>
      </c>
      <c r="D992" t="s">
        <v>58</v>
      </c>
      <c r="E992" t="s">
        <v>59</v>
      </c>
      <c r="F992" s="3">
        <v>0</v>
      </c>
      <c r="G992" s="3">
        <v>6035.34</v>
      </c>
      <c r="H992" s="3">
        <v>-6035.34</v>
      </c>
      <c r="I992" t="s">
        <v>457</v>
      </c>
    </row>
    <row r="993" spans="1:9" x14ac:dyDescent="0.35">
      <c r="A993" s="2">
        <v>45382</v>
      </c>
      <c r="B993">
        <v>80</v>
      </c>
      <c r="C993">
        <v>2121001</v>
      </c>
      <c r="D993" t="s">
        <v>27</v>
      </c>
      <c r="E993" t="s">
        <v>59</v>
      </c>
      <c r="F993" s="3">
        <v>0</v>
      </c>
      <c r="G993" s="3">
        <v>965.65</v>
      </c>
      <c r="H993" s="3">
        <v>-965.65</v>
      </c>
      <c r="I993" t="s">
        <v>457</v>
      </c>
    </row>
    <row r="994" spans="1:9" x14ac:dyDescent="0.35">
      <c r="A994" s="2">
        <v>45382</v>
      </c>
      <c r="B994">
        <v>80</v>
      </c>
      <c r="C994">
        <v>1111001</v>
      </c>
      <c r="D994" t="s">
        <v>16</v>
      </c>
      <c r="E994" t="s">
        <v>59</v>
      </c>
      <c r="F994" s="3">
        <v>7000.99</v>
      </c>
      <c r="G994" s="3">
        <v>0</v>
      </c>
      <c r="H994" s="3">
        <v>7000.99</v>
      </c>
      <c r="I994" t="s">
        <v>457</v>
      </c>
    </row>
    <row r="995" spans="1:9" x14ac:dyDescent="0.35">
      <c r="A995" s="2">
        <v>45382</v>
      </c>
      <c r="B995">
        <v>80</v>
      </c>
      <c r="C995">
        <v>4112003</v>
      </c>
      <c r="D995" t="s">
        <v>58</v>
      </c>
      <c r="E995" t="s">
        <v>59</v>
      </c>
      <c r="F995" s="3">
        <v>0</v>
      </c>
      <c r="G995" s="3">
        <v>5862.69</v>
      </c>
      <c r="H995" s="3">
        <v>-5862.69</v>
      </c>
      <c r="I995" t="s">
        <v>458</v>
      </c>
    </row>
    <row r="996" spans="1:9" x14ac:dyDescent="0.35">
      <c r="A996" s="2">
        <v>45382</v>
      </c>
      <c r="B996">
        <v>80</v>
      </c>
      <c r="C996">
        <v>2121001</v>
      </c>
      <c r="D996" t="s">
        <v>27</v>
      </c>
      <c r="E996" t="s">
        <v>59</v>
      </c>
      <c r="F996" s="3">
        <v>0</v>
      </c>
      <c r="G996" s="3">
        <v>938.03</v>
      </c>
      <c r="H996" s="3">
        <v>-938.03</v>
      </c>
      <c r="I996" t="s">
        <v>458</v>
      </c>
    </row>
    <row r="997" spans="1:9" x14ac:dyDescent="0.35">
      <c r="A997" s="2">
        <v>45382</v>
      </c>
      <c r="B997">
        <v>80</v>
      </c>
      <c r="C997">
        <v>1111001</v>
      </c>
      <c r="D997" t="s">
        <v>16</v>
      </c>
      <c r="E997" t="s">
        <v>59</v>
      </c>
      <c r="F997" s="3">
        <v>6800.72</v>
      </c>
      <c r="G997" s="3">
        <v>0</v>
      </c>
      <c r="H997" s="3">
        <v>6800.72</v>
      </c>
      <c r="I997" t="s">
        <v>458</v>
      </c>
    </row>
    <row r="998" spans="1:9" x14ac:dyDescent="0.35">
      <c r="A998" s="2">
        <v>45382</v>
      </c>
      <c r="B998">
        <v>80</v>
      </c>
      <c r="C998">
        <v>4112003</v>
      </c>
      <c r="D998" t="s">
        <v>58</v>
      </c>
      <c r="E998" t="s">
        <v>59</v>
      </c>
      <c r="F998" s="3">
        <v>0</v>
      </c>
      <c r="G998" s="3">
        <v>8362.9599999999991</v>
      </c>
      <c r="H998" s="3">
        <v>-8362.9599999999991</v>
      </c>
      <c r="I998" t="s">
        <v>459</v>
      </c>
    </row>
    <row r="999" spans="1:9" x14ac:dyDescent="0.35">
      <c r="A999" s="2">
        <v>45382</v>
      </c>
      <c r="B999">
        <v>80</v>
      </c>
      <c r="C999">
        <v>2121001</v>
      </c>
      <c r="D999" t="s">
        <v>27</v>
      </c>
      <c r="E999" t="s">
        <v>59</v>
      </c>
      <c r="F999" s="3">
        <v>0</v>
      </c>
      <c r="G999" s="3">
        <v>1338.07</v>
      </c>
      <c r="H999" s="3">
        <v>-1338.07</v>
      </c>
      <c r="I999" t="s">
        <v>459</v>
      </c>
    </row>
    <row r="1000" spans="1:9" x14ac:dyDescent="0.35">
      <c r="A1000" s="2">
        <v>45382</v>
      </c>
      <c r="B1000">
        <v>80</v>
      </c>
      <c r="C1000">
        <v>1111001</v>
      </c>
      <c r="D1000" t="s">
        <v>16</v>
      </c>
      <c r="E1000" t="s">
        <v>59</v>
      </c>
      <c r="F1000" s="3">
        <v>9701.0300000000007</v>
      </c>
      <c r="G1000" s="3">
        <v>0</v>
      </c>
      <c r="H1000" s="3">
        <v>9701.0300000000007</v>
      </c>
      <c r="I1000" t="s">
        <v>459</v>
      </c>
    </row>
    <row r="1001" spans="1:9" x14ac:dyDescent="0.35">
      <c r="A1001" s="2">
        <v>45382</v>
      </c>
      <c r="B1001">
        <v>80</v>
      </c>
      <c r="C1001">
        <v>4112003</v>
      </c>
      <c r="D1001" t="s">
        <v>58</v>
      </c>
      <c r="E1001" t="s">
        <v>59</v>
      </c>
      <c r="F1001" s="3">
        <v>0</v>
      </c>
      <c r="G1001" s="3">
        <v>8104.3</v>
      </c>
      <c r="H1001" s="3">
        <v>-8104.3</v>
      </c>
      <c r="I1001" t="s">
        <v>460</v>
      </c>
    </row>
    <row r="1002" spans="1:9" x14ac:dyDescent="0.35">
      <c r="A1002" s="2">
        <v>45382</v>
      </c>
      <c r="B1002">
        <v>80</v>
      </c>
      <c r="C1002">
        <v>2121001</v>
      </c>
      <c r="D1002" t="s">
        <v>27</v>
      </c>
      <c r="E1002" t="s">
        <v>59</v>
      </c>
      <c r="F1002" s="3">
        <v>0</v>
      </c>
      <c r="G1002" s="3">
        <v>1296.69</v>
      </c>
      <c r="H1002" s="3">
        <v>-1296.69</v>
      </c>
      <c r="I1002" t="s">
        <v>460</v>
      </c>
    </row>
    <row r="1003" spans="1:9" x14ac:dyDescent="0.35">
      <c r="A1003" s="2">
        <v>45382</v>
      </c>
      <c r="B1003">
        <v>80</v>
      </c>
      <c r="C1003">
        <v>1111001</v>
      </c>
      <c r="D1003" t="s">
        <v>16</v>
      </c>
      <c r="E1003" t="s">
        <v>59</v>
      </c>
      <c r="F1003" s="3">
        <v>9400.99</v>
      </c>
      <c r="G1003" s="3">
        <v>0</v>
      </c>
      <c r="H1003" s="3">
        <v>9400.99</v>
      </c>
      <c r="I1003" t="s">
        <v>460</v>
      </c>
    </row>
    <row r="1004" spans="1:9" x14ac:dyDescent="0.35">
      <c r="A1004" s="2">
        <v>45382</v>
      </c>
      <c r="B1004">
        <v>80</v>
      </c>
      <c r="C1004">
        <v>4112003</v>
      </c>
      <c r="D1004" t="s">
        <v>58</v>
      </c>
      <c r="E1004" t="s">
        <v>59</v>
      </c>
      <c r="F1004" s="3">
        <v>0</v>
      </c>
      <c r="G1004" s="3">
        <v>4138.3100000000004</v>
      </c>
      <c r="H1004" s="3">
        <v>-4138.3100000000004</v>
      </c>
      <c r="I1004" t="s">
        <v>461</v>
      </c>
    </row>
    <row r="1005" spans="1:9" x14ac:dyDescent="0.35">
      <c r="A1005" s="2">
        <v>45382</v>
      </c>
      <c r="B1005">
        <v>80</v>
      </c>
      <c r="C1005">
        <v>2121001</v>
      </c>
      <c r="D1005" t="s">
        <v>27</v>
      </c>
      <c r="E1005" t="s">
        <v>59</v>
      </c>
      <c r="F1005" s="3">
        <v>0</v>
      </c>
      <c r="G1005" s="3">
        <v>662.13</v>
      </c>
      <c r="H1005" s="3">
        <v>-662.13</v>
      </c>
      <c r="I1005" t="s">
        <v>461</v>
      </c>
    </row>
    <row r="1006" spans="1:9" x14ac:dyDescent="0.35">
      <c r="A1006" s="2">
        <v>45382</v>
      </c>
      <c r="B1006">
        <v>80</v>
      </c>
      <c r="C1006">
        <v>1111001</v>
      </c>
      <c r="D1006" t="s">
        <v>16</v>
      </c>
      <c r="E1006" t="s">
        <v>59</v>
      </c>
      <c r="F1006" s="3">
        <v>4800.4399999999996</v>
      </c>
      <c r="G1006" s="3">
        <v>0</v>
      </c>
      <c r="H1006" s="3">
        <v>4800.4399999999996</v>
      </c>
      <c r="I1006" t="s">
        <v>461</v>
      </c>
    </row>
    <row r="1007" spans="1:9" x14ac:dyDescent="0.35">
      <c r="A1007" s="2">
        <v>45382</v>
      </c>
      <c r="B1007">
        <v>80</v>
      </c>
      <c r="C1007">
        <v>4112003</v>
      </c>
      <c r="D1007" t="s">
        <v>58</v>
      </c>
      <c r="E1007" t="s">
        <v>59</v>
      </c>
      <c r="F1007" s="3">
        <v>0</v>
      </c>
      <c r="G1007" s="3">
        <v>2500.15</v>
      </c>
      <c r="H1007" s="3">
        <v>-2500.15</v>
      </c>
      <c r="I1007" t="s">
        <v>462</v>
      </c>
    </row>
    <row r="1008" spans="1:9" x14ac:dyDescent="0.35">
      <c r="A1008" s="2">
        <v>45382</v>
      </c>
      <c r="B1008">
        <v>80</v>
      </c>
      <c r="C1008">
        <v>2121001</v>
      </c>
      <c r="D1008" t="s">
        <v>27</v>
      </c>
      <c r="E1008" t="s">
        <v>59</v>
      </c>
      <c r="F1008" s="3">
        <v>0</v>
      </c>
      <c r="G1008" s="3">
        <v>400.02</v>
      </c>
      <c r="H1008" s="3">
        <v>-400.02</v>
      </c>
      <c r="I1008" t="s">
        <v>462</v>
      </c>
    </row>
    <row r="1009" spans="1:9" x14ac:dyDescent="0.35">
      <c r="A1009" s="2">
        <v>45382</v>
      </c>
      <c r="B1009">
        <v>80</v>
      </c>
      <c r="C1009">
        <v>1111001</v>
      </c>
      <c r="D1009" t="s">
        <v>16</v>
      </c>
      <c r="E1009" t="s">
        <v>59</v>
      </c>
      <c r="F1009" s="3">
        <v>2900.17</v>
      </c>
      <c r="G1009" s="3">
        <v>0</v>
      </c>
      <c r="H1009" s="3">
        <v>2900.17</v>
      </c>
      <c r="I1009" t="s">
        <v>462</v>
      </c>
    </row>
    <row r="1010" spans="1:9" x14ac:dyDescent="0.35">
      <c r="A1010" s="2">
        <v>45382</v>
      </c>
      <c r="B1010">
        <v>80</v>
      </c>
      <c r="C1010">
        <v>4112003</v>
      </c>
      <c r="D1010" t="s">
        <v>58</v>
      </c>
      <c r="E1010" t="s">
        <v>59</v>
      </c>
      <c r="F1010" s="3">
        <v>0</v>
      </c>
      <c r="G1010" s="3">
        <v>3190.11</v>
      </c>
      <c r="H1010" s="3">
        <v>-3190.11</v>
      </c>
      <c r="I1010" t="s">
        <v>463</v>
      </c>
    </row>
    <row r="1011" spans="1:9" x14ac:dyDescent="0.35">
      <c r="A1011" s="2">
        <v>45382</v>
      </c>
      <c r="B1011">
        <v>80</v>
      </c>
      <c r="C1011">
        <v>2121001</v>
      </c>
      <c r="D1011" t="s">
        <v>27</v>
      </c>
      <c r="E1011" t="s">
        <v>59</v>
      </c>
      <c r="F1011" s="3">
        <v>0</v>
      </c>
      <c r="G1011" s="3">
        <v>510.42</v>
      </c>
      <c r="H1011" s="3">
        <v>-510.42</v>
      </c>
      <c r="I1011" t="s">
        <v>463</v>
      </c>
    </row>
    <row r="1012" spans="1:9" x14ac:dyDescent="0.35">
      <c r="A1012" s="2">
        <v>45382</v>
      </c>
      <c r="B1012">
        <v>80</v>
      </c>
      <c r="C1012">
        <v>1111001</v>
      </c>
      <c r="D1012" t="s">
        <v>16</v>
      </c>
      <c r="E1012" t="s">
        <v>59</v>
      </c>
      <c r="F1012" s="3">
        <v>3700.53</v>
      </c>
      <c r="G1012" s="3">
        <v>0</v>
      </c>
      <c r="H1012" s="3">
        <v>3700.53</v>
      </c>
      <c r="I1012" t="s">
        <v>463</v>
      </c>
    </row>
    <row r="1013" spans="1:9" x14ac:dyDescent="0.35">
      <c r="A1013" s="2">
        <v>45382</v>
      </c>
      <c r="B1013">
        <v>80</v>
      </c>
      <c r="C1013">
        <v>4112003</v>
      </c>
      <c r="D1013" t="s">
        <v>58</v>
      </c>
      <c r="E1013" t="s">
        <v>59</v>
      </c>
      <c r="F1013" s="3">
        <v>0</v>
      </c>
      <c r="G1013" s="3">
        <v>3621.1</v>
      </c>
      <c r="H1013" s="3">
        <v>-3621.1</v>
      </c>
      <c r="I1013" t="s">
        <v>464</v>
      </c>
    </row>
    <row r="1014" spans="1:9" x14ac:dyDescent="0.35">
      <c r="A1014" s="2">
        <v>45382</v>
      </c>
      <c r="B1014">
        <v>80</v>
      </c>
      <c r="C1014">
        <v>2121001</v>
      </c>
      <c r="D1014" t="s">
        <v>27</v>
      </c>
      <c r="E1014" t="s">
        <v>59</v>
      </c>
      <c r="F1014" s="3">
        <v>0</v>
      </c>
      <c r="G1014" s="3">
        <v>579.38</v>
      </c>
      <c r="H1014" s="3">
        <v>-579.38</v>
      </c>
      <c r="I1014" t="s">
        <v>464</v>
      </c>
    </row>
    <row r="1015" spans="1:9" x14ac:dyDescent="0.35">
      <c r="A1015" s="2">
        <v>45382</v>
      </c>
      <c r="B1015">
        <v>80</v>
      </c>
      <c r="C1015">
        <v>1111001</v>
      </c>
      <c r="D1015" t="s">
        <v>16</v>
      </c>
      <c r="E1015" t="s">
        <v>59</v>
      </c>
      <c r="F1015" s="3">
        <v>4200.4799999999996</v>
      </c>
      <c r="G1015" s="3">
        <v>0</v>
      </c>
      <c r="H1015" s="3">
        <v>4200.4799999999996</v>
      </c>
      <c r="I1015" t="s">
        <v>464</v>
      </c>
    </row>
    <row r="1016" spans="1:9" x14ac:dyDescent="0.35">
      <c r="A1016" s="2">
        <v>45382</v>
      </c>
      <c r="B1016">
        <v>80</v>
      </c>
      <c r="C1016">
        <v>4112003</v>
      </c>
      <c r="D1016" t="s">
        <v>58</v>
      </c>
      <c r="E1016" t="s">
        <v>59</v>
      </c>
      <c r="F1016" s="3">
        <v>0</v>
      </c>
      <c r="G1016" s="3">
        <v>1638.22</v>
      </c>
      <c r="H1016" s="3">
        <v>-1638.22</v>
      </c>
      <c r="I1016" t="s">
        <v>465</v>
      </c>
    </row>
    <row r="1017" spans="1:9" x14ac:dyDescent="0.35">
      <c r="A1017" s="2">
        <v>45382</v>
      </c>
      <c r="B1017">
        <v>80</v>
      </c>
      <c r="C1017">
        <v>2121001</v>
      </c>
      <c r="D1017" t="s">
        <v>27</v>
      </c>
      <c r="E1017" t="s">
        <v>59</v>
      </c>
      <c r="F1017" s="3">
        <v>0</v>
      </c>
      <c r="G1017" s="3">
        <v>262.12</v>
      </c>
      <c r="H1017" s="3">
        <v>-262.12</v>
      </c>
      <c r="I1017" t="s">
        <v>465</v>
      </c>
    </row>
    <row r="1018" spans="1:9" x14ac:dyDescent="0.35">
      <c r="A1018" s="2">
        <v>45382</v>
      </c>
      <c r="B1018">
        <v>80</v>
      </c>
      <c r="C1018">
        <v>1111001</v>
      </c>
      <c r="D1018" t="s">
        <v>16</v>
      </c>
      <c r="E1018" t="s">
        <v>59</v>
      </c>
      <c r="F1018" s="3">
        <v>1900.34</v>
      </c>
      <c r="G1018" s="3">
        <v>0</v>
      </c>
      <c r="H1018" s="3">
        <v>1900.34</v>
      </c>
      <c r="I1018" t="s">
        <v>465</v>
      </c>
    </row>
    <row r="1019" spans="1:9" x14ac:dyDescent="0.35">
      <c r="A1019" s="2">
        <v>45382</v>
      </c>
      <c r="B1019">
        <v>80</v>
      </c>
      <c r="C1019">
        <v>4112003</v>
      </c>
      <c r="D1019" t="s">
        <v>58</v>
      </c>
      <c r="E1019" t="s">
        <v>59</v>
      </c>
      <c r="F1019" s="3">
        <v>0</v>
      </c>
      <c r="G1019" s="3">
        <v>775.93</v>
      </c>
      <c r="H1019" s="3">
        <v>-775.93</v>
      </c>
      <c r="I1019" t="s">
        <v>466</v>
      </c>
    </row>
    <row r="1020" spans="1:9" x14ac:dyDescent="0.35">
      <c r="A1020" s="2">
        <v>45382</v>
      </c>
      <c r="B1020">
        <v>80</v>
      </c>
      <c r="C1020">
        <v>2121001</v>
      </c>
      <c r="D1020" t="s">
        <v>27</v>
      </c>
      <c r="E1020" t="s">
        <v>59</v>
      </c>
      <c r="F1020" s="3">
        <v>0</v>
      </c>
      <c r="G1020" s="3">
        <v>124.15</v>
      </c>
      <c r="H1020" s="3">
        <v>-124.15</v>
      </c>
      <c r="I1020" t="s">
        <v>466</v>
      </c>
    </row>
    <row r="1021" spans="1:9" x14ac:dyDescent="0.35">
      <c r="A1021" s="2">
        <v>45382</v>
      </c>
      <c r="B1021">
        <v>80</v>
      </c>
      <c r="C1021">
        <v>1111001</v>
      </c>
      <c r="D1021" t="s">
        <v>16</v>
      </c>
      <c r="E1021" t="s">
        <v>59</v>
      </c>
      <c r="F1021" s="3">
        <v>900.08</v>
      </c>
      <c r="G1021" s="3">
        <v>0</v>
      </c>
      <c r="H1021" s="3">
        <v>900.08</v>
      </c>
      <c r="I1021" t="s">
        <v>466</v>
      </c>
    </row>
    <row r="1022" spans="1:9" x14ac:dyDescent="0.35">
      <c r="A1022" s="2">
        <v>45382</v>
      </c>
      <c r="B1022">
        <v>80</v>
      </c>
      <c r="C1022">
        <v>4112003</v>
      </c>
      <c r="D1022" t="s">
        <v>58</v>
      </c>
      <c r="E1022" t="s">
        <v>59</v>
      </c>
      <c r="F1022" s="3">
        <v>0</v>
      </c>
      <c r="G1022" s="3">
        <v>1293.21</v>
      </c>
      <c r="H1022" s="3">
        <v>-1293.21</v>
      </c>
      <c r="I1022" t="s">
        <v>467</v>
      </c>
    </row>
    <row r="1023" spans="1:9" x14ac:dyDescent="0.35">
      <c r="A1023" s="2">
        <v>45382</v>
      </c>
      <c r="B1023">
        <v>80</v>
      </c>
      <c r="C1023">
        <v>2121001</v>
      </c>
      <c r="D1023" t="s">
        <v>27</v>
      </c>
      <c r="E1023" t="s">
        <v>59</v>
      </c>
      <c r="F1023" s="3">
        <v>0</v>
      </c>
      <c r="G1023" s="3">
        <v>206.91</v>
      </c>
      <c r="H1023" s="3">
        <v>-206.91</v>
      </c>
      <c r="I1023" t="s">
        <v>467</v>
      </c>
    </row>
    <row r="1024" spans="1:9" x14ac:dyDescent="0.35">
      <c r="A1024" s="2">
        <v>45382</v>
      </c>
      <c r="B1024">
        <v>80</v>
      </c>
      <c r="C1024">
        <v>1111001</v>
      </c>
      <c r="D1024" t="s">
        <v>16</v>
      </c>
      <c r="E1024" t="s">
        <v>59</v>
      </c>
      <c r="F1024" s="3">
        <v>1500.12</v>
      </c>
      <c r="G1024" s="3">
        <v>0</v>
      </c>
      <c r="H1024" s="3">
        <v>1500.12</v>
      </c>
      <c r="I1024" t="s">
        <v>467</v>
      </c>
    </row>
    <row r="1025" spans="1:9" x14ac:dyDescent="0.35">
      <c r="A1025" s="2">
        <v>45382</v>
      </c>
      <c r="B1025">
        <v>80</v>
      </c>
      <c r="C1025">
        <v>4112003</v>
      </c>
      <c r="D1025" t="s">
        <v>58</v>
      </c>
      <c r="E1025" t="s">
        <v>59</v>
      </c>
      <c r="F1025" s="3">
        <v>0</v>
      </c>
      <c r="G1025" s="3">
        <v>1293.1500000000001</v>
      </c>
      <c r="H1025" s="3">
        <v>-1293.1500000000001</v>
      </c>
      <c r="I1025" t="s">
        <v>468</v>
      </c>
    </row>
    <row r="1026" spans="1:9" x14ac:dyDescent="0.35">
      <c r="A1026" s="2">
        <v>45382</v>
      </c>
      <c r="B1026">
        <v>80</v>
      </c>
      <c r="C1026">
        <v>2121001</v>
      </c>
      <c r="D1026" t="s">
        <v>27</v>
      </c>
      <c r="E1026" t="s">
        <v>59</v>
      </c>
      <c r="F1026" s="3">
        <v>0</v>
      </c>
      <c r="G1026" s="3">
        <v>206.9</v>
      </c>
      <c r="H1026" s="3">
        <v>-206.9</v>
      </c>
      <c r="I1026" t="s">
        <v>468</v>
      </c>
    </row>
    <row r="1027" spans="1:9" x14ac:dyDescent="0.35">
      <c r="A1027" s="2">
        <v>45382</v>
      </c>
      <c r="B1027">
        <v>80</v>
      </c>
      <c r="C1027">
        <v>1111001</v>
      </c>
      <c r="D1027" t="s">
        <v>16</v>
      </c>
      <c r="E1027" t="s">
        <v>59</v>
      </c>
      <c r="F1027" s="3">
        <v>1500.05</v>
      </c>
      <c r="G1027" s="3">
        <v>0</v>
      </c>
      <c r="H1027" s="3">
        <v>1500.05</v>
      </c>
      <c r="I1027" t="s">
        <v>468</v>
      </c>
    </row>
    <row r="1028" spans="1:9" x14ac:dyDescent="0.35">
      <c r="A1028" s="2">
        <v>45382</v>
      </c>
      <c r="B1028">
        <v>80</v>
      </c>
      <c r="C1028">
        <v>4112004</v>
      </c>
      <c r="D1028" t="s">
        <v>74</v>
      </c>
      <c r="E1028" t="s">
        <v>275</v>
      </c>
      <c r="F1028" s="3">
        <v>0</v>
      </c>
      <c r="G1028" s="3">
        <v>1565.08</v>
      </c>
      <c r="H1028" s="3">
        <v>-1565.08</v>
      </c>
      <c r="I1028" t="s">
        <v>469</v>
      </c>
    </row>
    <row r="1029" spans="1:9" x14ac:dyDescent="0.35">
      <c r="A1029" s="2">
        <v>45382</v>
      </c>
      <c r="B1029">
        <v>80</v>
      </c>
      <c r="C1029">
        <v>2121001</v>
      </c>
      <c r="D1029" t="s">
        <v>27</v>
      </c>
      <c r="E1029" t="s">
        <v>275</v>
      </c>
      <c r="F1029" s="3">
        <v>0</v>
      </c>
      <c r="G1029" s="3">
        <v>250.41</v>
      </c>
      <c r="H1029" s="3">
        <v>-250.41</v>
      </c>
      <c r="I1029" t="s">
        <v>469</v>
      </c>
    </row>
    <row r="1030" spans="1:9" x14ac:dyDescent="0.35">
      <c r="A1030" s="2">
        <v>45382</v>
      </c>
      <c r="B1030">
        <v>80</v>
      </c>
      <c r="C1030">
        <v>1141002</v>
      </c>
      <c r="D1030" t="s">
        <v>23</v>
      </c>
      <c r="E1030" t="s">
        <v>275</v>
      </c>
      <c r="F1030" s="3">
        <v>187.81</v>
      </c>
      <c r="G1030" s="3">
        <v>0</v>
      </c>
      <c r="H1030" s="3">
        <v>187.81</v>
      </c>
      <c r="I1030" t="s">
        <v>469</v>
      </c>
    </row>
    <row r="1031" spans="1:9" x14ac:dyDescent="0.35">
      <c r="A1031" s="2">
        <v>45382</v>
      </c>
      <c r="B1031">
        <v>80</v>
      </c>
      <c r="C1031">
        <v>1142001</v>
      </c>
      <c r="D1031" t="s">
        <v>199</v>
      </c>
      <c r="E1031" t="s">
        <v>275</v>
      </c>
      <c r="F1031" s="3">
        <v>31.3</v>
      </c>
      <c r="G1031" s="3">
        <v>0</v>
      </c>
      <c r="H1031" s="3">
        <v>31.3</v>
      </c>
      <c r="I1031" t="s">
        <v>469</v>
      </c>
    </row>
    <row r="1032" spans="1:9" x14ac:dyDescent="0.35">
      <c r="A1032" s="2">
        <v>45382</v>
      </c>
      <c r="B1032">
        <v>80</v>
      </c>
      <c r="C1032">
        <v>1111001</v>
      </c>
      <c r="D1032" t="s">
        <v>16</v>
      </c>
      <c r="E1032" t="s">
        <v>275</v>
      </c>
      <c r="F1032" s="3">
        <v>1596.38</v>
      </c>
      <c r="G1032" s="3">
        <v>0</v>
      </c>
      <c r="H1032" s="3">
        <v>1596.38</v>
      </c>
      <c r="I1032" t="s">
        <v>469</v>
      </c>
    </row>
    <row r="1033" spans="1:9" x14ac:dyDescent="0.35">
      <c r="A1033" s="2">
        <v>45382</v>
      </c>
      <c r="B1033">
        <v>80</v>
      </c>
      <c r="C1033">
        <v>4112004</v>
      </c>
      <c r="D1033" t="s">
        <v>74</v>
      </c>
      <c r="E1033" t="s">
        <v>197</v>
      </c>
      <c r="F1033" s="3">
        <v>0</v>
      </c>
      <c r="G1033" s="3">
        <v>13755.5</v>
      </c>
      <c r="H1033" s="3">
        <v>-13755.5</v>
      </c>
      <c r="I1033" t="s">
        <v>470</v>
      </c>
    </row>
    <row r="1034" spans="1:9" x14ac:dyDescent="0.35">
      <c r="A1034" s="2">
        <v>45382</v>
      </c>
      <c r="B1034">
        <v>80</v>
      </c>
      <c r="C1034">
        <v>2121001</v>
      </c>
      <c r="D1034" t="s">
        <v>27</v>
      </c>
      <c r="E1034" t="s">
        <v>197</v>
      </c>
      <c r="F1034" s="3">
        <v>0</v>
      </c>
      <c r="G1034" s="3">
        <v>2200.88</v>
      </c>
      <c r="H1034" s="3">
        <v>-2200.88</v>
      </c>
      <c r="I1034" t="s">
        <v>470</v>
      </c>
    </row>
    <row r="1035" spans="1:9" x14ac:dyDescent="0.35">
      <c r="A1035" s="2">
        <v>45382</v>
      </c>
      <c r="B1035">
        <v>80</v>
      </c>
      <c r="C1035">
        <v>1141002</v>
      </c>
      <c r="D1035" t="s">
        <v>23</v>
      </c>
      <c r="E1035" t="s">
        <v>197</v>
      </c>
      <c r="F1035" s="3">
        <v>1650.66</v>
      </c>
      <c r="G1035" s="3">
        <v>0</v>
      </c>
      <c r="H1035" s="3">
        <v>1650.66</v>
      </c>
      <c r="I1035" t="s">
        <v>470</v>
      </c>
    </row>
    <row r="1036" spans="1:9" x14ac:dyDescent="0.35">
      <c r="A1036" s="2">
        <v>45382</v>
      </c>
      <c r="B1036">
        <v>80</v>
      </c>
      <c r="C1036">
        <v>1142001</v>
      </c>
      <c r="D1036" t="s">
        <v>199</v>
      </c>
      <c r="E1036" t="s">
        <v>197</v>
      </c>
      <c r="F1036" s="3">
        <v>275.11</v>
      </c>
      <c r="G1036" s="3">
        <v>0</v>
      </c>
      <c r="H1036" s="3">
        <v>275.11</v>
      </c>
      <c r="I1036" t="s">
        <v>470</v>
      </c>
    </row>
    <row r="1037" spans="1:9" x14ac:dyDescent="0.35">
      <c r="A1037" s="2">
        <v>45382</v>
      </c>
      <c r="B1037">
        <v>80</v>
      </c>
      <c r="C1037">
        <v>6121040</v>
      </c>
      <c r="D1037" t="s">
        <v>98</v>
      </c>
      <c r="E1037" t="s">
        <v>197</v>
      </c>
      <c r="F1037" s="3">
        <v>319.13</v>
      </c>
      <c r="G1037" s="3">
        <v>0</v>
      </c>
      <c r="H1037" s="3">
        <v>319.13</v>
      </c>
      <c r="I1037" t="s">
        <v>470</v>
      </c>
    </row>
    <row r="1038" spans="1:9" x14ac:dyDescent="0.35">
      <c r="A1038" s="2">
        <v>45382</v>
      </c>
      <c r="B1038">
        <v>80</v>
      </c>
      <c r="C1038">
        <v>1111001</v>
      </c>
      <c r="D1038" t="s">
        <v>16</v>
      </c>
      <c r="E1038" t="s">
        <v>197</v>
      </c>
      <c r="F1038" s="3">
        <v>13711.48</v>
      </c>
      <c r="G1038" s="3">
        <v>0</v>
      </c>
      <c r="H1038" s="3">
        <v>13711.48</v>
      </c>
      <c r="I1038" t="s">
        <v>470</v>
      </c>
    </row>
    <row r="1039" spans="1:9" x14ac:dyDescent="0.35">
      <c r="A1039" s="2">
        <v>45382</v>
      </c>
      <c r="B1039">
        <v>80</v>
      </c>
      <c r="C1039">
        <v>5131001</v>
      </c>
      <c r="D1039" t="s">
        <v>86</v>
      </c>
      <c r="E1039" t="s">
        <v>471</v>
      </c>
      <c r="F1039" s="3">
        <v>390</v>
      </c>
      <c r="G1039" s="3">
        <v>0</v>
      </c>
      <c r="H1039" s="3">
        <v>390</v>
      </c>
      <c r="I1039" t="s">
        <v>88</v>
      </c>
    </row>
    <row r="1040" spans="1:9" x14ac:dyDescent="0.35">
      <c r="A1040" s="2">
        <v>45382</v>
      </c>
      <c r="B1040">
        <v>80</v>
      </c>
      <c r="C1040">
        <v>5131005</v>
      </c>
      <c r="D1040" t="s">
        <v>205</v>
      </c>
      <c r="E1040" t="s">
        <v>471</v>
      </c>
      <c r="F1040" s="3">
        <v>4351.2</v>
      </c>
      <c r="G1040" s="3">
        <v>0</v>
      </c>
      <c r="H1040" s="3">
        <v>4351.2</v>
      </c>
      <c r="I1040" t="s">
        <v>88</v>
      </c>
    </row>
    <row r="1041" spans="1:9" x14ac:dyDescent="0.35">
      <c r="A1041" s="2">
        <v>45382</v>
      </c>
      <c r="B1041">
        <v>80</v>
      </c>
      <c r="C1041">
        <v>5131008</v>
      </c>
      <c r="D1041" t="s">
        <v>89</v>
      </c>
      <c r="E1041" t="s">
        <v>471</v>
      </c>
      <c r="F1041" s="3">
        <v>81.900000000000006</v>
      </c>
      <c r="G1041" s="3">
        <v>0</v>
      </c>
      <c r="H1041" s="3">
        <v>81.900000000000006</v>
      </c>
      <c r="I1041" t="s">
        <v>88</v>
      </c>
    </row>
    <row r="1042" spans="1:9" x14ac:dyDescent="0.35">
      <c r="A1042" s="2">
        <v>45382</v>
      </c>
      <c r="B1042">
        <v>80</v>
      </c>
      <c r="C1042">
        <v>5131009</v>
      </c>
      <c r="D1042" t="s">
        <v>90</v>
      </c>
      <c r="E1042" t="s">
        <v>471</v>
      </c>
      <c r="F1042" s="3">
        <v>16.25</v>
      </c>
      <c r="G1042" s="3">
        <v>0</v>
      </c>
      <c r="H1042" s="3">
        <v>16.25</v>
      </c>
      <c r="I1042" t="s">
        <v>88</v>
      </c>
    </row>
    <row r="1043" spans="1:9" x14ac:dyDescent="0.35">
      <c r="A1043" s="2">
        <v>45382</v>
      </c>
      <c r="B1043">
        <v>80</v>
      </c>
      <c r="C1043">
        <v>5131010</v>
      </c>
      <c r="D1043" t="s">
        <v>91</v>
      </c>
      <c r="E1043" t="s">
        <v>471</v>
      </c>
      <c r="F1043" s="3">
        <v>32.5</v>
      </c>
      <c r="G1043" s="3">
        <v>0</v>
      </c>
      <c r="H1043" s="3">
        <v>32.5</v>
      </c>
      <c r="I1043" t="s">
        <v>88</v>
      </c>
    </row>
    <row r="1044" spans="1:9" x14ac:dyDescent="0.35">
      <c r="A1044" s="2">
        <v>45382</v>
      </c>
      <c r="B1044">
        <v>80</v>
      </c>
      <c r="C1044">
        <v>5131012</v>
      </c>
      <c r="D1044" t="s">
        <v>206</v>
      </c>
      <c r="E1044" t="s">
        <v>471</v>
      </c>
      <c r="F1044" s="3">
        <v>28.6</v>
      </c>
      <c r="G1044" s="3">
        <v>0</v>
      </c>
      <c r="H1044" s="3">
        <v>28.6</v>
      </c>
      <c r="I1044" t="s">
        <v>88</v>
      </c>
    </row>
    <row r="1045" spans="1:9" x14ac:dyDescent="0.35">
      <c r="A1045" s="2">
        <v>45382</v>
      </c>
      <c r="B1045">
        <v>80</v>
      </c>
      <c r="C1045">
        <v>5131013</v>
      </c>
      <c r="D1045" t="s">
        <v>92</v>
      </c>
      <c r="E1045" t="s">
        <v>471</v>
      </c>
      <c r="F1045" s="3">
        <v>7.8</v>
      </c>
      <c r="G1045" s="3">
        <v>0</v>
      </c>
      <c r="H1045" s="3">
        <v>7.8</v>
      </c>
      <c r="I1045" t="s">
        <v>88</v>
      </c>
    </row>
    <row r="1046" spans="1:9" x14ac:dyDescent="0.35">
      <c r="A1046" s="2">
        <v>45382</v>
      </c>
      <c r="B1046">
        <v>80</v>
      </c>
      <c r="C1046">
        <v>5131014</v>
      </c>
      <c r="D1046" t="s">
        <v>207</v>
      </c>
      <c r="E1046" t="s">
        <v>471</v>
      </c>
      <c r="F1046" s="3">
        <v>7.8</v>
      </c>
      <c r="G1046" s="3">
        <v>0</v>
      </c>
      <c r="H1046" s="3">
        <v>7.8</v>
      </c>
      <c r="I1046" t="s">
        <v>88</v>
      </c>
    </row>
    <row r="1047" spans="1:9" x14ac:dyDescent="0.35">
      <c r="A1047" s="2">
        <v>45382</v>
      </c>
      <c r="B1047">
        <v>80</v>
      </c>
      <c r="C1047">
        <v>2131002</v>
      </c>
      <c r="D1047" t="s">
        <v>31</v>
      </c>
      <c r="E1047" t="s">
        <v>471</v>
      </c>
      <c r="F1047" s="3">
        <v>0</v>
      </c>
      <c r="G1047" s="3">
        <v>18</v>
      </c>
      <c r="H1047" s="3">
        <v>-18</v>
      </c>
      <c r="I1047" t="s">
        <v>88</v>
      </c>
    </row>
    <row r="1048" spans="1:9" x14ac:dyDescent="0.35">
      <c r="A1048" s="2">
        <v>45382</v>
      </c>
      <c r="B1048">
        <v>80</v>
      </c>
      <c r="C1048">
        <v>2131003</v>
      </c>
      <c r="D1048" t="s">
        <v>32</v>
      </c>
      <c r="E1048" t="s">
        <v>471</v>
      </c>
      <c r="F1048" s="3">
        <v>0</v>
      </c>
      <c r="G1048" s="3">
        <v>2.25</v>
      </c>
      <c r="H1048" s="3">
        <v>-2.25</v>
      </c>
      <c r="I1048" t="s">
        <v>88</v>
      </c>
    </row>
    <row r="1049" spans="1:9" x14ac:dyDescent="0.35">
      <c r="A1049" s="2">
        <v>45382</v>
      </c>
      <c r="B1049">
        <v>80</v>
      </c>
      <c r="C1049">
        <v>2131004</v>
      </c>
      <c r="D1049" t="s">
        <v>33</v>
      </c>
      <c r="E1049" t="s">
        <v>471</v>
      </c>
      <c r="F1049" s="3">
        <v>0</v>
      </c>
      <c r="G1049" s="3">
        <v>6.25</v>
      </c>
      <c r="H1049" s="3">
        <v>-6.25</v>
      </c>
      <c r="I1049" t="s">
        <v>88</v>
      </c>
    </row>
    <row r="1050" spans="1:9" x14ac:dyDescent="0.35">
      <c r="A1050" s="2">
        <v>45382</v>
      </c>
      <c r="B1050">
        <v>80</v>
      </c>
      <c r="C1050">
        <v>2141001</v>
      </c>
      <c r="D1050" t="s">
        <v>35</v>
      </c>
      <c r="E1050" t="s">
        <v>471</v>
      </c>
      <c r="F1050" s="3">
        <v>0</v>
      </c>
      <c r="G1050" s="3">
        <v>28.6</v>
      </c>
      <c r="H1050" s="3">
        <v>-28.6</v>
      </c>
      <c r="I1050" t="s">
        <v>88</v>
      </c>
    </row>
    <row r="1051" spans="1:9" x14ac:dyDescent="0.35">
      <c r="A1051" s="2">
        <v>45382</v>
      </c>
      <c r="B1051">
        <v>80</v>
      </c>
      <c r="C1051">
        <v>2141002</v>
      </c>
      <c r="D1051" t="s">
        <v>36</v>
      </c>
      <c r="E1051" t="s">
        <v>471</v>
      </c>
      <c r="F1051" s="3">
        <v>0</v>
      </c>
      <c r="G1051" s="3">
        <v>7.8</v>
      </c>
      <c r="H1051" s="3">
        <v>-7.8</v>
      </c>
      <c r="I1051" t="s">
        <v>88</v>
      </c>
    </row>
    <row r="1052" spans="1:9" x14ac:dyDescent="0.35">
      <c r="A1052" s="2">
        <v>45382</v>
      </c>
      <c r="B1052">
        <v>80</v>
      </c>
      <c r="C1052">
        <v>2141003</v>
      </c>
      <c r="D1052" t="s">
        <v>37</v>
      </c>
      <c r="E1052" t="s">
        <v>471</v>
      </c>
      <c r="F1052" s="3">
        <v>0</v>
      </c>
      <c r="G1052" s="3">
        <v>7.8</v>
      </c>
      <c r="H1052" s="3">
        <v>-7.8</v>
      </c>
      <c r="I1052" t="s">
        <v>88</v>
      </c>
    </row>
    <row r="1053" spans="1:9" x14ac:dyDescent="0.35">
      <c r="A1053" s="2">
        <v>45382</v>
      </c>
      <c r="B1053">
        <v>80</v>
      </c>
      <c r="C1053">
        <v>2161004</v>
      </c>
      <c r="D1053" t="s">
        <v>38</v>
      </c>
      <c r="E1053" t="s">
        <v>471</v>
      </c>
      <c r="F1053" s="3">
        <v>0</v>
      </c>
      <c r="G1053" s="3">
        <v>16.25</v>
      </c>
      <c r="H1053" s="3">
        <v>-16.25</v>
      </c>
      <c r="I1053" t="s">
        <v>88</v>
      </c>
    </row>
    <row r="1054" spans="1:9" x14ac:dyDescent="0.35">
      <c r="A1054" s="2">
        <v>45382</v>
      </c>
      <c r="B1054">
        <v>80</v>
      </c>
      <c r="C1054">
        <v>2161005</v>
      </c>
      <c r="D1054" t="s">
        <v>39</v>
      </c>
      <c r="E1054" t="s">
        <v>471</v>
      </c>
      <c r="F1054" s="3">
        <v>0</v>
      </c>
      <c r="G1054" s="3">
        <v>32.5</v>
      </c>
      <c r="H1054" s="3">
        <v>-32.5</v>
      </c>
      <c r="I1054" t="s">
        <v>88</v>
      </c>
    </row>
    <row r="1055" spans="1:9" x14ac:dyDescent="0.35">
      <c r="A1055" s="2">
        <v>45382</v>
      </c>
      <c r="B1055">
        <v>80</v>
      </c>
      <c r="C1055">
        <v>2241001</v>
      </c>
      <c r="D1055" t="s">
        <v>40</v>
      </c>
      <c r="E1055" t="s">
        <v>471</v>
      </c>
      <c r="F1055" s="3">
        <v>0</v>
      </c>
      <c r="G1055" s="3">
        <v>81.900000000000006</v>
      </c>
      <c r="H1055" s="3">
        <v>-81.900000000000006</v>
      </c>
      <c r="I1055" t="s">
        <v>88</v>
      </c>
    </row>
    <row r="1056" spans="1:9" x14ac:dyDescent="0.35">
      <c r="A1056" s="2">
        <v>45382</v>
      </c>
      <c r="B1056">
        <v>80</v>
      </c>
      <c r="C1056">
        <v>2161001</v>
      </c>
      <c r="D1056" t="s">
        <v>93</v>
      </c>
      <c r="E1056" t="s">
        <v>471</v>
      </c>
      <c r="F1056" s="3">
        <v>0</v>
      </c>
      <c r="G1056" s="3">
        <v>4714.7</v>
      </c>
      <c r="H1056" s="3">
        <v>-4714.7</v>
      </c>
      <c r="I1056" t="s">
        <v>88</v>
      </c>
    </row>
    <row r="1057" spans="1:9" x14ac:dyDescent="0.35">
      <c r="A1057" s="2">
        <v>45382</v>
      </c>
      <c r="B1057">
        <v>80</v>
      </c>
      <c r="C1057">
        <v>6121040</v>
      </c>
      <c r="D1057" t="s">
        <v>98</v>
      </c>
      <c r="E1057" t="s">
        <v>99</v>
      </c>
      <c r="F1057" s="3">
        <v>374.27</v>
      </c>
      <c r="G1057" s="3">
        <v>0</v>
      </c>
      <c r="H1057" s="3">
        <v>374.27</v>
      </c>
      <c r="I1057" t="s">
        <v>472</v>
      </c>
    </row>
    <row r="1058" spans="1:9" x14ac:dyDescent="0.35">
      <c r="A1058" s="2">
        <v>45382</v>
      </c>
      <c r="B1058">
        <v>80</v>
      </c>
      <c r="C1058">
        <v>6121046</v>
      </c>
      <c r="D1058" t="s">
        <v>94</v>
      </c>
      <c r="E1058" t="s">
        <v>95</v>
      </c>
      <c r="F1058" s="3">
        <v>252.65</v>
      </c>
      <c r="G1058" s="3">
        <v>0</v>
      </c>
      <c r="H1058" s="3">
        <v>252.65</v>
      </c>
      <c r="I1058" t="s">
        <v>472</v>
      </c>
    </row>
    <row r="1059" spans="1:9" x14ac:dyDescent="0.35">
      <c r="A1059" s="2">
        <v>45382</v>
      </c>
      <c r="B1059">
        <v>80</v>
      </c>
      <c r="C1059">
        <v>2121003</v>
      </c>
      <c r="D1059" t="s">
        <v>28</v>
      </c>
      <c r="E1059" t="s">
        <v>473</v>
      </c>
      <c r="F1059" s="3">
        <v>10963.54</v>
      </c>
      <c r="G1059" s="3">
        <v>0</v>
      </c>
      <c r="H1059" s="3">
        <v>10963.54</v>
      </c>
      <c r="I1059" t="s">
        <v>472</v>
      </c>
    </row>
    <row r="1060" spans="1:9" x14ac:dyDescent="0.35">
      <c r="A1060" s="2">
        <v>45382</v>
      </c>
      <c r="B1060">
        <v>80</v>
      </c>
      <c r="C1060">
        <v>2114010</v>
      </c>
      <c r="D1060" t="s">
        <v>48</v>
      </c>
      <c r="E1060" t="s">
        <v>474</v>
      </c>
      <c r="F1060" s="3">
        <v>1000</v>
      </c>
      <c r="G1060" s="3">
        <v>0</v>
      </c>
      <c r="H1060" s="3">
        <v>1000</v>
      </c>
      <c r="I1060" t="s">
        <v>472</v>
      </c>
    </row>
    <row r="1061" spans="1:9" x14ac:dyDescent="0.35">
      <c r="A1061" s="2">
        <v>45382</v>
      </c>
      <c r="B1061">
        <v>80</v>
      </c>
      <c r="C1061">
        <v>2114001</v>
      </c>
      <c r="D1061" t="s">
        <v>97</v>
      </c>
      <c r="E1061" t="s">
        <v>1768</v>
      </c>
      <c r="F1061" s="3">
        <v>3700</v>
      </c>
      <c r="G1061" s="3">
        <v>0</v>
      </c>
      <c r="H1061" s="3">
        <v>3700</v>
      </c>
      <c r="I1061" t="s">
        <v>472</v>
      </c>
    </row>
    <row r="1062" spans="1:9" x14ac:dyDescent="0.35">
      <c r="A1062" s="2">
        <v>45382</v>
      </c>
      <c r="B1062">
        <v>80</v>
      </c>
      <c r="C1062">
        <v>5132002</v>
      </c>
      <c r="D1062" t="s">
        <v>115</v>
      </c>
      <c r="E1062" t="s">
        <v>475</v>
      </c>
      <c r="F1062" s="3">
        <v>3600</v>
      </c>
      <c r="G1062" s="3">
        <v>0</v>
      </c>
      <c r="H1062" s="3">
        <v>3600</v>
      </c>
      <c r="I1062" t="s">
        <v>472</v>
      </c>
    </row>
    <row r="1063" spans="1:9" x14ac:dyDescent="0.35">
      <c r="A1063" s="2">
        <v>45382</v>
      </c>
      <c r="B1063">
        <v>80</v>
      </c>
      <c r="C1063">
        <v>2114010</v>
      </c>
      <c r="D1063" t="s">
        <v>48</v>
      </c>
      <c r="E1063" t="s">
        <v>1771</v>
      </c>
      <c r="F1063" s="3">
        <v>3958</v>
      </c>
      <c r="G1063" s="3">
        <v>0</v>
      </c>
      <c r="H1063" s="3">
        <v>3958</v>
      </c>
      <c r="I1063" t="s">
        <v>472</v>
      </c>
    </row>
    <row r="1064" spans="1:9" x14ac:dyDescent="0.35">
      <c r="A1064" s="2">
        <v>45382</v>
      </c>
      <c r="B1064">
        <v>80</v>
      </c>
      <c r="C1064">
        <v>1112003</v>
      </c>
      <c r="D1064" t="s">
        <v>22</v>
      </c>
      <c r="E1064" t="s">
        <v>476</v>
      </c>
      <c r="F1064" s="3">
        <v>0</v>
      </c>
      <c r="G1064" s="3">
        <v>23848.46</v>
      </c>
      <c r="H1064" s="3">
        <v>-23848.46</v>
      </c>
      <c r="I1064" t="s">
        <v>472</v>
      </c>
    </row>
    <row r="1065" spans="1:9" x14ac:dyDescent="0.35">
      <c r="A1065" s="2">
        <v>45382</v>
      </c>
      <c r="B1065">
        <v>80</v>
      </c>
      <c r="C1065">
        <v>5131006</v>
      </c>
      <c r="D1065" t="s">
        <v>125</v>
      </c>
      <c r="E1065" t="s">
        <v>1771</v>
      </c>
      <c r="F1065" s="3">
        <v>3171.82</v>
      </c>
      <c r="G1065" s="3">
        <v>0</v>
      </c>
      <c r="H1065" s="3">
        <v>3171.82</v>
      </c>
      <c r="I1065" t="s">
        <v>477</v>
      </c>
    </row>
    <row r="1066" spans="1:9" x14ac:dyDescent="0.35">
      <c r="A1066" s="2">
        <v>45382</v>
      </c>
      <c r="B1066">
        <v>80</v>
      </c>
      <c r="C1066">
        <v>2161001</v>
      </c>
      <c r="D1066" t="s">
        <v>93</v>
      </c>
      <c r="E1066" t="s">
        <v>1771</v>
      </c>
      <c r="F1066" s="3">
        <v>786.18</v>
      </c>
      <c r="G1066" s="3">
        <v>0</v>
      </c>
      <c r="H1066" s="3">
        <v>786.18</v>
      </c>
      <c r="I1066" t="s">
        <v>477</v>
      </c>
    </row>
    <row r="1067" spans="1:9" x14ac:dyDescent="0.35">
      <c r="A1067" s="2">
        <v>45382</v>
      </c>
      <c r="B1067">
        <v>80</v>
      </c>
      <c r="C1067">
        <v>2114010</v>
      </c>
      <c r="D1067" t="s">
        <v>48</v>
      </c>
      <c r="E1067" t="s">
        <v>1771</v>
      </c>
      <c r="F1067" s="3">
        <v>0</v>
      </c>
      <c r="G1067" s="3">
        <v>3958</v>
      </c>
      <c r="H1067" s="3">
        <v>-3958</v>
      </c>
      <c r="I1067" t="s">
        <v>477</v>
      </c>
    </row>
    <row r="1068" spans="1:9" x14ac:dyDescent="0.35">
      <c r="A1068" s="2">
        <v>45382</v>
      </c>
      <c r="B1068">
        <v>80</v>
      </c>
      <c r="C1068">
        <v>1112003</v>
      </c>
      <c r="D1068" t="s">
        <v>22</v>
      </c>
      <c r="E1068" t="s">
        <v>478</v>
      </c>
      <c r="F1068" s="3">
        <v>22500</v>
      </c>
      <c r="G1068" s="3">
        <v>0</v>
      </c>
      <c r="H1068" s="3">
        <v>22500</v>
      </c>
      <c r="I1068" t="s">
        <v>472</v>
      </c>
    </row>
    <row r="1069" spans="1:9" x14ac:dyDescent="0.35">
      <c r="A1069" s="2">
        <v>45382</v>
      </c>
      <c r="B1069">
        <v>80</v>
      </c>
      <c r="C1069">
        <v>1111001</v>
      </c>
      <c r="D1069" t="s">
        <v>16</v>
      </c>
      <c r="E1069" t="s">
        <v>111</v>
      </c>
      <c r="F1069" s="3">
        <v>0</v>
      </c>
      <c r="G1069" s="3">
        <v>2500</v>
      </c>
      <c r="H1069" s="3">
        <v>-2500</v>
      </c>
      <c r="I1069" t="s">
        <v>472</v>
      </c>
    </row>
    <row r="1070" spans="1:9" x14ac:dyDescent="0.35">
      <c r="A1070" s="2">
        <v>45382</v>
      </c>
      <c r="B1070">
        <v>80</v>
      </c>
      <c r="C1070">
        <v>1111001</v>
      </c>
      <c r="D1070" t="s">
        <v>16</v>
      </c>
      <c r="E1070" t="s">
        <v>479</v>
      </c>
      <c r="F1070" s="3">
        <v>0</v>
      </c>
      <c r="G1070" s="3">
        <v>20000</v>
      </c>
      <c r="H1070" s="3">
        <v>-20000</v>
      </c>
      <c r="I1070" t="s">
        <v>472</v>
      </c>
    </row>
    <row r="1071" spans="1:9" x14ac:dyDescent="0.35">
      <c r="A1071" s="2">
        <v>45382</v>
      </c>
      <c r="B1071">
        <v>80</v>
      </c>
      <c r="C1071">
        <v>6121040</v>
      </c>
      <c r="D1071" t="s">
        <v>98</v>
      </c>
      <c r="E1071" t="s">
        <v>99</v>
      </c>
      <c r="F1071" s="3">
        <v>101.08</v>
      </c>
      <c r="G1071" s="3">
        <v>0</v>
      </c>
      <c r="H1071" s="3">
        <v>101.08</v>
      </c>
      <c r="I1071" t="s">
        <v>480</v>
      </c>
    </row>
    <row r="1072" spans="1:9" x14ac:dyDescent="0.35">
      <c r="A1072" s="2">
        <v>45382</v>
      </c>
      <c r="B1072">
        <v>80</v>
      </c>
      <c r="C1072">
        <v>6121046</v>
      </c>
      <c r="D1072" t="s">
        <v>94</v>
      </c>
      <c r="E1072" t="s">
        <v>95</v>
      </c>
      <c r="F1072" s="3">
        <v>153.22</v>
      </c>
      <c r="G1072" s="3">
        <v>0</v>
      </c>
      <c r="H1072" s="3">
        <v>153.22</v>
      </c>
      <c r="I1072" t="s">
        <v>480</v>
      </c>
    </row>
    <row r="1073" spans="1:9" x14ac:dyDescent="0.35">
      <c r="A1073" s="2">
        <v>45382</v>
      </c>
      <c r="B1073">
        <v>80</v>
      </c>
      <c r="C1073">
        <v>2114001</v>
      </c>
      <c r="D1073" t="s">
        <v>97</v>
      </c>
      <c r="E1073" t="s">
        <v>1768</v>
      </c>
      <c r="F1073" s="3">
        <v>6180</v>
      </c>
      <c r="G1073" s="3">
        <v>0</v>
      </c>
      <c r="H1073" s="3">
        <v>6180</v>
      </c>
      <c r="I1073" t="s">
        <v>480</v>
      </c>
    </row>
    <row r="1074" spans="1:9" x14ac:dyDescent="0.35">
      <c r="A1074" s="2">
        <v>45382</v>
      </c>
      <c r="B1074">
        <v>80</v>
      </c>
      <c r="C1074">
        <v>6121021</v>
      </c>
      <c r="D1074" t="s">
        <v>102</v>
      </c>
      <c r="E1074" t="s">
        <v>481</v>
      </c>
      <c r="F1074" s="3">
        <v>1031.51</v>
      </c>
      <c r="G1074" s="3">
        <v>0</v>
      </c>
      <c r="H1074" s="3">
        <v>1031.51</v>
      </c>
      <c r="I1074" t="s">
        <v>480</v>
      </c>
    </row>
    <row r="1075" spans="1:9" x14ac:dyDescent="0.35">
      <c r="A1075" s="2">
        <v>45382</v>
      </c>
      <c r="B1075">
        <v>80</v>
      </c>
      <c r="C1075">
        <v>2114001</v>
      </c>
      <c r="D1075" t="s">
        <v>97</v>
      </c>
      <c r="E1075" t="s">
        <v>482</v>
      </c>
      <c r="F1075" s="3">
        <v>182.52</v>
      </c>
      <c r="G1075" s="3">
        <v>0</v>
      </c>
      <c r="H1075" s="3">
        <v>182.52</v>
      </c>
      <c r="I1075" t="s">
        <v>480</v>
      </c>
    </row>
    <row r="1076" spans="1:9" x14ac:dyDescent="0.35">
      <c r="A1076" s="2">
        <v>45382</v>
      </c>
      <c r="B1076">
        <v>80</v>
      </c>
      <c r="C1076">
        <v>6121019</v>
      </c>
      <c r="D1076" t="s">
        <v>100</v>
      </c>
      <c r="E1076" t="s">
        <v>483</v>
      </c>
      <c r="F1076" s="3">
        <v>524.95000000000005</v>
      </c>
      <c r="G1076" s="3">
        <v>0</v>
      </c>
      <c r="H1076" s="3">
        <v>524.95000000000005</v>
      </c>
      <c r="I1076" t="s">
        <v>480</v>
      </c>
    </row>
    <row r="1077" spans="1:9" x14ac:dyDescent="0.35">
      <c r="A1077" s="2">
        <v>45382</v>
      </c>
      <c r="B1077">
        <v>80</v>
      </c>
      <c r="C1077">
        <v>2124007</v>
      </c>
      <c r="D1077" t="s">
        <v>30</v>
      </c>
      <c r="E1077" t="s">
        <v>407</v>
      </c>
      <c r="F1077" s="3">
        <v>78.849999999999994</v>
      </c>
      <c r="G1077" s="3">
        <v>0</v>
      </c>
      <c r="H1077" s="3">
        <v>78.849999999999994</v>
      </c>
      <c r="I1077" t="s">
        <v>480</v>
      </c>
    </row>
    <row r="1078" spans="1:9" x14ac:dyDescent="0.35">
      <c r="A1078" s="2">
        <v>45382</v>
      </c>
      <c r="B1078">
        <v>80</v>
      </c>
      <c r="C1078">
        <v>6121019</v>
      </c>
      <c r="D1078" t="s">
        <v>100</v>
      </c>
      <c r="E1078" t="s">
        <v>484</v>
      </c>
      <c r="F1078" s="3">
        <v>100</v>
      </c>
      <c r="G1078" s="3">
        <v>0</v>
      </c>
      <c r="H1078" s="3">
        <v>100</v>
      </c>
      <c r="I1078" t="s">
        <v>480</v>
      </c>
    </row>
    <row r="1079" spans="1:9" x14ac:dyDescent="0.35">
      <c r="A1079" s="2">
        <v>45382</v>
      </c>
      <c r="B1079">
        <v>80</v>
      </c>
      <c r="C1079">
        <v>1112001</v>
      </c>
      <c r="D1079" t="s">
        <v>20</v>
      </c>
      <c r="E1079" t="s">
        <v>485</v>
      </c>
      <c r="F1079" s="3">
        <v>0</v>
      </c>
      <c r="G1079" s="3">
        <v>8352.1299999999992</v>
      </c>
      <c r="H1079" s="3">
        <v>-8352.1299999999992</v>
      </c>
      <c r="I1079" t="s">
        <v>480</v>
      </c>
    </row>
    <row r="1080" spans="1:9" x14ac:dyDescent="0.35">
      <c r="A1080" s="2">
        <v>45382</v>
      </c>
      <c r="B1080">
        <v>80</v>
      </c>
      <c r="C1080">
        <v>1112001</v>
      </c>
      <c r="D1080" t="s">
        <v>20</v>
      </c>
      <c r="E1080" t="s">
        <v>486</v>
      </c>
      <c r="F1080" s="3">
        <v>8438.7999999999993</v>
      </c>
      <c r="G1080" s="3">
        <v>0</v>
      </c>
      <c r="H1080" s="3">
        <v>8438.7999999999993</v>
      </c>
      <c r="I1080" t="s">
        <v>480</v>
      </c>
    </row>
    <row r="1081" spans="1:9" x14ac:dyDescent="0.35">
      <c r="A1081" s="2">
        <v>45382</v>
      </c>
      <c r="B1081">
        <v>80</v>
      </c>
      <c r="C1081">
        <v>1111001</v>
      </c>
      <c r="D1081" t="s">
        <v>16</v>
      </c>
      <c r="E1081" t="s">
        <v>112</v>
      </c>
      <c r="F1081" s="3">
        <v>0</v>
      </c>
      <c r="G1081" s="3">
        <v>6842.54</v>
      </c>
      <c r="H1081" s="3">
        <v>-6842.54</v>
      </c>
      <c r="I1081" t="s">
        <v>480</v>
      </c>
    </row>
    <row r="1082" spans="1:9" x14ac:dyDescent="0.35">
      <c r="A1082" s="2">
        <v>45382</v>
      </c>
      <c r="B1082">
        <v>80</v>
      </c>
      <c r="C1082">
        <v>1111001</v>
      </c>
      <c r="D1082" t="s">
        <v>16</v>
      </c>
      <c r="E1082" t="s">
        <v>487</v>
      </c>
      <c r="F1082" s="3">
        <v>0</v>
      </c>
      <c r="G1082" s="3">
        <v>1596.26</v>
      </c>
      <c r="H1082" s="3">
        <v>-1596.26</v>
      </c>
      <c r="I1082" t="s">
        <v>480</v>
      </c>
    </row>
    <row r="1083" spans="1:9" x14ac:dyDescent="0.35">
      <c r="A1083" s="2">
        <v>45382</v>
      </c>
      <c r="B1083">
        <v>80</v>
      </c>
      <c r="C1083">
        <v>6121040</v>
      </c>
      <c r="D1083" t="s">
        <v>98</v>
      </c>
      <c r="E1083" t="s">
        <v>99</v>
      </c>
      <c r="F1083" s="3">
        <v>2201.42</v>
      </c>
      <c r="G1083" s="3">
        <v>0</v>
      </c>
      <c r="H1083" s="3">
        <v>2201.42</v>
      </c>
      <c r="I1083" t="s">
        <v>488</v>
      </c>
    </row>
    <row r="1084" spans="1:9" x14ac:dyDescent="0.35">
      <c r="A1084" s="2">
        <v>45382</v>
      </c>
      <c r="B1084">
        <v>80</v>
      </c>
      <c r="C1084">
        <v>6121046</v>
      </c>
      <c r="D1084" t="s">
        <v>94</v>
      </c>
      <c r="E1084" t="s">
        <v>95</v>
      </c>
      <c r="F1084" s="3">
        <v>2503.2199999999998</v>
      </c>
      <c r="G1084" s="3">
        <v>0</v>
      </c>
      <c r="H1084" s="3">
        <v>2503.2199999999998</v>
      </c>
      <c r="I1084" t="s">
        <v>488</v>
      </c>
    </row>
    <row r="1085" spans="1:9" x14ac:dyDescent="0.35">
      <c r="A1085" s="2">
        <v>45382</v>
      </c>
      <c r="B1085">
        <v>80</v>
      </c>
      <c r="C1085">
        <v>2114001</v>
      </c>
      <c r="D1085" t="s">
        <v>97</v>
      </c>
      <c r="E1085" t="s">
        <v>1768</v>
      </c>
      <c r="F1085" s="3">
        <v>32720.55</v>
      </c>
      <c r="G1085" s="3">
        <v>0</v>
      </c>
      <c r="H1085" s="3">
        <v>32720.55</v>
      </c>
      <c r="I1085" t="s">
        <v>488</v>
      </c>
    </row>
    <row r="1086" spans="1:9" x14ac:dyDescent="0.35">
      <c r="A1086" s="2">
        <v>45382</v>
      </c>
      <c r="B1086">
        <v>80</v>
      </c>
      <c r="C1086">
        <v>5132010</v>
      </c>
      <c r="D1086" t="s">
        <v>211</v>
      </c>
      <c r="E1086" t="s">
        <v>489</v>
      </c>
      <c r="F1086" s="3">
        <v>3788</v>
      </c>
      <c r="G1086" s="3">
        <v>0</v>
      </c>
      <c r="H1086" s="3">
        <v>3788</v>
      </c>
      <c r="I1086" t="s">
        <v>488</v>
      </c>
    </row>
    <row r="1087" spans="1:9" x14ac:dyDescent="0.35">
      <c r="A1087" s="2">
        <v>45382</v>
      </c>
      <c r="B1087">
        <v>80</v>
      </c>
      <c r="C1087">
        <v>1111001</v>
      </c>
      <c r="D1087" t="s">
        <v>16</v>
      </c>
      <c r="E1087" t="s">
        <v>132</v>
      </c>
      <c r="F1087" s="3">
        <v>20000</v>
      </c>
      <c r="G1087" s="3">
        <v>0</v>
      </c>
      <c r="H1087" s="3">
        <v>20000</v>
      </c>
      <c r="I1087" t="s">
        <v>488</v>
      </c>
    </row>
    <row r="1088" spans="1:9" x14ac:dyDescent="0.35">
      <c r="A1088" s="2">
        <v>45382</v>
      </c>
      <c r="B1088">
        <v>80</v>
      </c>
      <c r="C1088">
        <v>5131016</v>
      </c>
      <c r="D1088" t="s">
        <v>238</v>
      </c>
      <c r="E1088" t="s">
        <v>292</v>
      </c>
      <c r="F1088" s="3">
        <v>3000</v>
      </c>
      <c r="G1088" s="3">
        <v>0</v>
      </c>
      <c r="H1088" s="3">
        <v>3000</v>
      </c>
      <c r="I1088" t="s">
        <v>488</v>
      </c>
    </row>
    <row r="1089" spans="1:9" x14ac:dyDescent="0.35">
      <c r="A1089" s="2">
        <v>45382</v>
      </c>
      <c r="B1089">
        <v>80</v>
      </c>
      <c r="C1089">
        <v>2121003</v>
      </c>
      <c r="D1089" t="s">
        <v>28</v>
      </c>
      <c r="E1089" t="s">
        <v>490</v>
      </c>
      <c r="F1089" s="3">
        <v>14129.48</v>
      </c>
      <c r="G1089" s="3">
        <v>0</v>
      </c>
      <c r="H1089" s="3">
        <v>14129.48</v>
      </c>
      <c r="I1089" t="s">
        <v>488</v>
      </c>
    </row>
    <row r="1090" spans="1:9" x14ac:dyDescent="0.35">
      <c r="A1090" s="2">
        <v>45382</v>
      </c>
      <c r="B1090">
        <v>80</v>
      </c>
      <c r="C1090">
        <v>5132010</v>
      </c>
      <c r="D1090" t="s">
        <v>211</v>
      </c>
      <c r="E1090" t="s">
        <v>491</v>
      </c>
      <c r="F1090" s="3">
        <v>5682</v>
      </c>
      <c r="G1090" s="3">
        <v>0</v>
      </c>
      <c r="H1090" s="3">
        <v>5682</v>
      </c>
      <c r="I1090" t="s">
        <v>488</v>
      </c>
    </row>
    <row r="1091" spans="1:9" x14ac:dyDescent="0.35">
      <c r="A1091" s="2">
        <v>45382</v>
      </c>
      <c r="B1091">
        <v>80</v>
      </c>
      <c r="C1091">
        <v>2114001</v>
      </c>
      <c r="D1091" t="s">
        <v>97</v>
      </c>
      <c r="E1091" t="s">
        <v>415</v>
      </c>
      <c r="F1091" s="3">
        <v>2000</v>
      </c>
      <c r="G1091" s="3">
        <v>0</v>
      </c>
      <c r="H1091" s="3">
        <v>2000</v>
      </c>
      <c r="I1091" t="s">
        <v>488</v>
      </c>
    </row>
    <row r="1092" spans="1:9" x14ac:dyDescent="0.35">
      <c r="A1092" s="2">
        <v>45382</v>
      </c>
      <c r="B1092">
        <v>80</v>
      </c>
      <c r="C1092">
        <v>2114001</v>
      </c>
      <c r="D1092" t="s">
        <v>97</v>
      </c>
      <c r="E1092" t="s">
        <v>492</v>
      </c>
      <c r="F1092" s="3">
        <v>1307.52</v>
      </c>
      <c r="G1092" s="3">
        <v>0</v>
      </c>
      <c r="H1092" s="3">
        <v>1307.52</v>
      </c>
      <c r="I1092" t="s">
        <v>488</v>
      </c>
    </row>
    <row r="1093" spans="1:9" x14ac:dyDescent="0.35">
      <c r="A1093" s="2">
        <v>45382</v>
      </c>
      <c r="B1093">
        <v>80</v>
      </c>
      <c r="C1093">
        <v>2114001</v>
      </c>
      <c r="D1093" t="s">
        <v>97</v>
      </c>
      <c r="E1093" t="s">
        <v>493</v>
      </c>
      <c r="F1093" s="3">
        <v>5811.2</v>
      </c>
      <c r="G1093" s="3">
        <v>0</v>
      </c>
      <c r="H1093" s="3">
        <v>5811.2</v>
      </c>
      <c r="I1093" t="s">
        <v>488</v>
      </c>
    </row>
    <row r="1094" spans="1:9" x14ac:dyDescent="0.35">
      <c r="A1094" s="2">
        <v>45382</v>
      </c>
      <c r="B1094">
        <v>80</v>
      </c>
      <c r="C1094">
        <v>2114001</v>
      </c>
      <c r="D1094" t="s">
        <v>97</v>
      </c>
      <c r="E1094" t="s">
        <v>1785</v>
      </c>
      <c r="F1094" s="3">
        <v>1623</v>
      </c>
      <c r="G1094" s="3">
        <v>0</v>
      </c>
      <c r="H1094" s="3">
        <v>1623</v>
      </c>
      <c r="I1094" t="s">
        <v>488</v>
      </c>
    </row>
    <row r="1095" spans="1:9" x14ac:dyDescent="0.35">
      <c r="A1095" s="2">
        <v>45382</v>
      </c>
      <c r="B1095">
        <v>80</v>
      </c>
      <c r="C1095">
        <v>6121029</v>
      </c>
      <c r="D1095" t="s">
        <v>217</v>
      </c>
      <c r="E1095" t="s">
        <v>494</v>
      </c>
      <c r="F1095" s="3">
        <v>767.6</v>
      </c>
      <c r="G1095" s="3">
        <v>0</v>
      </c>
      <c r="H1095" s="3">
        <v>767.6</v>
      </c>
      <c r="I1095" t="s">
        <v>488</v>
      </c>
    </row>
    <row r="1096" spans="1:9" x14ac:dyDescent="0.35">
      <c r="A1096" s="2">
        <v>45382</v>
      </c>
      <c r="B1096">
        <v>80</v>
      </c>
      <c r="C1096">
        <v>6121031</v>
      </c>
      <c r="D1096" t="s">
        <v>209</v>
      </c>
      <c r="E1096" t="s">
        <v>495</v>
      </c>
      <c r="F1096" s="3">
        <v>2302.8000000000002</v>
      </c>
      <c r="G1096" s="3">
        <v>0</v>
      </c>
      <c r="H1096" s="3">
        <v>2302.8000000000002</v>
      </c>
      <c r="I1096" t="s">
        <v>488</v>
      </c>
    </row>
    <row r="1097" spans="1:9" x14ac:dyDescent="0.35">
      <c r="A1097" s="2">
        <v>45382</v>
      </c>
      <c r="B1097">
        <v>80</v>
      </c>
      <c r="C1097">
        <v>2114001</v>
      </c>
      <c r="D1097" t="s">
        <v>97</v>
      </c>
      <c r="E1097" t="s">
        <v>496</v>
      </c>
      <c r="F1097" s="3">
        <v>375.1</v>
      </c>
      <c r="G1097" s="3">
        <v>0</v>
      </c>
      <c r="H1097" s="3">
        <v>375.1</v>
      </c>
      <c r="I1097" t="s">
        <v>488</v>
      </c>
    </row>
    <row r="1098" spans="1:9" x14ac:dyDescent="0.35">
      <c r="A1098" s="2">
        <v>45382</v>
      </c>
      <c r="B1098">
        <v>80</v>
      </c>
      <c r="C1098">
        <v>5132002</v>
      </c>
      <c r="D1098" t="s">
        <v>115</v>
      </c>
      <c r="E1098" t="s">
        <v>475</v>
      </c>
      <c r="F1098" s="3">
        <v>26000</v>
      </c>
      <c r="G1098" s="3">
        <v>0</v>
      </c>
      <c r="H1098" s="3">
        <v>26000</v>
      </c>
      <c r="I1098" t="s">
        <v>488</v>
      </c>
    </row>
    <row r="1099" spans="1:9" x14ac:dyDescent="0.35">
      <c r="A1099" s="2">
        <v>45382</v>
      </c>
      <c r="B1099">
        <v>80</v>
      </c>
      <c r="C1099">
        <v>2114010</v>
      </c>
      <c r="D1099" t="s">
        <v>48</v>
      </c>
      <c r="E1099" t="s">
        <v>1771</v>
      </c>
      <c r="F1099" s="3">
        <v>4560</v>
      </c>
      <c r="G1099" s="3">
        <v>0</v>
      </c>
      <c r="H1099" s="3">
        <v>4560</v>
      </c>
      <c r="I1099" t="s">
        <v>488</v>
      </c>
    </row>
    <row r="1100" spans="1:9" x14ac:dyDescent="0.35">
      <c r="A1100" s="2">
        <v>45382</v>
      </c>
      <c r="B1100">
        <v>80</v>
      </c>
      <c r="C1100">
        <v>2114010</v>
      </c>
      <c r="D1100" t="s">
        <v>48</v>
      </c>
      <c r="E1100" t="s">
        <v>1771</v>
      </c>
      <c r="F1100" s="3">
        <v>4560</v>
      </c>
      <c r="G1100" s="3">
        <v>0</v>
      </c>
      <c r="H1100" s="3">
        <v>4560</v>
      </c>
      <c r="I1100" t="s">
        <v>488</v>
      </c>
    </row>
    <row r="1101" spans="1:9" x14ac:dyDescent="0.35">
      <c r="A1101" s="2">
        <v>45382</v>
      </c>
      <c r="B1101">
        <v>80</v>
      </c>
      <c r="C1101">
        <v>2114010</v>
      </c>
      <c r="D1101" t="s">
        <v>48</v>
      </c>
      <c r="E1101" t="s">
        <v>1771</v>
      </c>
      <c r="F1101" s="3">
        <v>3800</v>
      </c>
      <c r="G1101" s="3">
        <v>0</v>
      </c>
      <c r="H1101" s="3">
        <v>3800</v>
      </c>
      <c r="I1101" t="s">
        <v>488</v>
      </c>
    </row>
    <row r="1102" spans="1:9" x14ac:dyDescent="0.35">
      <c r="A1102" s="2">
        <v>45382</v>
      </c>
      <c r="B1102">
        <v>80</v>
      </c>
      <c r="C1102">
        <v>2114010</v>
      </c>
      <c r="D1102" t="s">
        <v>48</v>
      </c>
      <c r="E1102" t="s">
        <v>1771</v>
      </c>
      <c r="F1102" s="3">
        <v>3800</v>
      </c>
      <c r="G1102" s="3">
        <v>0</v>
      </c>
      <c r="H1102" s="3">
        <v>3800</v>
      </c>
      <c r="I1102" t="s">
        <v>488</v>
      </c>
    </row>
    <row r="1103" spans="1:9" x14ac:dyDescent="0.35">
      <c r="A1103" s="2">
        <v>45382</v>
      </c>
      <c r="B1103">
        <v>80</v>
      </c>
      <c r="C1103">
        <v>2124009</v>
      </c>
      <c r="D1103" t="s">
        <v>154</v>
      </c>
      <c r="E1103" t="s">
        <v>497</v>
      </c>
      <c r="F1103" s="3">
        <v>783.45</v>
      </c>
      <c r="G1103" s="3">
        <v>0</v>
      </c>
      <c r="H1103" s="3">
        <v>783.45</v>
      </c>
      <c r="I1103" t="s">
        <v>488</v>
      </c>
    </row>
    <row r="1104" spans="1:9" x14ac:dyDescent="0.35">
      <c r="A1104" s="2">
        <v>45382</v>
      </c>
      <c r="B1104">
        <v>80</v>
      </c>
      <c r="C1104">
        <v>2124004</v>
      </c>
      <c r="D1104" t="s">
        <v>29</v>
      </c>
      <c r="E1104" t="s">
        <v>498</v>
      </c>
      <c r="F1104" s="3">
        <v>1051</v>
      </c>
      <c r="G1104" s="3">
        <v>0</v>
      </c>
      <c r="H1104" s="3">
        <v>1051</v>
      </c>
      <c r="I1104" t="s">
        <v>488</v>
      </c>
    </row>
    <row r="1105" spans="1:9" x14ac:dyDescent="0.35">
      <c r="A1105" s="2">
        <v>45382</v>
      </c>
      <c r="B1105">
        <v>80</v>
      </c>
      <c r="C1105">
        <v>1111001</v>
      </c>
      <c r="D1105" t="s">
        <v>16</v>
      </c>
      <c r="E1105" t="s">
        <v>213</v>
      </c>
      <c r="F1105" s="3">
        <v>2500</v>
      </c>
      <c r="G1105" s="3">
        <v>0</v>
      </c>
      <c r="H1105" s="3">
        <v>2500</v>
      </c>
      <c r="I1105" t="s">
        <v>488</v>
      </c>
    </row>
    <row r="1106" spans="1:9" x14ac:dyDescent="0.35">
      <c r="A1106" s="2">
        <v>45382</v>
      </c>
      <c r="B1106">
        <v>80</v>
      </c>
      <c r="C1106">
        <v>1112002</v>
      </c>
      <c r="D1106" t="s">
        <v>21</v>
      </c>
      <c r="E1106" t="s">
        <v>499</v>
      </c>
      <c r="F1106" s="3">
        <v>0</v>
      </c>
      <c r="G1106" s="3">
        <v>145266.34</v>
      </c>
      <c r="H1106" s="3">
        <v>-145266.34</v>
      </c>
      <c r="I1106" t="s">
        <v>488</v>
      </c>
    </row>
    <row r="1107" spans="1:9" x14ac:dyDescent="0.35">
      <c r="A1107" s="2">
        <v>45382</v>
      </c>
      <c r="B1107">
        <v>80</v>
      </c>
      <c r="C1107">
        <v>5131006</v>
      </c>
      <c r="D1107" t="s">
        <v>125</v>
      </c>
      <c r="E1107" t="s">
        <v>500</v>
      </c>
      <c r="F1107" s="3">
        <v>13575.28</v>
      </c>
      <c r="G1107" s="3">
        <v>0</v>
      </c>
      <c r="H1107" s="3">
        <v>13575.28</v>
      </c>
      <c r="I1107" t="s">
        <v>488</v>
      </c>
    </row>
    <row r="1108" spans="1:9" x14ac:dyDescent="0.35">
      <c r="A1108" s="2">
        <v>45382</v>
      </c>
      <c r="B1108">
        <v>80</v>
      </c>
      <c r="C1108">
        <v>2161001</v>
      </c>
      <c r="D1108" t="s">
        <v>93</v>
      </c>
      <c r="E1108" t="s">
        <v>500</v>
      </c>
      <c r="F1108" s="3">
        <v>3144.72</v>
      </c>
      <c r="G1108" s="3">
        <v>0</v>
      </c>
      <c r="H1108" s="3">
        <v>3144.72</v>
      </c>
      <c r="I1108" t="s">
        <v>488</v>
      </c>
    </row>
    <row r="1109" spans="1:9" x14ac:dyDescent="0.35">
      <c r="A1109" s="2">
        <v>45382</v>
      </c>
      <c r="B1109">
        <v>80</v>
      </c>
      <c r="C1109">
        <v>2114010</v>
      </c>
      <c r="D1109" t="s">
        <v>48</v>
      </c>
      <c r="E1109" t="s">
        <v>500</v>
      </c>
      <c r="F1109" s="3">
        <v>0</v>
      </c>
      <c r="G1109" s="3">
        <v>16720</v>
      </c>
      <c r="H1109" s="3">
        <v>-16720</v>
      </c>
      <c r="I1109" t="s">
        <v>488</v>
      </c>
    </row>
    <row r="1110" spans="1:9" x14ac:dyDescent="0.35">
      <c r="A1110" s="2">
        <v>45382</v>
      </c>
      <c r="B1110">
        <v>80</v>
      </c>
      <c r="C1110">
        <v>2121001</v>
      </c>
      <c r="D1110" t="s">
        <v>27</v>
      </c>
      <c r="E1110" t="s">
        <v>501</v>
      </c>
      <c r="F1110" s="3">
        <v>11639.12</v>
      </c>
      <c r="G1110" s="3">
        <v>0</v>
      </c>
      <c r="H1110" s="3">
        <v>11639.12</v>
      </c>
      <c r="I1110" t="s">
        <v>82</v>
      </c>
    </row>
    <row r="1111" spans="1:9" x14ac:dyDescent="0.35">
      <c r="A1111" s="2">
        <v>45382</v>
      </c>
      <c r="B1111">
        <v>80</v>
      </c>
      <c r="C1111">
        <v>1141001</v>
      </c>
      <c r="D1111" t="s">
        <v>153</v>
      </c>
      <c r="E1111" t="s">
        <v>501</v>
      </c>
      <c r="F1111" s="3">
        <v>0</v>
      </c>
      <c r="G1111" s="3">
        <v>0</v>
      </c>
      <c r="H1111" s="3">
        <v>0</v>
      </c>
      <c r="I1111" t="s">
        <v>82</v>
      </c>
    </row>
    <row r="1112" spans="1:9" x14ac:dyDescent="0.35">
      <c r="A1112" s="2">
        <v>45382</v>
      </c>
      <c r="B1112">
        <v>80</v>
      </c>
      <c r="C1112">
        <v>1141002</v>
      </c>
      <c r="D1112" t="s">
        <v>23</v>
      </c>
      <c r="E1112" t="s">
        <v>501</v>
      </c>
      <c r="F1112" s="3">
        <v>0</v>
      </c>
      <c r="G1112" s="3">
        <v>1838.47</v>
      </c>
      <c r="H1112" s="3">
        <v>-1838.47</v>
      </c>
      <c r="I1112" t="s">
        <v>82</v>
      </c>
    </row>
    <row r="1113" spans="1:9" x14ac:dyDescent="0.35">
      <c r="A1113" s="2">
        <v>45382</v>
      </c>
      <c r="B1113">
        <v>80</v>
      </c>
      <c r="C1113">
        <v>2121003</v>
      </c>
      <c r="D1113" t="s">
        <v>28</v>
      </c>
      <c r="E1113" t="s">
        <v>501</v>
      </c>
      <c r="F1113" s="3">
        <v>0</v>
      </c>
      <c r="G1113" s="3">
        <v>9800.65</v>
      </c>
      <c r="H1113" s="3">
        <v>-9800.65</v>
      </c>
      <c r="I1113" t="s">
        <v>82</v>
      </c>
    </row>
    <row r="1114" spans="1:9" x14ac:dyDescent="0.35">
      <c r="A1114" s="2">
        <v>45382</v>
      </c>
      <c r="B1114">
        <v>80</v>
      </c>
      <c r="C1114">
        <v>1142004</v>
      </c>
      <c r="D1114" t="s">
        <v>83</v>
      </c>
      <c r="E1114" t="s">
        <v>502</v>
      </c>
      <c r="F1114" s="3">
        <v>727.45</v>
      </c>
      <c r="G1114" s="3">
        <v>0</v>
      </c>
      <c r="H1114" s="3">
        <v>727.45</v>
      </c>
      <c r="I1114" t="s">
        <v>503</v>
      </c>
    </row>
    <row r="1115" spans="1:9" x14ac:dyDescent="0.35">
      <c r="A1115" s="2">
        <v>45382</v>
      </c>
      <c r="B1115">
        <v>80</v>
      </c>
      <c r="C1115">
        <v>2124004</v>
      </c>
      <c r="D1115" t="s">
        <v>29</v>
      </c>
      <c r="E1115" t="s">
        <v>502</v>
      </c>
      <c r="F1115" s="3">
        <v>0</v>
      </c>
      <c r="G1115" s="3">
        <v>727.45</v>
      </c>
      <c r="H1115" s="3">
        <v>-727.45</v>
      </c>
      <c r="I1115" t="s">
        <v>503</v>
      </c>
    </row>
    <row r="1116" spans="1:9" x14ac:dyDescent="0.35">
      <c r="A1116" s="2">
        <v>45382</v>
      </c>
      <c r="B1116">
        <v>80</v>
      </c>
      <c r="C1116">
        <v>6121023</v>
      </c>
      <c r="D1116" t="s">
        <v>49</v>
      </c>
      <c r="E1116" t="s">
        <v>504</v>
      </c>
      <c r="F1116" s="3">
        <v>620</v>
      </c>
      <c r="G1116" s="3">
        <v>0</v>
      </c>
      <c r="H1116" s="3">
        <v>620</v>
      </c>
      <c r="I1116" t="s">
        <v>144</v>
      </c>
    </row>
    <row r="1117" spans="1:9" x14ac:dyDescent="0.35">
      <c r="A1117" s="2">
        <v>45382</v>
      </c>
      <c r="B1117">
        <v>80</v>
      </c>
      <c r="C1117">
        <v>2114001</v>
      </c>
      <c r="D1117" t="s">
        <v>97</v>
      </c>
      <c r="E1117" t="s">
        <v>504</v>
      </c>
      <c r="F1117" s="3">
        <v>0</v>
      </c>
      <c r="G1117" s="3">
        <v>620</v>
      </c>
      <c r="H1117" s="3">
        <v>-620</v>
      </c>
      <c r="I1117" t="s">
        <v>144</v>
      </c>
    </row>
    <row r="1118" spans="1:9" x14ac:dyDescent="0.35">
      <c r="A1118" s="2">
        <v>45382</v>
      </c>
      <c r="B1118">
        <v>80</v>
      </c>
      <c r="C1118">
        <v>5131016</v>
      </c>
      <c r="D1118" t="s">
        <v>238</v>
      </c>
      <c r="E1118" t="s">
        <v>505</v>
      </c>
      <c r="F1118" s="3">
        <v>2700</v>
      </c>
      <c r="G1118" s="3">
        <v>0</v>
      </c>
      <c r="H1118" s="3">
        <v>2700</v>
      </c>
      <c r="I1118" t="s">
        <v>144</v>
      </c>
    </row>
    <row r="1119" spans="1:9" x14ac:dyDescent="0.35">
      <c r="A1119" s="2">
        <v>45382</v>
      </c>
      <c r="B1119">
        <v>80</v>
      </c>
      <c r="C1119">
        <v>2114001</v>
      </c>
      <c r="D1119" t="s">
        <v>97</v>
      </c>
      <c r="E1119" t="s">
        <v>505</v>
      </c>
      <c r="F1119" s="3">
        <v>0</v>
      </c>
      <c r="G1119" s="3">
        <v>2700</v>
      </c>
      <c r="H1119" s="3">
        <v>-2700</v>
      </c>
      <c r="I1119" t="s">
        <v>144</v>
      </c>
    </row>
    <row r="1120" spans="1:9" x14ac:dyDescent="0.35">
      <c r="A1120" s="2">
        <v>45382</v>
      </c>
      <c r="B1120">
        <v>80</v>
      </c>
      <c r="C1120">
        <v>1112002</v>
      </c>
      <c r="D1120" t="s">
        <v>21</v>
      </c>
      <c r="E1120" t="s">
        <v>506</v>
      </c>
      <c r="F1120" s="3">
        <v>79454.009999999995</v>
      </c>
      <c r="G1120" s="3">
        <v>0</v>
      </c>
      <c r="H1120" s="3">
        <v>79454.009999999995</v>
      </c>
      <c r="I1120" t="s">
        <v>507</v>
      </c>
    </row>
    <row r="1121" spans="1:9" x14ac:dyDescent="0.35">
      <c r="A1121" s="2">
        <v>45382</v>
      </c>
      <c r="B1121">
        <v>80</v>
      </c>
      <c r="C1121">
        <v>1111001</v>
      </c>
      <c r="D1121" t="s">
        <v>16</v>
      </c>
      <c r="E1121" t="s">
        <v>137</v>
      </c>
      <c r="F1121" s="3">
        <v>0</v>
      </c>
      <c r="G1121" s="3">
        <v>61609.65</v>
      </c>
      <c r="H1121" s="3">
        <v>-61609.65</v>
      </c>
      <c r="I1121" t="s">
        <v>507</v>
      </c>
    </row>
    <row r="1122" spans="1:9" x14ac:dyDescent="0.35">
      <c r="A1122" s="2">
        <v>45382</v>
      </c>
      <c r="B1122">
        <v>80</v>
      </c>
      <c r="C1122">
        <v>1111001</v>
      </c>
      <c r="D1122" t="s">
        <v>16</v>
      </c>
      <c r="E1122" t="s">
        <v>139</v>
      </c>
      <c r="F1122" s="3">
        <v>0</v>
      </c>
      <c r="G1122" s="3">
        <v>13711.48</v>
      </c>
      <c r="H1122" s="3">
        <v>-13711.48</v>
      </c>
      <c r="I1122" t="s">
        <v>507</v>
      </c>
    </row>
    <row r="1123" spans="1:9" x14ac:dyDescent="0.35">
      <c r="A1123" s="2">
        <v>45382</v>
      </c>
      <c r="B1123">
        <v>80</v>
      </c>
      <c r="C1123">
        <v>1111001</v>
      </c>
      <c r="D1123" t="s">
        <v>16</v>
      </c>
      <c r="E1123" t="s">
        <v>508</v>
      </c>
      <c r="F1123" s="3">
        <v>0</v>
      </c>
      <c r="G1123" s="3">
        <v>1500</v>
      </c>
      <c r="H1123" s="3">
        <v>-1500</v>
      </c>
      <c r="I1123" t="s">
        <v>507</v>
      </c>
    </row>
    <row r="1124" spans="1:9" x14ac:dyDescent="0.35">
      <c r="A1124" s="2">
        <v>45382</v>
      </c>
      <c r="B1124">
        <v>80</v>
      </c>
      <c r="C1124">
        <v>1111001</v>
      </c>
      <c r="D1124" t="s">
        <v>16</v>
      </c>
      <c r="E1124" t="s">
        <v>509</v>
      </c>
      <c r="F1124" s="3">
        <v>0</v>
      </c>
      <c r="G1124" s="3">
        <v>1500</v>
      </c>
      <c r="H1124" s="3">
        <v>-1500</v>
      </c>
      <c r="I1124" t="s">
        <v>507</v>
      </c>
    </row>
    <row r="1125" spans="1:9" x14ac:dyDescent="0.35">
      <c r="A1125" s="2">
        <v>45382</v>
      </c>
      <c r="B1125">
        <v>80</v>
      </c>
      <c r="C1125">
        <v>1111001</v>
      </c>
      <c r="D1125" t="s">
        <v>16</v>
      </c>
      <c r="E1125" t="s">
        <v>112</v>
      </c>
      <c r="F1125" s="3">
        <v>0</v>
      </c>
      <c r="G1125" s="3">
        <v>906.5</v>
      </c>
      <c r="H1125" s="3">
        <v>-906.5</v>
      </c>
      <c r="I1125" t="s">
        <v>507</v>
      </c>
    </row>
    <row r="1126" spans="1:9" x14ac:dyDescent="0.35">
      <c r="A1126" s="2">
        <v>45382</v>
      </c>
      <c r="B1126">
        <v>80</v>
      </c>
      <c r="C1126">
        <v>4141003</v>
      </c>
      <c r="D1126" t="s">
        <v>141</v>
      </c>
      <c r="E1126" t="s">
        <v>142</v>
      </c>
      <c r="F1126" s="3">
        <v>0</v>
      </c>
      <c r="G1126" s="3">
        <v>226.38</v>
      </c>
      <c r="H1126" s="3">
        <v>-226.38</v>
      </c>
      <c r="I1126" t="s">
        <v>507</v>
      </c>
    </row>
    <row r="1127" spans="1:9" x14ac:dyDescent="0.35">
      <c r="A1127" s="2">
        <v>45382</v>
      </c>
      <c r="B1127">
        <v>80</v>
      </c>
      <c r="C1127">
        <v>2114010</v>
      </c>
      <c r="D1127" t="s">
        <v>48</v>
      </c>
      <c r="E1127" t="s">
        <v>510</v>
      </c>
      <c r="F1127" s="3">
        <v>7668.69</v>
      </c>
      <c r="G1127" s="3">
        <v>0</v>
      </c>
      <c r="H1127" s="3">
        <v>7668.69</v>
      </c>
      <c r="I1127" t="s">
        <v>144</v>
      </c>
    </row>
    <row r="1128" spans="1:9" x14ac:dyDescent="0.35">
      <c r="A1128" s="2">
        <v>45382</v>
      </c>
      <c r="B1128">
        <v>80</v>
      </c>
      <c r="C1128">
        <v>2114001</v>
      </c>
      <c r="D1128" t="s">
        <v>97</v>
      </c>
      <c r="E1128" t="s">
        <v>510</v>
      </c>
      <c r="F1128" s="3">
        <v>0</v>
      </c>
      <c r="G1128" s="3">
        <v>7668.69</v>
      </c>
      <c r="H1128" s="3">
        <v>-7668.69</v>
      </c>
      <c r="I1128" t="s">
        <v>144</v>
      </c>
    </row>
    <row r="1129" spans="1:9" x14ac:dyDescent="0.35">
      <c r="A1129" s="2">
        <v>45382</v>
      </c>
      <c r="B1129">
        <v>80</v>
      </c>
      <c r="C1129">
        <v>2161001</v>
      </c>
      <c r="D1129" t="s">
        <v>93</v>
      </c>
      <c r="E1129" t="s">
        <v>511</v>
      </c>
      <c r="F1129" s="3">
        <v>783.8</v>
      </c>
      <c r="G1129" s="3">
        <v>0</v>
      </c>
      <c r="H1129" s="3">
        <v>783.8</v>
      </c>
      <c r="I1129" t="s">
        <v>144</v>
      </c>
    </row>
    <row r="1130" spans="1:9" x14ac:dyDescent="0.35">
      <c r="A1130" s="2">
        <v>45382</v>
      </c>
      <c r="B1130">
        <v>80</v>
      </c>
      <c r="C1130">
        <v>2114001</v>
      </c>
      <c r="D1130" t="s">
        <v>97</v>
      </c>
      <c r="E1130" t="s">
        <v>511</v>
      </c>
      <c r="F1130" s="3">
        <v>0</v>
      </c>
      <c r="G1130" s="3">
        <v>783.8</v>
      </c>
      <c r="H1130" s="3">
        <v>-783.8</v>
      </c>
      <c r="I1130" t="s">
        <v>144</v>
      </c>
    </row>
    <row r="1131" spans="1:9" x14ac:dyDescent="0.35">
      <c r="A1131" s="2">
        <v>45397</v>
      </c>
      <c r="B1131">
        <v>81</v>
      </c>
      <c r="C1131">
        <v>6121018</v>
      </c>
      <c r="D1131" t="s">
        <v>150</v>
      </c>
      <c r="E1131" t="s">
        <v>151</v>
      </c>
      <c r="F1131" s="3">
        <v>6478.98</v>
      </c>
      <c r="G1131" s="3">
        <v>0</v>
      </c>
      <c r="H1131" s="3">
        <v>6478.98</v>
      </c>
      <c r="I1131" t="s">
        <v>512</v>
      </c>
    </row>
    <row r="1132" spans="1:9" x14ac:dyDescent="0.35">
      <c r="A1132" s="2">
        <v>45397</v>
      </c>
      <c r="B1132">
        <v>81</v>
      </c>
      <c r="C1132">
        <v>1141001</v>
      </c>
      <c r="D1132" t="s">
        <v>153</v>
      </c>
      <c r="E1132" t="s">
        <v>151</v>
      </c>
      <c r="F1132" s="3">
        <v>1036.6400000000001</v>
      </c>
      <c r="G1132" s="3">
        <v>0</v>
      </c>
      <c r="H1132" s="3">
        <v>1036.6400000000001</v>
      </c>
      <c r="I1132" t="s">
        <v>512</v>
      </c>
    </row>
    <row r="1133" spans="1:9" x14ac:dyDescent="0.35">
      <c r="A1133" s="2">
        <v>45397</v>
      </c>
      <c r="B1133">
        <v>81</v>
      </c>
      <c r="C1133">
        <v>2124009</v>
      </c>
      <c r="D1133" t="s">
        <v>154</v>
      </c>
      <c r="E1133" t="s">
        <v>151</v>
      </c>
      <c r="F1133" s="3">
        <v>0</v>
      </c>
      <c r="G1133" s="3">
        <v>777.48</v>
      </c>
      <c r="H1133" s="3">
        <v>-777.48</v>
      </c>
      <c r="I1133" t="s">
        <v>1438</v>
      </c>
    </row>
    <row r="1134" spans="1:9" x14ac:dyDescent="0.35">
      <c r="A1134" s="2">
        <v>45397</v>
      </c>
      <c r="B1134">
        <v>81</v>
      </c>
      <c r="C1134">
        <v>2122003</v>
      </c>
      <c r="D1134" t="s">
        <v>308</v>
      </c>
      <c r="E1134" t="s">
        <v>151</v>
      </c>
      <c r="F1134" s="3">
        <v>0</v>
      </c>
      <c r="G1134" s="3">
        <v>129.58000000000001</v>
      </c>
      <c r="H1134" s="3">
        <v>-129.58000000000001</v>
      </c>
      <c r="I1134" t="s">
        <v>512</v>
      </c>
    </row>
    <row r="1135" spans="1:9" x14ac:dyDescent="0.35">
      <c r="A1135" s="2">
        <v>45397</v>
      </c>
      <c r="B1135">
        <v>81</v>
      </c>
      <c r="C1135">
        <v>2114010</v>
      </c>
      <c r="D1135" t="s">
        <v>48</v>
      </c>
      <c r="E1135" t="s">
        <v>151</v>
      </c>
      <c r="F1135" s="3">
        <v>0</v>
      </c>
      <c r="G1135" s="3">
        <v>6608.56</v>
      </c>
      <c r="H1135" s="3">
        <v>-6608.56</v>
      </c>
      <c r="I1135" t="s">
        <v>512</v>
      </c>
    </row>
    <row r="1136" spans="1:9" x14ac:dyDescent="0.35">
      <c r="A1136" s="2">
        <v>45397</v>
      </c>
      <c r="B1136">
        <v>81</v>
      </c>
      <c r="C1136">
        <v>6121016</v>
      </c>
      <c r="D1136" t="s">
        <v>156</v>
      </c>
      <c r="E1136" t="s">
        <v>157</v>
      </c>
      <c r="F1136" s="3">
        <v>402.82</v>
      </c>
      <c r="G1136" s="3">
        <v>0</v>
      </c>
      <c r="H1136" s="3">
        <v>402.82</v>
      </c>
      <c r="I1136" t="s">
        <v>513</v>
      </c>
    </row>
    <row r="1137" spans="1:9" x14ac:dyDescent="0.35">
      <c r="A1137" s="2">
        <v>45397</v>
      </c>
      <c r="B1137">
        <v>81</v>
      </c>
      <c r="C1137">
        <v>6121046</v>
      </c>
      <c r="D1137" t="s">
        <v>94</v>
      </c>
      <c r="E1137" t="s">
        <v>157</v>
      </c>
      <c r="F1137" s="3">
        <v>10.88</v>
      </c>
      <c r="G1137" s="3">
        <v>0</v>
      </c>
      <c r="H1137" s="3">
        <v>10.88</v>
      </c>
      <c r="I1137" t="s">
        <v>513</v>
      </c>
    </row>
    <row r="1138" spans="1:9" x14ac:dyDescent="0.35">
      <c r="A1138" s="2">
        <v>45397</v>
      </c>
      <c r="B1138">
        <v>81</v>
      </c>
      <c r="C1138">
        <v>2114010</v>
      </c>
      <c r="D1138" t="s">
        <v>48</v>
      </c>
      <c r="E1138" t="s">
        <v>157</v>
      </c>
      <c r="F1138" s="3">
        <v>0</v>
      </c>
      <c r="G1138" s="3">
        <v>10.88</v>
      </c>
      <c r="H1138" s="3">
        <v>-10.88</v>
      </c>
      <c r="I1138" t="s">
        <v>513</v>
      </c>
    </row>
    <row r="1139" spans="1:9" x14ac:dyDescent="0.35">
      <c r="A1139" s="2">
        <v>45397</v>
      </c>
      <c r="B1139">
        <v>81</v>
      </c>
      <c r="C1139">
        <v>2114010</v>
      </c>
      <c r="D1139" t="s">
        <v>48</v>
      </c>
      <c r="E1139" t="s">
        <v>157</v>
      </c>
      <c r="F1139" s="3">
        <v>0</v>
      </c>
      <c r="G1139" s="3">
        <v>402.82</v>
      </c>
      <c r="H1139" s="3">
        <v>-402.82</v>
      </c>
      <c r="I1139" t="s">
        <v>513</v>
      </c>
    </row>
    <row r="1140" spans="1:9" x14ac:dyDescent="0.35">
      <c r="A1140" s="2">
        <v>45397</v>
      </c>
      <c r="B1140">
        <v>81</v>
      </c>
      <c r="C1140">
        <v>6121023</v>
      </c>
      <c r="D1140" t="s">
        <v>49</v>
      </c>
      <c r="E1140" t="s">
        <v>52</v>
      </c>
      <c r="F1140" s="3">
        <v>131.66</v>
      </c>
      <c r="G1140" s="3">
        <v>0</v>
      </c>
      <c r="H1140" s="3">
        <v>131.66</v>
      </c>
      <c r="I1140" t="s">
        <v>514</v>
      </c>
    </row>
    <row r="1141" spans="1:9" x14ac:dyDescent="0.35">
      <c r="A1141" s="2">
        <v>45397</v>
      </c>
      <c r="B1141">
        <v>81</v>
      </c>
      <c r="C1141">
        <v>2114010</v>
      </c>
      <c r="D1141" t="s">
        <v>48</v>
      </c>
      <c r="E1141" t="s">
        <v>52</v>
      </c>
      <c r="F1141" s="3">
        <v>0</v>
      </c>
      <c r="G1141" s="3">
        <v>131.66</v>
      </c>
      <c r="H1141" s="3">
        <v>-131.66</v>
      </c>
      <c r="I1141" t="s">
        <v>514</v>
      </c>
    </row>
    <row r="1142" spans="1:9" x14ac:dyDescent="0.35">
      <c r="A1142" s="2">
        <v>45397</v>
      </c>
      <c r="B1142">
        <v>81</v>
      </c>
      <c r="C1142">
        <v>6121023</v>
      </c>
      <c r="D1142" t="s">
        <v>49</v>
      </c>
      <c r="E1142" t="s">
        <v>52</v>
      </c>
      <c r="F1142" s="3">
        <v>213.79</v>
      </c>
      <c r="G1142" s="3">
        <v>0</v>
      </c>
      <c r="H1142" s="3">
        <v>213.79</v>
      </c>
      <c r="I1142" t="s">
        <v>515</v>
      </c>
    </row>
    <row r="1143" spans="1:9" x14ac:dyDescent="0.35">
      <c r="A1143" s="2">
        <v>45397</v>
      </c>
      <c r="B1143">
        <v>81</v>
      </c>
      <c r="C1143">
        <v>2114010</v>
      </c>
      <c r="D1143" t="s">
        <v>48</v>
      </c>
      <c r="E1143" t="s">
        <v>52</v>
      </c>
      <c r="F1143" s="3">
        <v>0</v>
      </c>
      <c r="G1143" s="3">
        <v>213.79</v>
      </c>
      <c r="H1143" s="3">
        <v>-213.79</v>
      </c>
      <c r="I1143" t="s">
        <v>515</v>
      </c>
    </row>
    <row r="1144" spans="1:9" x14ac:dyDescent="0.35">
      <c r="A1144" s="2">
        <v>45397</v>
      </c>
      <c r="B1144">
        <v>81</v>
      </c>
      <c r="C1144">
        <v>6121027</v>
      </c>
      <c r="D1144" t="s">
        <v>45</v>
      </c>
      <c r="E1144" t="s">
        <v>46</v>
      </c>
      <c r="F1144" s="3">
        <v>108.32</v>
      </c>
      <c r="G1144" s="3">
        <v>0</v>
      </c>
      <c r="H1144" s="3">
        <v>108.32</v>
      </c>
      <c r="I1144" t="s">
        <v>516</v>
      </c>
    </row>
    <row r="1145" spans="1:9" x14ac:dyDescent="0.35">
      <c r="A1145" s="2">
        <v>45397</v>
      </c>
      <c r="B1145">
        <v>81</v>
      </c>
      <c r="C1145">
        <v>2114010</v>
      </c>
      <c r="D1145" t="s">
        <v>48</v>
      </c>
      <c r="E1145" t="s">
        <v>46</v>
      </c>
      <c r="F1145" s="3">
        <v>0</v>
      </c>
      <c r="G1145" s="3">
        <v>108.32</v>
      </c>
      <c r="H1145" s="3">
        <v>-108.32</v>
      </c>
      <c r="I1145" t="s">
        <v>516</v>
      </c>
    </row>
    <row r="1146" spans="1:9" x14ac:dyDescent="0.35">
      <c r="A1146" s="2">
        <v>45397</v>
      </c>
      <c r="B1146">
        <v>81</v>
      </c>
      <c r="C1146">
        <v>6121023</v>
      </c>
      <c r="D1146" t="s">
        <v>49</v>
      </c>
      <c r="E1146" t="s">
        <v>166</v>
      </c>
      <c r="F1146" s="3">
        <v>256.68</v>
      </c>
      <c r="G1146" s="3">
        <v>0</v>
      </c>
      <c r="H1146" s="3">
        <v>256.68</v>
      </c>
      <c r="I1146" t="s">
        <v>517</v>
      </c>
    </row>
    <row r="1147" spans="1:9" x14ac:dyDescent="0.35">
      <c r="A1147" s="2">
        <v>45397</v>
      </c>
      <c r="B1147">
        <v>81</v>
      </c>
      <c r="C1147">
        <v>2114010</v>
      </c>
      <c r="D1147" t="s">
        <v>48</v>
      </c>
      <c r="E1147" t="s">
        <v>166</v>
      </c>
      <c r="F1147" s="3">
        <v>0</v>
      </c>
      <c r="G1147" s="3">
        <v>256.68</v>
      </c>
      <c r="H1147" s="3">
        <v>-256.68</v>
      </c>
      <c r="I1147" t="s">
        <v>517</v>
      </c>
    </row>
    <row r="1148" spans="1:9" x14ac:dyDescent="0.35">
      <c r="A1148" s="2">
        <v>45397</v>
      </c>
      <c r="B1148">
        <v>81</v>
      </c>
      <c r="C1148">
        <v>6121023</v>
      </c>
      <c r="D1148" t="s">
        <v>49</v>
      </c>
      <c r="E1148" t="s">
        <v>159</v>
      </c>
      <c r="F1148" s="3">
        <v>549.63</v>
      </c>
      <c r="G1148" s="3">
        <v>0</v>
      </c>
      <c r="H1148" s="3">
        <v>549.63</v>
      </c>
      <c r="I1148" t="s">
        <v>518</v>
      </c>
    </row>
    <row r="1149" spans="1:9" x14ac:dyDescent="0.35">
      <c r="A1149" s="2">
        <v>45397</v>
      </c>
      <c r="B1149">
        <v>81</v>
      </c>
      <c r="C1149">
        <v>2114010</v>
      </c>
      <c r="D1149" t="s">
        <v>48</v>
      </c>
      <c r="E1149" t="s">
        <v>159</v>
      </c>
      <c r="F1149" s="3">
        <v>0</v>
      </c>
      <c r="G1149" s="3">
        <v>549.63</v>
      </c>
      <c r="H1149" s="3">
        <v>-549.63</v>
      </c>
      <c r="I1149" t="s">
        <v>518</v>
      </c>
    </row>
    <row r="1150" spans="1:9" x14ac:dyDescent="0.35">
      <c r="A1150" s="2">
        <v>45397</v>
      </c>
      <c r="B1150">
        <v>81</v>
      </c>
      <c r="C1150">
        <v>6121023</v>
      </c>
      <c r="D1150" t="s">
        <v>49</v>
      </c>
      <c r="E1150" t="s">
        <v>52</v>
      </c>
      <c r="F1150" s="3">
        <v>554.34</v>
      </c>
      <c r="G1150" s="3">
        <v>0</v>
      </c>
      <c r="H1150" s="3">
        <v>554.34</v>
      </c>
      <c r="I1150" t="s">
        <v>519</v>
      </c>
    </row>
    <row r="1151" spans="1:9" x14ac:dyDescent="0.35">
      <c r="A1151" s="2">
        <v>45397</v>
      </c>
      <c r="B1151">
        <v>81</v>
      </c>
      <c r="C1151">
        <v>6121046</v>
      </c>
      <c r="D1151" t="s">
        <v>94</v>
      </c>
      <c r="E1151" t="s">
        <v>52</v>
      </c>
      <c r="F1151" s="3">
        <v>16.63</v>
      </c>
      <c r="G1151" s="3">
        <v>0</v>
      </c>
      <c r="H1151" s="3">
        <v>16.63</v>
      </c>
      <c r="I1151" t="s">
        <v>519</v>
      </c>
    </row>
    <row r="1152" spans="1:9" x14ac:dyDescent="0.35">
      <c r="A1152" s="2">
        <v>45397</v>
      </c>
      <c r="B1152">
        <v>81</v>
      </c>
      <c r="C1152">
        <v>2114010</v>
      </c>
      <c r="D1152" t="s">
        <v>48</v>
      </c>
      <c r="E1152" t="s">
        <v>52</v>
      </c>
      <c r="F1152" s="3">
        <v>0</v>
      </c>
      <c r="G1152" s="3">
        <v>16.63</v>
      </c>
      <c r="H1152" s="3">
        <v>-16.63</v>
      </c>
      <c r="I1152" t="s">
        <v>519</v>
      </c>
    </row>
    <row r="1153" spans="1:9" x14ac:dyDescent="0.35">
      <c r="A1153" s="2">
        <v>45397</v>
      </c>
      <c r="B1153">
        <v>81</v>
      </c>
      <c r="C1153">
        <v>2114010</v>
      </c>
      <c r="D1153" t="s">
        <v>48</v>
      </c>
      <c r="E1153" t="s">
        <v>52</v>
      </c>
      <c r="F1153" s="3">
        <v>0</v>
      </c>
      <c r="G1153" s="3">
        <v>554.34</v>
      </c>
      <c r="H1153" s="3">
        <v>-554.34</v>
      </c>
      <c r="I1153" t="s">
        <v>519</v>
      </c>
    </row>
    <row r="1154" spans="1:9" x14ac:dyDescent="0.35">
      <c r="A1154" s="2">
        <v>45397</v>
      </c>
      <c r="B1154">
        <v>81</v>
      </c>
      <c r="C1154">
        <v>6121027</v>
      </c>
      <c r="D1154" t="s">
        <v>45</v>
      </c>
      <c r="E1154" t="s">
        <v>257</v>
      </c>
      <c r="F1154" s="3">
        <v>348.34</v>
      </c>
      <c r="G1154" s="3">
        <v>0</v>
      </c>
      <c r="H1154" s="3">
        <v>348.34</v>
      </c>
      <c r="I1154" t="s">
        <v>520</v>
      </c>
    </row>
    <row r="1155" spans="1:9" x14ac:dyDescent="0.35">
      <c r="A1155" s="2">
        <v>45397</v>
      </c>
      <c r="B1155">
        <v>81</v>
      </c>
      <c r="C1155">
        <v>2114010</v>
      </c>
      <c r="D1155" t="s">
        <v>48</v>
      </c>
      <c r="E1155" t="s">
        <v>257</v>
      </c>
      <c r="F1155" s="3">
        <v>0</v>
      </c>
      <c r="G1155" s="3">
        <v>348.34</v>
      </c>
      <c r="H1155" s="3">
        <v>-348.34</v>
      </c>
      <c r="I1155" t="s">
        <v>520</v>
      </c>
    </row>
    <row r="1156" spans="1:9" x14ac:dyDescent="0.35">
      <c r="A1156" s="2">
        <v>45397</v>
      </c>
      <c r="B1156">
        <v>81</v>
      </c>
      <c r="C1156">
        <v>6121023</v>
      </c>
      <c r="D1156" t="s">
        <v>49</v>
      </c>
      <c r="E1156" t="s">
        <v>52</v>
      </c>
      <c r="F1156" s="3">
        <v>446.14</v>
      </c>
      <c r="G1156" s="3">
        <v>0</v>
      </c>
      <c r="H1156" s="3">
        <v>446.14</v>
      </c>
      <c r="I1156" t="s">
        <v>521</v>
      </c>
    </row>
    <row r="1157" spans="1:9" x14ac:dyDescent="0.35">
      <c r="A1157" s="2">
        <v>45397</v>
      </c>
      <c r="B1157">
        <v>81</v>
      </c>
      <c r="C1157">
        <v>6121046</v>
      </c>
      <c r="D1157" t="s">
        <v>94</v>
      </c>
      <c r="E1157" t="s">
        <v>52</v>
      </c>
      <c r="F1157" s="3">
        <v>10.86</v>
      </c>
      <c r="G1157" s="3">
        <v>0</v>
      </c>
      <c r="H1157" s="3">
        <v>10.86</v>
      </c>
      <c r="I1157" t="s">
        <v>521</v>
      </c>
    </row>
    <row r="1158" spans="1:9" x14ac:dyDescent="0.35">
      <c r="A1158" s="2">
        <v>45397</v>
      </c>
      <c r="B1158">
        <v>81</v>
      </c>
      <c r="C1158">
        <v>2114010</v>
      </c>
      <c r="D1158" t="s">
        <v>48</v>
      </c>
      <c r="E1158" t="s">
        <v>52</v>
      </c>
      <c r="F1158" s="3">
        <v>0</v>
      </c>
      <c r="G1158" s="3">
        <v>10.86</v>
      </c>
      <c r="H1158" s="3">
        <v>-10.86</v>
      </c>
      <c r="I1158" t="s">
        <v>521</v>
      </c>
    </row>
    <row r="1159" spans="1:9" x14ac:dyDescent="0.35">
      <c r="A1159" s="2">
        <v>45397</v>
      </c>
      <c r="B1159">
        <v>81</v>
      </c>
      <c r="C1159">
        <v>2114010</v>
      </c>
      <c r="D1159" t="s">
        <v>48</v>
      </c>
      <c r="E1159" t="s">
        <v>52</v>
      </c>
      <c r="F1159" s="3">
        <v>0</v>
      </c>
      <c r="G1159" s="3">
        <v>446.14</v>
      </c>
      <c r="H1159" s="3">
        <v>-446.14</v>
      </c>
      <c r="I1159" t="s">
        <v>521</v>
      </c>
    </row>
    <row r="1160" spans="1:9" x14ac:dyDescent="0.35">
      <c r="A1160" s="2">
        <v>45397</v>
      </c>
      <c r="B1160">
        <v>81</v>
      </c>
      <c r="C1160">
        <v>6121023</v>
      </c>
      <c r="D1160" t="s">
        <v>49</v>
      </c>
      <c r="E1160" t="s">
        <v>166</v>
      </c>
      <c r="F1160" s="3">
        <v>1139.46</v>
      </c>
      <c r="G1160" s="3">
        <v>0</v>
      </c>
      <c r="H1160" s="3">
        <v>1139.46</v>
      </c>
      <c r="I1160" t="s">
        <v>522</v>
      </c>
    </row>
    <row r="1161" spans="1:9" x14ac:dyDescent="0.35">
      <c r="A1161" s="2">
        <v>45397</v>
      </c>
      <c r="B1161">
        <v>81</v>
      </c>
      <c r="C1161">
        <v>2114010</v>
      </c>
      <c r="D1161" t="s">
        <v>48</v>
      </c>
      <c r="E1161" t="s">
        <v>166</v>
      </c>
      <c r="F1161" s="3">
        <v>0</v>
      </c>
      <c r="G1161" s="3">
        <v>1139.46</v>
      </c>
      <c r="H1161" s="3">
        <v>-1139.46</v>
      </c>
      <c r="I1161" t="s">
        <v>522</v>
      </c>
    </row>
    <row r="1162" spans="1:9" x14ac:dyDescent="0.35">
      <c r="A1162" s="2">
        <v>45397</v>
      </c>
      <c r="B1162">
        <v>81</v>
      </c>
      <c r="C1162">
        <v>6121023</v>
      </c>
      <c r="D1162" t="s">
        <v>49</v>
      </c>
      <c r="E1162" t="s">
        <v>52</v>
      </c>
      <c r="F1162" s="3">
        <v>832.09</v>
      </c>
      <c r="G1162" s="3">
        <v>0</v>
      </c>
      <c r="H1162" s="3">
        <v>832.09</v>
      </c>
      <c r="I1162" t="s">
        <v>523</v>
      </c>
    </row>
    <row r="1163" spans="1:9" x14ac:dyDescent="0.35">
      <c r="A1163" s="2">
        <v>45397</v>
      </c>
      <c r="B1163">
        <v>81</v>
      </c>
      <c r="C1163">
        <v>2114010</v>
      </c>
      <c r="D1163" t="s">
        <v>48</v>
      </c>
      <c r="E1163" t="s">
        <v>52</v>
      </c>
      <c r="F1163" s="3">
        <v>0</v>
      </c>
      <c r="G1163" s="3">
        <v>832.09</v>
      </c>
      <c r="H1163" s="3">
        <v>-832.09</v>
      </c>
      <c r="I1163" t="s">
        <v>523</v>
      </c>
    </row>
    <row r="1164" spans="1:9" x14ac:dyDescent="0.35">
      <c r="A1164" s="2">
        <v>45397</v>
      </c>
      <c r="B1164">
        <v>81</v>
      </c>
      <c r="C1164">
        <v>6121027</v>
      </c>
      <c r="D1164" t="s">
        <v>45</v>
      </c>
      <c r="E1164" t="s">
        <v>257</v>
      </c>
      <c r="F1164" s="3">
        <v>132.31</v>
      </c>
      <c r="G1164" s="3">
        <v>0</v>
      </c>
      <c r="H1164" s="3">
        <v>132.31</v>
      </c>
      <c r="I1164" t="s">
        <v>524</v>
      </c>
    </row>
    <row r="1165" spans="1:9" x14ac:dyDescent="0.35">
      <c r="A1165" s="2">
        <v>45397</v>
      </c>
      <c r="B1165">
        <v>81</v>
      </c>
      <c r="C1165">
        <v>2114010</v>
      </c>
      <c r="D1165" t="s">
        <v>48</v>
      </c>
      <c r="E1165" t="s">
        <v>257</v>
      </c>
      <c r="F1165" s="3">
        <v>0</v>
      </c>
      <c r="G1165" s="3">
        <v>132.31</v>
      </c>
      <c r="H1165" s="3">
        <v>-132.31</v>
      </c>
      <c r="I1165" t="s">
        <v>524</v>
      </c>
    </row>
    <row r="1166" spans="1:9" x14ac:dyDescent="0.35">
      <c r="A1166" s="2">
        <v>45397</v>
      </c>
      <c r="B1166">
        <v>81</v>
      </c>
      <c r="C1166">
        <v>6121023</v>
      </c>
      <c r="D1166" t="s">
        <v>49</v>
      </c>
      <c r="E1166" t="s">
        <v>172</v>
      </c>
      <c r="F1166" s="3">
        <v>151.43</v>
      </c>
      <c r="G1166" s="3">
        <v>0</v>
      </c>
      <c r="H1166" s="3">
        <v>151.43</v>
      </c>
      <c r="I1166" t="s">
        <v>525</v>
      </c>
    </row>
    <row r="1167" spans="1:9" x14ac:dyDescent="0.35">
      <c r="A1167" s="2">
        <v>45397</v>
      </c>
      <c r="B1167">
        <v>81</v>
      </c>
      <c r="C1167">
        <v>2114010</v>
      </c>
      <c r="D1167" t="s">
        <v>48</v>
      </c>
      <c r="E1167" t="s">
        <v>172</v>
      </c>
      <c r="F1167" s="3">
        <v>0</v>
      </c>
      <c r="G1167" s="3">
        <v>151.43</v>
      </c>
      <c r="H1167" s="3">
        <v>-151.43</v>
      </c>
      <c r="I1167" t="s">
        <v>525</v>
      </c>
    </row>
    <row r="1168" spans="1:9" x14ac:dyDescent="0.35">
      <c r="A1168" s="2">
        <v>45397</v>
      </c>
      <c r="B1168">
        <v>81</v>
      </c>
      <c r="C1168">
        <v>6121023</v>
      </c>
      <c r="D1168" t="s">
        <v>49</v>
      </c>
      <c r="E1168" t="s">
        <v>166</v>
      </c>
      <c r="F1168" s="3">
        <v>379.9</v>
      </c>
      <c r="G1168" s="3">
        <v>0</v>
      </c>
      <c r="H1168" s="3">
        <v>379.9</v>
      </c>
      <c r="I1168" t="s">
        <v>526</v>
      </c>
    </row>
    <row r="1169" spans="1:9" x14ac:dyDescent="0.35">
      <c r="A1169" s="2">
        <v>45397</v>
      </c>
      <c r="B1169">
        <v>81</v>
      </c>
      <c r="C1169">
        <v>2114010</v>
      </c>
      <c r="D1169" t="s">
        <v>48</v>
      </c>
      <c r="E1169" t="s">
        <v>166</v>
      </c>
      <c r="F1169" s="3">
        <v>0</v>
      </c>
      <c r="G1169" s="3">
        <v>379.9</v>
      </c>
      <c r="H1169" s="3">
        <v>-379.9</v>
      </c>
      <c r="I1169" t="s">
        <v>526</v>
      </c>
    </row>
    <row r="1170" spans="1:9" x14ac:dyDescent="0.35">
      <c r="A1170" s="2">
        <v>45397</v>
      </c>
      <c r="B1170">
        <v>81</v>
      </c>
      <c r="C1170">
        <v>4112003</v>
      </c>
      <c r="D1170" t="s">
        <v>58</v>
      </c>
      <c r="E1170" t="s">
        <v>59</v>
      </c>
      <c r="F1170" s="3">
        <v>0</v>
      </c>
      <c r="G1170" s="3">
        <v>4224.6099999999997</v>
      </c>
      <c r="H1170" s="3">
        <v>-4224.6099999999997</v>
      </c>
      <c r="I1170" t="s">
        <v>527</v>
      </c>
    </row>
    <row r="1171" spans="1:9" x14ac:dyDescent="0.35">
      <c r="A1171" s="2">
        <v>45397</v>
      </c>
      <c r="B1171">
        <v>81</v>
      </c>
      <c r="C1171">
        <v>2121001</v>
      </c>
      <c r="D1171" t="s">
        <v>27</v>
      </c>
      <c r="E1171" t="s">
        <v>59</v>
      </c>
      <c r="F1171" s="3">
        <v>0</v>
      </c>
      <c r="G1171" s="3">
        <v>675.94</v>
      </c>
      <c r="H1171" s="3">
        <v>-675.94</v>
      </c>
      <c r="I1171" t="s">
        <v>527</v>
      </c>
    </row>
    <row r="1172" spans="1:9" x14ac:dyDescent="0.35">
      <c r="A1172" s="2">
        <v>45397</v>
      </c>
      <c r="B1172">
        <v>81</v>
      </c>
      <c r="C1172">
        <v>1111001</v>
      </c>
      <c r="D1172" t="s">
        <v>16</v>
      </c>
      <c r="E1172" t="s">
        <v>59</v>
      </c>
      <c r="F1172" s="3">
        <v>4900.55</v>
      </c>
      <c r="G1172" s="3">
        <v>0</v>
      </c>
      <c r="H1172" s="3">
        <v>4900.55</v>
      </c>
      <c r="I1172" t="s">
        <v>527</v>
      </c>
    </row>
    <row r="1173" spans="1:9" x14ac:dyDescent="0.35">
      <c r="A1173" s="2">
        <v>45397</v>
      </c>
      <c r="B1173">
        <v>81</v>
      </c>
      <c r="C1173">
        <v>4112003</v>
      </c>
      <c r="D1173" t="s">
        <v>58</v>
      </c>
      <c r="E1173" t="s">
        <v>59</v>
      </c>
      <c r="F1173" s="3">
        <v>0</v>
      </c>
      <c r="G1173" s="3">
        <v>4138.5</v>
      </c>
      <c r="H1173" s="3">
        <v>-4138.5</v>
      </c>
      <c r="I1173" t="s">
        <v>528</v>
      </c>
    </row>
    <row r="1174" spans="1:9" x14ac:dyDescent="0.35">
      <c r="A1174" s="2">
        <v>45397</v>
      </c>
      <c r="B1174">
        <v>81</v>
      </c>
      <c r="C1174">
        <v>2121001</v>
      </c>
      <c r="D1174" t="s">
        <v>27</v>
      </c>
      <c r="E1174" t="s">
        <v>59</v>
      </c>
      <c r="F1174" s="3">
        <v>0</v>
      </c>
      <c r="G1174" s="3">
        <v>662.16</v>
      </c>
      <c r="H1174" s="3">
        <v>-662.16</v>
      </c>
      <c r="I1174" t="s">
        <v>528</v>
      </c>
    </row>
    <row r="1175" spans="1:9" x14ac:dyDescent="0.35">
      <c r="A1175" s="2">
        <v>45397</v>
      </c>
      <c r="B1175">
        <v>81</v>
      </c>
      <c r="C1175">
        <v>1111001</v>
      </c>
      <c r="D1175" t="s">
        <v>16</v>
      </c>
      <c r="E1175" t="s">
        <v>59</v>
      </c>
      <c r="F1175" s="3">
        <v>4800.66</v>
      </c>
      <c r="G1175" s="3">
        <v>0</v>
      </c>
      <c r="H1175" s="3">
        <v>4800.66</v>
      </c>
      <c r="I1175" t="s">
        <v>528</v>
      </c>
    </row>
    <row r="1176" spans="1:9" x14ac:dyDescent="0.35">
      <c r="A1176" s="2">
        <v>45397</v>
      </c>
      <c r="B1176">
        <v>81</v>
      </c>
      <c r="C1176">
        <v>4112003</v>
      </c>
      <c r="D1176" t="s">
        <v>58</v>
      </c>
      <c r="E1176" t="s">
        <v>59</v>
      </c>
      <c r="F1176" s="3">
        <v>0</v>
      </c>
      <c r="G1176" s="3">
        <v>6724.9</v>
      </c>
      <c r="H1176" s="3">
        <v>-6724.9</v>
      </c>
      <c r="I1176" t="s">
        <v>529</v>
      </c>
    </row>
    <row r="1177" spans="1:9" x14ac:dyDescent="0.35">
      <c r="A1177" s="2">
        <v>45397</v>
      </c>
      <c r="B1177">
        <v>81</v>
      </c>
      <c r="C1177">
        <v>2121001</v>
      </c>
      <c r="D1177" t="s">
        <v>27</v>
      </c>
      <c r="E1177" t="s">
        <v>59</v>
      </c>
      <c r="F1177" s="3">
        <v>0</v>
      </c>
      <c r="G1177" s="3">
        <v>1075.98</v>
      </c>
      <c r="H1177" s="3">
        <v>-1075.98</v>
      </c>
      <c r="I1177" t="s">
        <v>529</v>
      </c>
    </row>
    <row r="1178" spans="1:9" x14ac:dyDescent="0.35">
      <c r="A1178" s="2">
        <v>45397</v>
      </c>
      <c r="B1178">
        <v>81</v>
      </c>
      <c r="C1178">
        <v>1111001</v>
      </c>
      <c r="D1178" t="s">
        <v>16</v>
      </c>
      <c r="E1178" t="s">
        <v>59</v>
      </c>
      <c r="F1178" s="3">
        <v>7800.88</v>
      </c>
      <c r="G1178" s="3">
        <v>0</v>
      </c>
      <c r="H1178" s="3">
        <v>7800.88</v>
      </c>
      <c r="I1178" t="s">
        <v>529</v>
      </c>
    </row>
    <row r="1179" spans="1:9" x14ac:dyDescent="0.35">
      <c r="A1179" s="2">
        <v>45397</v>
      </c>
      <c r="B1179">
        <v>81</v>
      </c>
      <c r="C1179">
        <v>4112003</v>
      </c>
      <c r="D1179" t="s">
        <v>58</v>
      </c>
      <c r="E1179" t="s">
        <v>59</v>
      </c>
      <c r="F1179" s="3">
        <v>0</v>
      </c>
      <c r="G1179" s="3">
        <v>5604.67</v>
      </c>
      <c r="H1179" s="3">
        <v>-5604.67</v>
      </c>
      <c r="I1179" t="s">
        <v>530</v>
      </c>
    </row>
    <row r="1180" spans="1:9" x14ac:dyDescent="0.35">
      <c r="A1180" s="2">
        <v>45397</v>
      </c>
      <c r="B1180">
        <v>81</v>
      </c>
      <c r="C1180">
        <v>2121001</v>
      </c>
      <c r="D1180" t="s">
        <v>27</v>
      </c>
      <c r="E1180" t="s">
        <v>59</v>
      </c>
      <c r="F1180" s="3">
        <v>0</v>
      </c>
      <c r="G1180" s="3">
        <v>896.75</v>
      </c>
      <c r="H1180" s="3">
        <v>-896.75</v>
      </c>
      <c r="I1180" t="s">
        <v>530</v>
      </c>
    </row>
    <row r="1181" spans="1:9" x14ac:dyDescent="0.35">
      <c r="A1181" s="2">
        <v>45397</v>
      </c>
      <c r="B1181">
        <v>81</v>
      </c>
      <c r="C1181">
        <v>1111001</v>
      </c>
      <c r="D1181" t="s">
        <v>16</v>
      </c>
      <c r="E1181" t="s">
        <v>59</v>
      </c>
      <c r="F1181" s="3">
        <v>6501.42</v>
      </c>
      <c r="G1181" s="3">
        <v>0</v>
      </c>
      <c r="H1181" s="3">
        <v>6501.42</v>
      </c>
      <c r="I1181" t="s">
        <v>530</v>
      </c>
    </row>
    <row r="1182" spans="1:9" x14ac:dyDescent="0.35">
      <c r="A1182" s="2">
        <v>45397</v>
      </c>
      <c r="B1182">
        <v>81</v>
      </c>
      <c r="C1182">
        <v>4112003</v>
      </c>
      <c r="D1182" t="s">
        <v>58</v>
      </c>
      <c r="E1182" t="s">
        <v>59</v>
      </c>
      <c r="F1182" s="3">
        <v>0</v>
      </c>
      <c r="G1182" s="3">
        <v>6207.55</v>
      </c>
      <c r="H1182" s="3">
        <v>-6207.55</v>
      </c>
      <c r="I1182" t="s">
        <v>531</v>
      </c>
    </row>
    <row r="1183" spans="1:9" x14ac:dyDescent="0.35">
      <c r="A1183" s="2">
        <v>45397</v>
      </c>
      <c r="B1183">
        <v>81</v>
      </c>
      <c r="C1183">
        <v>2121001</v>
      </c>
      <c r="D1183" t="s">
        <v>27</v>
      </c>
      <c r="E1183" t="s">
        <v>59</v>
      </c>
      <c r="F1183" s="3">
        <v>0</v>
      </c>
      <c r="G1183" s="3">
        <v>993.21</v>
      </c>
      <c r="H1183" s="3">
        <v>-993.21</v>
      </c>
      <c r="I1183" t="s">
        <v>531</v>
      </c>
    </row>
    <row r="1184" spans="1:9" x14ac:dyDescent="0.35">
      <c r="A1184" s="2">
        <v>45397</v>
      </c>
      <c r="B1184">
        <v>81</v>
      </c>
      <c r="C1184">
        <v>1111001</v>
      </c>
      <c r="D1184" t="s">
        <v>16</v>
      </c>
      <c r="E1184" t="s">
        <v>59</v>
      </c>
      <c r="F1184" s="3">
        <v>7200.76</v>
      </c>
      <c r="G1184" s="3">
        <v>0</v>
      </c>
      <c r="H1184" s="3">
        <v>7200.76</v>
      </c>
      <c r="I1184" t="s">
        <v>531</v>
      </c>
    </row>
    <row r="1185" spans="1:9" x14ac:dyDescent="0.35">
      <c r="A1185" s="2">
        <v>45397</v>
      </c>
      <c r="B1185">
        <v>81</v>
      </c>
      <c r="C1185">
        <v>4112003</v>
      </c>
      <c r="D1185" t="s">
        <v>58</v>
      </c>
      <c r="E1185" t="s">
        <v>59</v>
      </c>
      <c r="F1185" s="3">
        <v>0</v>
      </c>
      <c r="G1185" s="3">
        <v>4224.4799999999996</v>
      </c>
      <c r="H1185" s="3">
        <v>-4224.4799999999996</v>
      </c>
      <c r="I1185" t="s">
        <v>532</v>
      </c>
    </row>
    <row r="1186" spans="1:9" x14ac:dyDescent="0.35">
      <c r="A1186" s="2">
        <v>45397</v>
      </c>
      <c r="B1186">
        <v>81</v>
      </c>
      <c r="C1186">
        <v>2121001</v>
      </c>
      <c r="D1186" t="s">
        <v>27</v>
      </c>
      <c r="E1186" t="s">
        <v>59</v>
      </c>
      <c r="F1186" s="3">
        <v>0</v>
      </c>
      <c r="G1186" s="3">
        <v>675.92</v>
      </c>
      <c r="H1186" s="3">
        <v>-675.92</v>
      </c>
      <c r="I1186" t="s">
        <v>532</v>
      </c>
    </row>
    <row r="1187" spans="1:9" x14ac:dyDescent="0.35">
      <c r="A1187" s="2">
        <v>45397</v>
      </c>
      <c r="B1187">
        <v>81</v>
      </c>
      <c r="C1187">
        <v>1111001</v>
      </c>
      <c r="D1187" t="s">
        <v>16</v>
      </c>
      <c r="E1187" t="s">
        <v>59</v>
      </c>
      <c r="F1187" s="3">
        <v>4900.3999999999996</v>
      </c>
      <c r="G1187" s="3">
        <v>0</v>
      </c>
      <c r="H1187" s="3">
        <v>4900.3999999999996</v>
      </c>
      <c r="I1187" t="s">
        <v>532</v>
      </c>
    </row>
    <row r="1188" spans="1:9" x14ac:dyDescent="0.35">
      <c r="A1188" s="2">
        <v>45397</v>
      </c>
      <c r="B1188">
        <v>81</v>
      </c>
      <c r="C1188">
        <v>4112003</v>
      </c>
      <c r="D1188" t="s">
        <v>58</v>
      </c>
      <c r="E1188" t="s">
        <v>59</v>
      </c>
      <c r="F1188" s="3">
        <v>0</v>
      </c>
      <c r="G1188" s="3">
        <v>2586.38</v>
      </c>
      <c r="H1188" s="3">
        <v>-2586.38</v>
      </c>
      <c r="I1188" t="s">
        <v>533</v>
      </c>
    </row>
    <row r="1189" spans="1:9" x14ac:dyDescent="0.35">
      <c r="A1189" s="2">
        <v>45397</v>
      </c>
      <c r="B1189">
        <v>81</v>
      </c>
      <c r="C1189">
        <v>2121001</v>
      </c>
      <c r="D1189" t="s">
        <v>27</v>
      </c>
      <c r="E1189" t="s">
        <v>59</v>
      </c>
      <c r="F1189" s="3">
        <v>0</v>
      </c>
      <c r="G1189" s="3">
        <v>413.82</v>
      </c>
      <c r="H1189" s="3">
        <v>-413.82</v>
      </c>
      <c r="I1189" t="s">
        <v>533</v>
      </c>
    </row>
    <row r="1190" spans="1:9" x14ac:dyDescent="0.35">
      <c r="A1190" s="2">
        <v>45397</v>
      </c>
      <c r="B1190">
        <v>81</v>
      </c>
      <c r="C1190">
        <v>1111001</v>
      </c>
      <c r="D1190" t="s">
        <v>16</v>
      </c>
      <c r="E1190" t="s">
        <v>59</v>
      </c>
      <c r="F1190" s="3">
        <v>3000.2</v>
      </c>
      <c r="G1190" s="3">
        <v>0</v>
      </c>
      <c r="H1190" s="3">
        <v>3000.2</v>
      </c>
      <c r="I1190" t="s">
        <v>533</v>
      </c>
    </row>
    <row r="1191" spans="1:9" x14ac:dyDescent="0.35">
      <c r="A1191" s="2">
        <v>45397</v>
      </c>
      <c r="B1191">
        <v>81</v>
      </c>
      <c r="C1191">
        <v>4112003</v>
      </c>
      <c r="D1191" t="s">
        <v>58</v>
      </c>
      <c r="E1191" t="s">
        <v>59</v>
      </c>
      <c r="F1191" s="3">
        <v>0</v>
      </c>
      <c r="G1191" s="3">
        <v>5259.26</v>
      </c>
      <c r="H1191" s="3">
        <v>-5259.26</v>
      </c>
      <c r="I1191" t="s">
        <v>534</v>
      </c>
    </row>
    <row r="1192" spans="1:9" x14ac:dyDescent="0.35">
      <c r="A1192" s="2">
        <v>45397</v>
      </c>
      <c r="B1192">
        <v>81</v>
      </c>
      <c r="C1192">
        <v>2121001</v>
      </c>
      <c r="D1192" t="s">
        <v>27</v>
      </c>
      <c r="E1192" t="s">
        <v>59</v>
      </c>
      <c r="F1192" s="3">
        <v>0</v>
      </c>
      <c r="G1192" s="3">
        <v>841.48</v>
      </c>
      <c r="H1192" s="3">
        <v>-841.48</v>
      </c>
      <c r="I1192" t="s">
        <v>534</v>
      </c>
    </row>
    <row r="1193" spans="1:9" x14ac:dyDescent="0.35">
      <c r="A1193" s="2">
        <v>45397</v>
      </c>
      <c r="B1193">
        <v>81</v>
      </c>
      <c r="C1193">
        <v>1111001</v>
      </c>
      <c r="D1193" t="s">
        <v>16</v>
      </c>
      <c r="E1193" t="s">
        <v>59</v>
      </c>
      <c r="F1193" s="3">
        <v>6100.74</v>
      </c>
      <c r="G1193" s="3">
        <v>0</v>
      </c>
      <c r="H1193" s="3">
        <v>6100.74</v>
      </c>
      <c r="I1193" t="s">
        <v>534</v>
      </c>
    </row>
    <row r="1194" spans="1:9" x14ac:dyDescent="0.35">
      <c r="A1194" s="2">
        <v>45397</v>
      </c>
      <c r="B1194">
        <v>81</v>
      </c>
      <c r="C1194">
        <v>4112003</v>
      </c>
      <c r="D1194" t="s">
        <v>58</v>
      </c>
      <c r="E1194" t="s">
        <v>59</v>
      </c>
      <c r="F1194" s="3">
        <v>0</v>
      </c>
      <c r="G1194" s="3">
        <v>7500.97</v>
      </c>
      <c r="H1194" s="3">
        <v>-7500.97</v>
      </c>
      <c r="I1194" t="s">
        <v>535</v>
      </c>
    </row>
    <row r="1195" spans="1:9" x14ac:dyDescent="0.35">
      <c r="A1195" s="2">
        <v>45397</v>
      </c>
      <c r="B1195">
        <v>81</v>
      </c>
      <c r="C1195">
        <v>2121001</v>
      </c>
      <c r="D1195" t="s">
        <v>27</v>
      </c>
      <c r="E1195" t="s">
        <v>59</v>
      </c>
      <c r="F1195" s="3">
        <v>0</v>
      </c>
      <c r="G1195" s="3">
        <v>1200.1600000000001</v>
      </c>
      <c r="H1195" s="3">
        <v>-1200.1600000000001</v>
      </c>
      <c r="I1195" t="s">
        <v>535</v>
      </c>
    </row>
    <row r="1196" spans="1:9" x14ac:dyDescent="0.35">
      <c r="A1196" s="2">
        <v>45397</v>
      </c>
      <c r="B1196">
        <v>81</v>
      </c>
      <c r="C1196">
        <v>1111001</v>
      </c>
      <c r="D1196" t="s">
        <v>16</v>
      </c>
      <c r="E1196" t="s">
        <v>59</v>
      </c>
      <c r="F1196" s="3">
        <v>8701.1299999999992</v>
      </c>
      <c r="G1196" s="3">
        <v>0</v>
      </c>
      <c r="H1196" s="3">
        <v>8701.1299999999992</v>
      </c>
      <c r="I1196" t="s">
        <v>535</v>
      </c>
    </row>
    <row r="1197" spans="1:9" x14ac:dyDescent="0.35">
      <c r="A1197" s="2">
        <v>45397</v>
      </c>
      <c r="B1197">
        <v>81</v>
      </c>
      <c r="C1197">
        <v>4112003</v>
      </c>
      <c r="D1197" t="s">
        <v>58</v>
      </c>
      <c r="E1197" t="s">
        <v>59</v>
      </c>
      <c r="F1197" s="3">
        <v>0</v>
      </c>
      <c r="G1197" s="3">
        <v>5345.6</v>
      </c>
      <c r="H1197" s="3">
        <v>-5345.6</v>
      </c>
      <c r="I1197" t="s">
        <v>536</v>
      </c>
    </row>
    <row r="1198" spans="1:9" x14ac:dyDescent="0.35">
      <c r="A1198" s="2">
        <v>45397</v>
      </c>
      <c r="B1198">
        <v>81</v>
      </c>
      <c r="C1198">
        <v>2121001</v>
      </c>
      <c r="D1198" t="s">
        <v>27</v>
      </c>
      <c r="E1198" t="s">
        <v>59</v>
      </c>
      <c r="F1198" s="3">
        <v>0</v>
      </c>
      <c r="G1198" s="3">
        <v>855.3</v>
      </c>
      <c r="H1198" s="3">
        <v>-855.3</v>
      </c>
      <c r="I1198" t="s">
        <v>536</v>
      </c>
    </row>
    <row r="1199" spans="1:9" x14ac:dyDescent="0.35">
      <c r="A1199" s="2">
        <v>45397</v>
      </c>
      <c r="B1199">
        <v>81</v>
      </c>
      <c r="C1199">
        <v>1111001</v>
      </c>
      <c r="D1199" t="s">
        <v>16</v>
      </c>
      <c r="E1199" t="s">
        <v>59</v>
      </c>
      <c r="F1199" s="3">
        <v>6200.9</v>
      </c>
      <c r="G1199" s="3">
        <v>0</v>
      </c>
      <c r="H1199" s="3">
        <v>6200.9</v>
      </c>
      <c r="I1199" t="s">
        <v>536</v>
      </c>
    </row>
    <row r="1200" spans="1:9" x14ac:dyDescent="0.35">
      <c r="A1200" s="2">
        <v>45397</v>
      </c>
      <c r="B1200">
        <v>81</v>
      </c>
      <c r="C1200">
        <v>4112003</v>
      </c>
      <c r="D1200" t="s">
        <v>58</v>
      </c>
      <c r="E1200" t="s">
        <v>59</v>
      </c>
      <c r="F1200" s="3">
        <v>0</v>
      </c>
      <c r="G1200" s="3">
        <v>5259.24</v>
      </c>
      <c r="H1200" s="3">
        <v>-5259.24</v>
      </c>
      <c r="I1200" t="s">
        <v>537</v>
      </c>
    </row>
    <row r="1201" spans="1:9" x14ac:dyDescent="0.35">
      <c r="A1201" s="2">
        <v>45397</v>
      </c>
      <c r="B1201">
        <v>81</v>
      </c>
      <c r="C1201">
        <v>2121001</v>
      </c>
      <c r="D1201" t="s">
        <v>27</v>
      </c>
      <c r="E1201" t="s">
        <v>59</v>
      </c>
      <c r="F1201" s="3">
        <v>0</v>
      </c>
      <c r="G1201" s="3">
        <v>841.48</v>
      </c>
      <c r="H1201" s="3">
        <v>-841.48</v>
      </c>
      <c r="I1201" t="s">
        <v>537</v>
      </c>
    </row>
    <row r="1202" spans="1:9" x14ac:dyDescent="0.35">
      <c r="A1202" s="2">
        <v>45397</v>
      </c>
      <c r="B1202">
        <v>81</v>
      </c>
      <c r="C1202">
        <v>1111001</v>
      </c>
      <c r="D1202" t="s">
        <v>16</v>
      </c>
      <c r="E1202" t="s">
        <v>59</v>
      </c>
      <c r="F1202" s="3">
        <v>6100.72</v>
      </c>
      <c r="G1202" s="3">
        <v>0</v>
      </c>
      <c r="H1202" s="3">
        <v>6100.72</v>
      </c>
      <c r="I1202" t="s">
        <v>537</v>
      </c>
    </row>
    <row r="1203" spans="1:9" x14ac:dyDescent="0.35">
      <c r="A1203" s="2">
        <v>45397</v>
      </c>
      <c r="B1203">
        <v>81</v>
      </c>
      <c r="C1203">
        <v>4112003</v>
      </c>
      <c r="D1203" t="s">
        <v>58</v>
      </c>
      <c r="E1203" t="s">
        <v>59</v>
      </c>
      <c r="F1203" s="3">
        <v>0</v>
      </c>
      <c r="G1203" s="3">
        <v>7845.72</v>
      </c>
      <c r="H1203" s="3">
        <v>-7845.72</v>
      </c>
      <c r="I1203" t="s">
        <v>538</v>
      </c>
    </row>
    <row r="1204" spans="1:9" x14ac:dyDescent="0.35">
      <c r="A1204" s="2">
        <v>45397</v>
      </c>
      <c r="B1204">
        <v>81</v>
      </c>
      <c r="C1204">
        <v>2121001</v>
      </c>
      <c r="D1204" t="s">
        <v>27</v>
      </c>
      <c r="E1204" t="s">
        <v>59</v>
      </c>
      <c r="F1204" s="3">
        <v>0</v>
      </c>
      <c r="G1204" s="3">
        <v>1255.32</v>
      </c>
      <c r="H1204" s="3">
        <v>-1255.32</v>
      </c>
      <c r="I1204" t="s">
        <v>538</v>
      </c>
    </row>
    <row r="1205" spans="1:9" x14ac:dyDescent="0.35">
      <c r="A1205" s="2">
        <v>45397</v>
      </c>
      <c r="B1205">
        <v>81</v>
      </c>
      <c r="C1205">
        <v>1111001</v>
      </c>
      <c r="D1205" t="s">
        <v>16</v>
      </c>
      <c r="E1205" t="s">
        <v>59</v>
      </c>
      <c r="F1205" s="3">
        <v>9101.0400000000009</v>
      </c>
      <c r="G1205" s="3">
        <v>0</v>
      </c>
      <c r="H1205" s="3">
        <v>9101.0400000000009</v>
      </c>
      <c r="I1205" t="s">
        <v>538</v>
      </c>
    </row>
    <row r="1206" spans="1:9" x14ac:dyDescent="0.35">
      <c r="A1206" s="2">
        <v>45397</v>
      </c>
      <c r="B1206">
        <v>81</v>
      </c>
      <c r="C1206">
        <v>4112003</v>
      </c>
      <c r="D1206" t="s">
        <v>58</v>
      </c>
      <c r="E1206" t="s">
        <v>59</v>
      </c>
      <c r="F1206" s="3">
        <v>0</v>
      </c>
      <c r="G1206" s="3">
        <v>3965.8</v>
      </c>
      <c r="H1206" s="3">
        <v>-3965.8</v>
      </c>
      <c r="I1206" t="s">
        <v>539</v>
      </c>
    </row>
    <row r="1207" spans="1:9" x14ac:dyDescent="0.35">
      <c r="A1207" s="2">
        <v>45397</v>
      </c>
      <c r="B1207">
        <v>81</v>
      </c>
      <c r="C1207">
        <v>2121001</v>
      </c>
      <c r="D1207" t="s">
        <v>27</v>
      </c>
      <c r="E1207" t="s">
        <v>59</v>
      </c>
      <c r="F1207" s="3">
        <v>0</v>
      </c>
      <c r="G1207" s="3">
        <v>634.53</v>
      </c>
      <c r="H1207" s="3">
        <v>-634.53</v>
      </c>
      <c r="I1207" t="s">
        <v>539</v>
      </c>
    </row>
    <row r="1208" spans="1:9" x14ac:dyDescent="0.35">
      <c r="A1208" s="2">
        <v>45397</v>
      </c>
      <c r="B1208">
        <v>81</v>
      </c>
      <c r="C1208">
        <v>1111001</v>
      </c>
      <c r="D1208" t="s">
        <v>16</v>
      </c>
      <c r="E1208" t="s">
        <v>59</v>
      </c>
      <c r="F1208" s="3">
        <v>4600.33</v>
      </c>
      <c r="G1208" s="3">
        <v>0</v>
      </c>
      <c r="H1208" s="3">
        <v>4600.33</v>
      </c>
      <c r="I1208" t="s">
        <v>539</v>
      </c>
    </row>
    <row r="1209" spans="1:9" x14ac:dyDescent="0.35">
      <c r="A1209" s="2">
        <v>45397</v>
      </c>
      <c r="B1209">
        <v>81</v>
      </c>
      <c r="C1209">
        <v>4112003</v>
      </c>
      <c r="D1209" t="s">
        <v>58</v>
      </c>
      <c r="E1209" t="s">
        <v>59</v>
      </c>
      <c r="F1209" s="3">
        <v>0</v>
      </c>
      <c r="G1209" s="3">
        <v>1465.64</v>
      </c>
      <c r="H1209" s="3">
        <v>-1465.64</v>
      </c>
      <c r="I1209" t="s">
        <v>540</v>
      </c>
    </row>
    <row r="1210" spans="1:9" x14ac:dyDescent="0.35">
      <c r="A1210" s="2">
        <v>45397</v>
      </c>
      <c r="B1210">
        <v>81</v>
      </c>
      <c r="C1210">
        <v>2121001</v>
      </c>
      <c r="D1210" t="s">
        <v>27</v>
      </c>
      <c r="E1210" t="s">
        <v>59</v>
      </c>
      <c r="F1210" s="3">
        <v>0</v>
      </c>
      <c r="G1210" s="3">
        <v>234.5</v>
      </c>
      <c r="H1210" s="3">
        <v>-234.5</v>
      </c>
      <c r="I1210" t="s">
        <v>540</v>
      </c>
    </row>
    <row r="1211" spans="1:9" x14ac:dyDescent="0.35">
      <c r="A1211" s="2">
        <v>45397</v>
      </c>
      <c r="B1211">
        <v>81</v>
      </c>
      <c r="C1211">
        <v>1111001</v>
      </c>
      <c r="D1211" t="s">
        <v>16</v>
      </c>
      <c r="E1211" t="s">
        <v>59</v>
      </c>
      <c r="F1211" s="3">
        <v>1700.14</v>
      </c>
      <c r="G1211" s="3">
        <v>0</v>
      </c>
      <c r="H1211" s="3">
        <v>1700.14</v>
      </c>
      <c r="I1211" t="s">
        <v>540</v>
      </c>
    </row>
    <row r="1212" spans="1:9" x14ac:dyDescent="0.35">
      <c r="A1212" s="2">
        <v>45397</v>
      </c>
      <c r="B1212">
        <v>81</v>
      </c>
      <c r="C1212">
        <v>4112003</v>
      </c>
      <c r="D1212" t="s">
        <v>58</v>
      </c>
      <c r="E1212" t="s">
        <v>59</v>
      </c>
      <c r="F1212" s="3">
        <v>0</v>
      </c>
      <c r="G1212" s="3">
        <v>4914.55</v>
      </c>
      <c r="H1212" s="3">
        <v>-4914.55</v>
      </c>
      <c r="I1212" t="s">
        <v>541</v>
      </c>
    </row>
    <row r="1213" spans="1:9" x14ac:dyDescent="0.35">
      <c r="A1213" s="2">
        <v>45397</v>
      </c>
      <c r="B1213">
        <v>81</v>
      </c>
      <c r="C1213">
        <v>2121001</v>
      </c>
      <c r="D1213" t="s">
        <v>27</v>
      </c>
      <c r="E1213" t="s">
        <v>59</v>
      </c>
      <c r="F1213" s="3">
        <v>0</v>
      </c>
      <c r="G1213" s="3">
        <v>786.33</v>
      </c>
      <c r="H1213" s="3">
        <v>-786.33</v>
      </c>
      <c r="I1213" t="s">
        <v>541</v>
      </c>
    </row>
    <row r="1214" spans="1:9" x14ac:dyDescent="0.35">
      <c r="A1214" s="2">
        <v>45397</v>
      </c>
      <c r="B1214">
        <v>81</v>
      </c>
      <c r="C1214">
        <v>1111001</v>
      </c>
      <c r="D1214" t="s">
        <v>16</v>
      </c>
      <c r="E1214" t="s">
        <v>59</v>
      </c>
      <c r="F1214" s="3">
        <v>5700.88</v>
      </c>
      <c r="G1214" s="3">
        <v>0</v>
      </c>
      <c r="H1214" s="3">
        <v>5700.88</v>
      </c>
      <c r="I1214" t="s">
        <v>541</v>
      </c>
    </row>
    <row r="1215" spans="1:9" x14ac:dyDescent="0.35">
      <c r="A1215" s="2">
        <v>45397</v>
      </c>
      <c r="B1215">
        <v>81</v>
      </c>
      <c r="C1215">
        <v>4112004</v>
      </c>
      <c r="D1215" t="s">
        <v>74</v>
      </c>
      <c r="E1215" t="s">
        <v>197</v>
      </c>
      <c r="F1215" s="3">
        <v>0</v>
      </c>
      <c r="G1215" s="3">
        <v>18632.61</v>
      </c>
      <c r="H1215" s="3">
        <v>-18632.61</v>
      </c>
      <c r="I1215" t="s">
        <v>542</v>
      </c>
    </row>
    <row r="1216" spans="1:9" x14ac:dyDescent="0.35">
      <c r="A1216" s="2">
        <v>45397</v>
      </c>
      <c r="B1216">
        <v>81</v>
      </c>
      <c r="C1216">
        <v>2121001</v>
      </c>
      <c r="D1216" t="s">
        <v>27</v>
      </c>
      <c r="E1216" t="s">
        <v>197</v>
      </c>
      <c r="F1216" s="3">
        <v>0</v>
      </c>
      <c r="G1216" s="3">
        <v>2981.22</v>
      </c>
      <c r="H1216" s="3">
        <v>-2981.22</v>
      </c>
      <c r="I1216" t="s">
        <v>542</v>
      </c>
    </row>
    <row r="1217" spans="1:9" x14ac:dyDescent="0.35">
      <c r="A1217" s="2">
        <v>45397</v>
      </c>
      <c r="B1217">
        <v>81</v>
      </c>
      <c r="C1217">
        <v>1141002</v>
      </c>
      <c r="D1217" t="s">
        <v>23</v>
      </c>
      <c r="E1217" t="s">
        <v>197</v>
      </c>
      <c r="F1217" s="3">
        <v>2235.91</v>
      </c>
      <c r="G1217" s="3">
        <v>0</v>
      </c>
      <c r="H1217" s="3">
        <v>2235.91</v>
      </c>
      <c r="I1217" t="s">
        <v>542</v>
      </c>
    </row>
    <row r="1218" spans="1:9" x14ac:dyDescent="0.35">
      <c r="A1218" s="2">
        <v>45397</v>
      </c>
      <c r="B1218">
        <v>81</v>
      </c>
      <c r="C1218">
        <v>1142001</v>
      </c>
      <c r="D1218" t="s">
        <v>199</v>
      </c>
      <c r="E1218" t="s">
        <v>197</v>
      </c>
      <c r="F1218" s="3">
        <v>372.65</v>
      </c>
      <c r="G1218" s="3">
        <v>0</v>
      </c>
      <c r="H1218" s="3">
        <v>372.65</v>
      </c>
      <c r="I1218" t="s">
        <v>542</v>
      </c>
    </row>
    <row r="1219" spans="1:9" x14ac:dyDescent="0.35">
      <c r="A1219" s="2">
        <v>45397</v>
      </c>
      <c r="B1219">
        <v>81</v>
      </c>
      <c r="C1219">
        <v>6121040</v>
      </c>
      <c r="D1219" t="s">
        <v>98</v>
      </c>
      <c r="E1219" t="s">
        <v>197</v>
      </c>
      <c r="F1219" s="3">
        <v>432.28</v>
      </c>
      <c r="G1219" s="3">
        <v>0</v>
      </c>
      <c r="H1219" s="3">
        <v>432.28</v>
      </c>
      <c r="I1219" t="s">
        <v>542</v>
      </c>
    </row>
    <row r="1220" spans="1:9" x14ac:dyDescent="0.35">
      <c r="A1220" s="2">
        <v>45397</v>
      </c>
      <c r="B1220">
        <v>81</v>
      </c>
      <c r="C1220">
        <v>1111001</v>
      </c>
      <c r="D1220" t="s">
        <v>16</v>
      </c>
      <c r="E1220" t="s">
        <v>197</v>
      </c>
      <c r="F1220" s="3">
        <v>18572.990000000002</v>
      </c>
      <c r="G1220" s="3">
        <v>0</v>
      </c>
      <c r="H1220" s="3">
        <v>18572.990000000002</v>
      </c>
      <c r="I1220" t="s">
        <v>542</v>
      </c>
    </row>
    <row r="1221" spans="1:9" x14ac:dyDescent="0.35">
      <c r="A1221" s="2">
        <v>45397</v>
      </c>
      <c r="B1221">
        <v>81</v>
      </c>
      <c r="C1221">
        <v>2121001</v>
      </c>
      <c r="D1221" t="s">
        <v>27</v>
      </c>
      <c r="E1221" t="s">
        <v>543</v>
      </c>
      <c r="F1221" s="3">
        <v>15024.08</v>
      </c>
      <c r="G1221" s="3">
        <v>0</v>
      </c>
      <c r="H1221" s="3">
        <v>15024.08</v>
      </c>
      <c r="I1221" t="s">
        <v>544</v>
      </c>
    </row>
    <row r="1222" spans="1:9" x14ac:dyDescent="0.35">
      <c r="A1222" s="2">
        <v>45397</v>
      </c>
      <c r="B1222">
        <v>81</v>
      </c>
      <c r="C1222">
        <v>1141001</v>
      </c>
      <c r="D1222" t="s">
        <v>153</v>
      </c>
      <c r="E1222" t="s">
        <v>543</v>
      </c>
      <c r="F1222" s="3">
        <v>0</v>
      </c>
      <c r="G1222" s="3">
        <v>1036.6400000000001</v>
      </c>
      <c r="H1222" s="3">
        <v>-1036.6400000000001</v>
      </c>
      <c r="I1222" t="s">
        <v>544</v>
      </c>
    </row>
    <row r="1223" spans="1:9" x14ac:dyDescent="0.35">
      <c r="A1223" s="2">
        <v>45397</v>
      </c>
      <c r="B1223">
        <v>81</v>
      </c>
      <c r="C1223">
        <v>1141002</v>
      </c>
      <c r="D1223" t="s">
        <v>23</v>
      </c>
      <c r="E1223" t="s">
        <v>543</v>
      </c>
      <c r="F1223" s="3">
        <v>0</v>
      </c>
      <c r="G1223" s="3">
        <v>2235.91</v>
      </c>
      <c r="H1223" s="3">
        <v>-2235.91</v>
      </c>
      <c r="I1223" t="s">
        <v>544</v>
      </c>
    </row>
    <row r="1224" spans="1:9" x14ac:dyDescent="0.35">
      <c r="A1224" s="2">
        <v>45397</v>
      </c>
      <c r="B1224">
        <v>81</v>
      </c>
      <c r="C1224">
        <v>2121003</v>
      </c>
      <c r="D1224" t="s">
        <v>28</v>
      </c>
      <c r="E1224" t="s">
        <v>543</v>
      </c>
      <c r="F1224" s="3">
        <v>0</v>
      </c>
      <c r="G1224" s="3">
        <v>11751.53</v>
      </c>
      <c r="H1224" s="3">
        <v>-11751.53</v>
      </c>
      <c r="I1224" t="s">
        <v>544</v>
      </c>
    </row>
    <row r="1225" spans="1:9" x14ac:dyDescent="0.35">
      <c r="A1225" s="2">
        <v>45397</v>
      </c>
      <c r="B1225">
        <v>81</v>
      </c>
      <c r="C1225">
        <v>1142004</v>
      </c>
      <c r="D1225" t="s">
        <v>83</v>
      </c>
      <c r="E1225" t="s">
        <v>502</v>
      </c>
      <c r="F1225" s="3">
        <v>939</v>
      </c>
      <c r="G1225" s="3">
        <v>0</v>
      </c>
      <c r="H1225" s="3">
        <v>939</v>
      </c>
      <c r="I1225" t="s">
        <v>503</v>
      </c>
    </row>
    <row r="1226" spans="1:9" x14ac:dyDescent="0.35">
      <c r="A1226" s="2">
        <v>45397</v>
      </c>
      <c r="B1226">
        <v>81</v>
      </c>
      <c r="C1226">
        <v>2124004</v>
      </c>
      <c r="D1226" t="s">
        <v>29</v>
      </c>
      <c r="E1226" t="s">
        <v>502</v>
      </c>
      <c r="F1226" s="3">
        <v>0</v>
      </c>
      <c r="G1226" s="3">
        <v>939</v>
      </c>
      <c r="H1226" s="3">
        <v>-939</v>
      </c>
      <c r="I1226" t="s">
        <v>503</v>
      </c>
    </row>
    <row r="1227" spans="1:9" x14ac:dyDescent="0.35">
      <c r="A1227" s="2">
        <v>45397</v>
      </c>
      <c r="B1227">
        <v>81</v>
      </c>
      <c r="C1227">
        <v>6121046</v>
      </c>
      <c r="D1227" t="s">
        <v>94</v>
      </c>
      <c r="E1227" t="s">
        <v>95</v>
      </c>
      <c r="F1227" s="3">
        <v>121.97</v>
      </c>
      <c r="G1227" s="3">
        <v>0</v>
      </c>
      <c r="H1227" s="3">
        <v>121.97</v>
      </c>
      <c r="I1227" t="s">
        <v>472</v>
      </c>
    </row>
    <row r="1228" spans="1:9" x14ac:dyDescent="0.35">
      <c r="A1228" s="2">
        <v>45397</v>
      </c>
      <c r="B1228">
        <v>81</v>
      </c>
      <c r="C1228">
        <v>6121040</v>
      </c>
      <c r="D1228" t="s">
        <v>98</v>
      </c>
      <c r="E1228" t="s">
        <v>99</v>
      </c>
      <c r="F1228" s="3">
        <v>205.01</v>
      </c>
      <c r="G1228" s="3">
        <v>0</v>
      </c>
      <c r="H1228" s="3">
        <v>205.01</v>
      </c>
      <c r="I1228" t="s">
        <v>472</v>
      </c>
    </row>
    <row r="1229" spans="1:9" x14ac:dyDescent="0.35">
      <c r="A1229" s="2">
        <v>45397</v>
      </c>
      <c r="B1229">
        <v>81</v>
      </c>
      <c r="C1229">
        <v>1111001</v>
      </c>
      <c r="D1229" t="s">
        <v>16</v>
      </c>
      <c r="E1229" t="s">
        <v>545</v>
      </c>
      <c r="F1229" s="3">
        <v>1500</v>
      </c>
      <c r="G1229" s="3">
        <v>0</v>
      </c>
      <c r="H1229" s="3">
        <v>1500</v>
      </c>
      <c r="I1229" t="s">
        <v>472</v>
      </c>
    </row>
    <row r="1230" spans="1:9" x14ac:dyDescent="0.35">
      <c r="A1230" s="2">
        <v>45397</v>
      </c>
      <c r="B1230">
        <v>81</v>
      </c>
      <c r="C1230">
        <v>2114001</v>
      </c>
      <c r="D1230" t="s">
        <v>97</v>
      </c>
      <c r="E1230" t="s">
        <v>1768</v>
      </c>
      <c r="F1230" s="3">
        <v>3400</v>
      </c>
      <c r="G1230" s="3">
        <v>0</v>
      </c>
      <c r="H1230" s="3">
        <v>3400</v>
      </c>
      <c r="I1230" t="s">
        <v>472</v>
      </c>
    </row>
    <row r="1231" spans="1:9" x14ac:dyDescent="0.35">
      <c r="A1231" s="2">
        <v>45397</v>
      </c>
      <c r="B1231">
        <v>81</v>
      </c>
      <c r="C1231">
        <v>5131016</v>
      </c>
      <c r="D1231" t="s">
        <v>238</v>
      </c>
      <c r="E1231" t="s">
        <v>546</v>
      </c>
      <c r="F1231" s="3">
        <v>380</v>
      </c>
      <c r="G1231" s="3">
        <v>0</v>
      </c>
      <c r="H1231" s="3">
        <v>380</v>
      </c>
      <c r="I1231" t="s">
        <v>472</v>
      </c>
    </row>
    <row r="1232" spans="1:9" x14ac:dyDescent="0.35">
      <c r="A1232" s="2">
        <v>45397</v>
      </c>
      <c r="B1232">
        <v>81</v>
      </c>
      <c r="C1232">
        <v>5132010</v>
      </c>
      <c r="D1232" t="s">
        <v>211</v>
      </c>
      <c r="E1232" t="s">
        <v>547</v>
      </c>
      <c r="F1232" s="3">
        <v>700</v>
      </c>
      <c r="G1232" s="3">
        <v>0</v>
      </c>
      <c r="H1232" s="3">
        <v>700</v>
      </c>
      <c r="I1232" t="s">
        <v>472</v>
      </c>
    </row>
    <row r="1233" spans="1:9" x14ac:dyDescent="0.35">
      <c r="A1233" s="2">
        <v>45397</v>
      </c>
      <c r="B1233">
        <v>81</v>
      </c>
      <c r="C1233">
        <v>2114010</v>
      </c>
      <c r="D1233" t="s">
        <v>48</v>
      </c>
      <c r="E1233" t="s">
        <v>1771</v>
      </c>
      <c r="F1233" s="3">
        <v>1147.95</v>
      </c>
      <c r="G1233" s="3">
        <v>0</v>
      </c>
      <c r="H1233" s="3">
        <v>1147.95</v>
      </c>
      <c r="I1233" t="s">
        <v>472</v>
      </c>
    </row>
    <row r="1234" spans="1:9" x14ac:dyDescent="0.35">
      <c r="A1234" s="2">
        <v>45397</v>
      </c>
      <c r="B1234">
        <v>81</v>
      </c>
      <c r="C1234">
        <v>2122003</v>
      </c>
      <c r="D1234" t="s">
        <v>308</v>
      </c>
      <c r="E1234" t="s">
        <v>548</v>
      </c>
      <c r="F1234" s="3">
        <v>130.57</v>
      </c>
      <c r="G1234" s="3">
        <v>0</v>
      </c>
      <c r="H1234" s="3">
        <v>130.57</v>
      </c>
      <c r="I1234" t="s">
        <v>472</v>
      </c>
    </row>
    <row r="1235" spans="1:9" x14ac:dyDescent="0.35">
      <c r="A1235" s="2">
        <v>45397</v>
      </c>
      <c r="B1235">
        <v>81</v>
      </c>
      <c r="C1235">
        <v>2141003</v>
      </c>
      <c r="D1235" t="s">
        <v>37</v>
      </c>
      <c r="E1235" t="s">
        <v>549</v>
      </c>
      <c r="F1235" s="3">
        <v>59.8</v>
      </c>
      <c r="G1235" s="3">
        <v>0</v>
      </c>
      <c r="H1235" s="3">
        <v>59.8</v>
      </c>
      <c r="I1235" t="s">
        <v>472</v>
      </c>
    </row>
    <row r="1236" spans="1:9" x14ac:dyDescent="0.35">
      <c r="A1236" s="2">
        <v>45397</v>
      </c>
      <c r="B1236">
        <v>81</v>
      </c>
      <c r="C1236">
        <v>2141002</v>
      </c>
      <c r="D1236" t="s">
        <v>36</v>
      </c>
      <c r="E1236" t="s">
        <v>550</v>
      </c>
      <c r="F1236" s="3">
        <v>27.3</v>
      </c>
      <c r="G1236" s="3">
        <v>0</v>
      </c>
      <c r="H1236" s="3">
        <v>27.3</v>
      </c>
      <c r="I1236" t="s">
        <v>472</v>
      </c>
    </row>
    <row r="1237" spans="1:9" x14ac:dyDescent="0.35">
      <c r="A1237" s="2">
        <v>45397</v>
      </c>
      <c r="B1237">
        <v>81</v>
      </c>
      <c r="C1237">
        <v>2141001</v>
      </c>
      <c r="D1237" t="s">
        <v>35</v>
      </c>
      <c r="E1237" t="s">
        <v>551</v>
      </c>
      <c r="F1237" s="3">
        <v>178.2</v>
      </c>
      <c r="G1237" s="3">
        <v>0</v>
      </c>
      <c r="H1237" s="3">
        <v>178.2</v>
      </c>
      <c r="I1237" t="s">
        <v>472</v>
      </c>
    </row>
    <row r="1238" spans="1:9" x14ac:dyDescent="0.35">
      <c r="A1238" s="2">
        <v>45397</v>
      </c>
      <c r="B1238">
        <v>81</v>
      </c>
      <c r="C1238">
        <v>1112003</v>
      </c>
      <c r="D1238" t="s">
        <v>22</v>
      </c>
      <c r="E1238" t="s">
        <v>552</v>
      </c>
      <c r="F1238" s="3">
        <v>0</v>
      </c>
      <c r="G1238" s="3">
        <v>7850.8</v>
      </c>
      <c r="H1238" s="3">
        <v>-7850.8</v>
      </c>
      <c r="I1238" t="s">
        <v>472</v>
      </c>
    </row>
    <row r="1239" spans="1:9" x14ac:dyDescent="0.35">
      <c r="A1239" s="2">
        <v>45397</v>
      </c>
      <c r="B1239">
        <v>81</v>
      </c>
      <c r="C1239">
        <v>1112003</v>
      </c>
      <c r="D1239" t="s">
        <v>22</v>
      </c>
      <c r="E1239" t="s">
        <v>553</v>
      </c>
      <c r="F1239" s="3">
        <v>12200</v>
      </c>
      <c r="G1239" s="3">
        <v>0</v>
      </c>
      <c r="H1239" s="3">
        <v>12200</v>
      </c>
      <c r="I1239" t="s">
        <v>472</v>
      </c>
    </row>
    <row r="1240" spans="1:9" x14ac:dyDescent="0.35">
      <c r="A1240" s="2">
        <v>45397</v>
      </c>
      <c r="B1240">
        <v>81</v>
      </c>
      <c r="C1240">
        <v>1111001</v>
      </c>
      <c r="D1240" t="s">
        <v>16</v>
      </c>
      <c r="E1240" t="s">
        <v>111</v>
      </c>
      <c r="F1240" s="3">
        <v>0</v>
      </c>
      <c r="G1240" s="3">
        <v>12200</v>
      </c>
      <c r="H1240" s="3">
        <v>-12200</v>
      </c>
      <c r="I1240" t="s">
        <v>472</v>
      </c>
    </row>
    <row r="1241" spans="1:9" x14ac:dyDescent="0.35">
      <c r="A1241" s="2">
        <v>45397</v>
      </c>
      <c r="B1241">
        <v>81</v>
      </c>
      <c r="C1241">
        <v>6121040</v>
      </c>
      <c r="D1241" t="s">
        <v>98</v>
      </c>
      <c r="E1241" t="s">
        <v>99</v>
      </c>
      <c r="F1241" s="3">
        <v>2750.87</v>
      </c>
      <c r="G1241" s="3">
        <v>0</v>
      </c>
      <c r="H1241" s="3">
        <v>2750.87</v>
      </c>
      <c r="I1241" t="s">
        <v>554</v>
      </c>
    </row>
    <row r="1242" spans="1:9" x14ac:dyDescent="0.35">
      <c r="A1242" s="2">
        <v>45397</v>
      </c>
      <c r="B1242">
        <v>81</v>
      </c>
      <c r="C1242">
        <v>6121046</v>
      </c>
      <c r="D1242" t="s">
        <v>94</v>
      </c>
      <c r="E1242" t="s">
        <v>95</v>
      </c>
      <c r="F1242" s="3">
        <v>2000.2</v>
      </c>
      <c r="G1242" s="3">
        <v>0</v>
      </c>
      <c r="H1242" s="3">
        <v>2000.2</v>
      </c>
      <c r="I1242" t="s">
        <v>554</v>
      </c>
    </row>
    <row r="1243" spans="1:9" x14ac:dyDescent="0.35">
      <c r="A1243" s="2">
        <v>45397</v>
      </c>
      <c r="B1243">
        <v>81</v>
      </c>
      <c r="C1243">
        <v>2114001</v>
      </c>
      <c r="D1243" t="s">
        <v>97</v>
      </c>
      <c r="E1243" t="s">
        <v>1768</v>
      </c>
      <c r="F1243" s="3">
        <v>23669.16</v>
      </c>
      <c r="G1243" s="3">
        <v>0</v>
      </c>
      <c r="H1243" s="3">
        <v>23669.16</v>
      </c>
      <c r="I1243" t="s">
        <v>554</v>
      </c>
    </row>
    <row r="1244" spans="1:9" x14ac:dyDescent="0.35">
      <c r="A1244" s="2">
        <v>45397</v>
      </c>
      <c r="B1244">
        <v>81</v>
      </c>
      <c r="C1244">
        <v>2114010</v>
      </c>
      <c r="D1244" t="s">
        <v>48</v>
      </c>
      <c r="E1244" t="s">
        <v>555</v>
      </c>
      <c r="F1244" s="3">
        <v>6608.56</v>
      </c>
      <c r="G1244" s="3">
        <v>0</v>
      </c>
      <c r="H1244" s="3">
        <v>6608.56</v>
      </c>
      <c r="I1244" t="s">
        <v>554</v>
      </c>
    </row>
    <row r="1245" spans="1:9" x14ac:dyDescent="0.35">
      <c r="A1245" s="2">
        <v>45397</v>
      </c>
      <c r="B1245">
        <v>81</v>
      </c>
      <c r="C1245">
        <v>6121020</v>
      </c>
      <c r="D1245" t="s">
        <v>129</v>
      </c>
      <c r="E1245" t="s">
        <v>556</v>
      </c>
      <c r="F1245" s="3">
        <v>2213.4499999999998</v>
      </c>
      <c r="G1245" s="3">
        <v>0</v>
      </c>
      <c r="H1245" s="3">
        <v>2213.4499999999998</v>
      </c>
      <c r="I1245" t="s">
        <v>554</v>
      </c>
    </row>
    <row r="1246" spans="1:9" x14ac:dyDescent="0.35">
      <c r="A1246" s="2">
        <v>45397</v>
      </c>
      <c r="B1246">
        <v>81</v>
      </c>
      <c r="C1246">
        <v>1111001</v>
      </c>
      <c r="D1246" t="s">
        <v>16</v>
      </c>
      <c r="E1246" t="s">
        <v>131</v>
      </c>
      <c r="F1246" s="3">
        <v>362.9</v>
      </c>
      <c r="G1246" s="3">
        <v>0</v>
      </c>
      <c r="H1246" s="3">
        <v>362.9</v>
      </c>
      <c r="I1246" t="s">
        <v>554</v>
      </c>
    </row>
    <row r="1247" spans="1:9" x14ac:dyDescent="0.35">
      <c r="A1247" s="2">
        <v>45397</v>
      </c>
      <c r="B1247">
        <v>81</v>
      </c>
      <c r="C1247">
        <v>6121031</v>
      </c>
      <c r="D1247" t="s">
        <v>209</v>
      </c>
      <c r="E1247" t="s">
        <v>557</v>
      </c>
      <c r="F1247" s="3">
        <v>2280</v>
      </c>
      <c r="G1247" s="3">
        <v>0</v>
      </c>
      <c r="H1247" s="3">
        <v>2280</v>
      </c>
      <c r="I1247" t="s">
        <v>554</v>
      </c>
    </row>
    <row r="1248" spans="1:9" x14ac:dyDescent="0.35">
      <c r="A1248" s="2">
        <v>45397</v>
      </c>
      <c r="B1248">
        <v>81</v>
      </c>
      <c r="C1248">
        <v>5132007</v>
      </c>
      <c r="D1248" t="s">
        <v>355</v>
      </c>
      <c r="E1248" t="s">
        <v>558</v>
      </c>
      <c r="F1248" s="3">
        <v>666</v>
      </c>
      <c r="G1248" s="3">
        <v>0</v>
      </c>
      <c r="H1248" s="3">
        <v>666</v>
      </c>
      <c r="I1248" t="s">
        <v>554</v>
      </c>
    </row>
    <row r="1249" spans="1:9" x14ac:dyDescent="0.35">
      <c r="A1249" s="2">
        <v>45397</v>
      </c>
      <c r="B1249">
        <v>81</v>
      </c>
      <c r="C1249">
        <v>1111001</v>
      </c>
      <c r="D1249" t="s">
        <v>16</v>
      </c>
      <c r="E1249" t="s">
        <v>132</v>
      </c>
      <c r="F1249" s="3">
        <v>12200</v>
      </c>
      <c r="G1249" s="3">
        <v>0</v>
      </c>
      <c r="H1249" s="3">
        <v>12200</v>
      </c>
      <c r="I1249" t="s">
        <v>554</v>
      </c>
    </row>
    <row r="1250" spans="1:9" x14ac:dyDescent="0.35">
      <c r="A1250" s="2">
        <v>45397</v>
      </c>
      <c r="B1250">
        <v>81</v>
      </c>
      <c r="C1250">
        <v>5131016</v>
      </c>
      <c r="D1250" t="s">
        <v>238</v>
      </c>
      <c r="E1250" t="s">
        <v>292</v>
      </c>
      <c r="F1250" s="3">
        <v>150</v>
      </c>
      <c r="G1250" s="3">
        <v>0</v>
      </c>
      <c r="H1250" s="3">
        <v>150</v>
      </c>
      <c r="I1250" t="s">
        <v>554</v>
      </c>
    </row>
    <row r="1251" spans="1:9" x14ac:dyDescent="0.35">
      <c r="A1251" s="2">
        <v>45397</v>
      </c>
      <c r="B1251">
        <v>81</v>
      </c>
      <c r="C1251">
        <v>6121025</v>
      </c>
      <c r="D1251" t="s">
        <v>134</v>
      </c>
      <c r="E1251" t="s">
        <v>559</v>
      </c>
      <c r="F1251" s="3">
        <v>5195.45</v>
      </c>
      <c r="G1251" s="3">
        <v>0</v>
      </c>
      <c r="H1251" s="3">
        <v>5195.45</v>
      </c>
      <c r="I1251" t="s">
        <v>554</v>
      </c>
    </row>
    <row r="1252" spans="1:9" x14ac:dyDescent="0.35">
      <c r="A1252" s="2">
        <v>45397</v>
      </c>
      <c r="B1252">
        <v>81</v>
      </c>
      <c r="C1252">
        <v>2124004</v>
      </c>
      <c r="D1252" t="s">
        <v>29</v>
      </c>
      <c r="E1252" t="s">
        <v>560</v>
      </c>
      <c r="F1252" s="3">
        <v>727.44</v>
      </c>
      <c r="G1252" s="3">
        <v>0</v>
      </c>
      <c r="H1252" s="3">
        <v>727.44</v>
      </c>
      <c r="I1252" t="s">
        <v>554</v>
      </c>
    </row>
    <row r="1253" spans="1:9" x14ac:dyDescent="0.35">
      <c r="A1253" s="2">
        <v>45397</v>
      </c>
      <c r="B1253">
        <v>81</v>
      </c>
      <c r="C1253">
        <v>5132010</v>
      </c>
      <c r="D1253" t="s">
        <v>211</v>
      </c>
      <c r="E1253" t="s">
        <v>561</v>
      </c>
      <c r="F1253" s="3">
        <v>3800</v>
      </c>
      <c r="G1253" s="3">
        <v>0</v>
      </c>
      <c r="H1253" s="3">
        <v>3800</v>
      </c>
      <c r="I1253" t="s">
        <v>554</v>
      </c>
    </row>
    <row r="1254" spans="1:9" x14ac:dyDescent="0.35">
      <c r="A1254" s="2">
        <v>45397</v>
      </c>
      <c r="B1254">
        <v>81</v>
      </c>
      <c r="C1254">
        <v>5132010</v>
      </c>
      <c r="D1254" t="s">
        <v>211</v>
      </c>
      <c r="E1254" t="s">
        <v>562</v>
      </c>
      <c r="F1254" s="3">
        <v>3800</v>
      </c>
      <c r="G1254" s="3">
        <v>0</v>
      </c>
      <c r="H1254" s="3">
        <v>3800</v>
      </c>
      <c r="I1254" t="s">
        <v>554</v>
      </c>
    </row>
    <row r="1255" spans="1:9" x14ac:dyDescent="0.35">
      <c r="A1255" s="2">
        <v>45397</v>
      </c>
      <c r="B1255">
        <v>81</v>
      </c>
      <c r="C1255">
        <v>5132010</v>
      </c>
      <c r="D1255" t="s">
        <v>211</v>
      </c>
      <c r="E1255" t="s">
        <v>563</v>
      </c>
      <c r="F1255" s="3">
        <v>5000</v>
      </c>
      <c r="G1255" s="3">
        <v>0</v>
      </c>
      <c r="H1255" s="3">
        <v>5000</v>
      </c>
      <c r="I1255" t="s">
        <v>554</v>
      </c>
    </row>
    <row r="1256" spans="1:9" x14ac:dyDescent="0.35">
      <c r="A1256" s="2">
        <v>45397</v>
      </c>
      <c r="B1256">
        <v>81</v>
      </c>
      <c r="C1256">
        <v>2114010</v>
      </c>
      <c r="D1256" t="s">
        <v>48</v>
      </c>
      <c r="E1256" t="s">
        <v>1771</v>
      </c>
      <c r="F1256" s="3">
        <v>3800</v>
      </c>
      <c r="G1256" s="3">
        <v>0</v>
      </c>
      <c r="H1256" s="3">
        <v>3800</v>
      </c>
      <c r="I1256" t="s">
        <v>554</v>
      </c>
    </row>
    <row r="1257" spans="1:9" x14ac:dyDescent="0.35">
      <c r="A1257" s="2">
        <v>45397</v>
      </c>
      <c r="B1257">
        <v>81</v>
      </c>
      <c r="C1257">
        <v>2114010</v>
      </c>
      <c r="D1257" t="s">
        <v>48</v>
      </c>
      <c r="E1257" t="s">
        <v>1771</v>
      </c>
      <c r="F1257" s="3">
        <v>3800</v>
      </c>
      <c r="G1257" s="3">
        <v>0</v>
      </c>
      <c r="H1257" s="3">
        <v>3800</v>
      </c>
      <c r="I1257" t="s">
        <v>554</v>
      </c>
    </row>
    <row r="1258" spans="1:9" x14ac:dyDescent="0.35">
      <c r="A1258" s="2">
        <v>45397</v>
      </c>
      <c r="B1258">
        <v>81</v>
      </c>
      <c r="C1258">
        <v>5132012</v>
      </c>
      <c r="D1258" t="s">
        <v>303</v>
      </c>
      <c r="E1258" t="s">
        <v>564</v>
      </c>
      <c r="F1258" s="3">
        <v>760</v>
      </c>
      <c r="G1258" s="3">
        <v>0</v>
      </c>
      <c r="H1258" s="3">
        <v>760</v>
      </c>
      <c r="I1258" t="s">
        <v>554</v>
      </c>
    </row>
    <row r="1259" spans="1:9" x14ac:dyDescent="0.35">
      <c r="A1259" s="2">
        <v>45397</v>
      </c>
      <c r="B1259">
        <v>81</v>
      </c>
      <c r="C1259">
        <v>2114010</v>
      </c>
      <c r="D1259" t="s">
        <v>48</v>
      </c>
      <c r="E1259" t="s">
        <v>1771</v>
      </c>
      <c r="F1259" s="3">
        <v>3800</v>
      </c>
      <c r="G1259" s="3">
        <v>0</v>
      </c>
      <c r="H1259" s="3">
        <v>3800</v>
      </c>
      <c r="I1259" t="s">
        <v>554</v>
      </c>
    </row>
    <row r="1260" spans="1:9" x14ac:dyDescent="0.35">
      <c r="A1260" s="2">
        <v>45397</v>
      </c>
      <c r="B1260">
        <v>81</v>
      </c>
      <c r="C1260">
        <v>2114010</v>
      </c>
      <c r="D1260" t="s">
        <v>48</v>
      </c>
      <c r="E1260" t="s">
        <v>1771</v>
      </c>
      <c r="F1260" s="3">
        <v>4053.46</v>
      </c>
      <c r="G1260" s="3">
        <v>0</v>
      </c>
      <c r="H1260" s="3">
        <v>4053.46</v>
      </c>
      <c r="I1260" t="s">
        <v>554</v>
      </c>
    </row>
    <row r="1261" spans="1:9" x14ac:dyDescent="0.35">
      <c r="A1261" s="2">
        <v>45397</v>
      </c>
      <c r="B1261">
        <v>81</v>
      </c>
      <c r="C1261">
        <v>5132012</v>
      </c>
      <c r="D1261" t="s">
        <v>303</v>
      </c>
      <c r="E1261" t="s">
        <v>565</v>
      </c>
      <c r="F1261" s="3">
        <v>760</v>
      </c>
      <c r="G1261" s="3">
        <v>0</v>
      </c>
      <c r="H1261" s="3">
        <v>760</v>
      </c>
      <c r="I1261" t="s">
        <v>554</v>
      </c>
    </row>
    <row r="1262" spans="1:9" x14ac:dyDescent="0.35">
      <c r="A1262" s="2">
        <v>45397</v>
      </c>
      <c r="B1262">
        <v>81</v>
      </c>
      <c r="C1262">
        <v>2114010</v>
      </c>
      <c r="D1262" t="s">
        <v>48</v>
      </c>
      <c r="E1262" t="s">
        <v>1771</v>
      </c>
      <c r="F1262" s="3">
        <v>3000</v>
      </c>
      <c r="G1262" s="3">
        <v>0</v>
      </c>
      <c r="H1262" s="3">
        <v>3000</v>
      </c>
      <c r="I1262" t="s">
        <v>554</v>
      </c>
    </row>
    <row r="1263" spans="1:9" x14ac:dyDescent="0.35">
      <c r="A1263" s="2">
        <v>45397</v>
      </c>
      <c r="B1263">
        <v>81</v>
      </c>
      <c r="C1263">
        <v>2111002</v>
      </c>
      <c r="D1263" t="s">
        <v>424</v>
      </c>
      <c r="E1263" t="s">
        <v>566</v>
      </c>
      <c r="F1263" s="3">
        <v>11409.41</v>
      </c>
      <c r="G1263" s="3">
        <v>0</v>
      </c>
      <c r="H1263" s="3">
        <v>11409.41</v>
      </c>
      <c r="I1263" t="s">
        <v>554</v>
      </c>
    </row>
    <row r="1264" spans="1:9" x14ac:dyDescent="0.35">
      <c r="A1264" s="2">
        <v>45397</v>
      </c>
      <c r="B1264">
        <v>81</v>
      </c>
      <c r="C1264">
        <v>1112002</v>
      </c>
      <c r="D1264" t="s">
        <v>21</v>
      </c>
      <c r="E1264" t="s">
        <v>567</v>
      </c>
      <c r="F1264" s="3">
        <v>0</v>
      </c>
      <c r="G1264" s="3">
        <v>102806.9</v>
      </c>
      <c r="H1264" s="3">
        <v>-102806.9</v>
      </c>
      <c r="I1264" t="s">
        <v>554</v>
      </c>
    </row>
    <row r="1265" spans="1:9" x14ac:dyDescent="0.35">
      <c r="A1265" s="2">
        <v>45397</v>
      </c>
      <c r="B1265">
        <v>81</v>
      </c>
      <c r="C1265">
        <v>1112002</v>
      </c>
      <c r="D1265" t="s">
        <v>21</v>
      </c>
      <c r="E1265" t="s">
        <v>568</v>
      </c>
      <c r="F1265" s="3">
        <v>103581.05</v>
      </c>
      <c r="G1265" s="3">
        <v>0</v>
      </c>
      <c r="H1265" s="3">
        <v>103581.05</v>
      </c>
      <c r="I1265" t="s">
        <v>554</v>
      </c>
    </row>
    <row r="1266" spans="1:9" x14ac:dyDescent="0.35">
      <c r="A1266" s="2">
        <v>45397</v>
      </c>
      <c r="B1266">
        <v>81</v>
      </c>
      <c r="C1266">
        <v>1111001</v>
      </c>
      <c r="D1266" t="s">
        <v>16</v>
      </c>
      <c r="E1266" t="s">
        <v>137</v>
      </c>
      <c r="F1266" s="3">
        <v>0</v>
      </c>
      <c r="G1266" s="3">
        <v>83236.12</v>
      </c>
      <c r="H1266" s="3">
        <v>-83236.12</v>
      </c>
      <c r="I1266" t="s">
        <v>554</v>
      </c>
    </row>
    <row r="1267" spans="1:9" x14ac:dyDescent="0.35">
      <c r="A1267" s="2">
        <v>45397</v>
      </c>
      <c r="B1267">
        <v>81</v>
      </c>
      <c r="C1267">
        <v>4141003</v>
      </c>
      <c r="D1267" t="s">
        <v>141</v>
      </c>
      <c r="E1267" t="s">
        <v>142</v>
      </c>
      <c r="F1267" s="3">
        <v>0</v>
      </c>
      <c r="G1267" s="3">
        <v>271.95</v>
      </c>
      <c r="H1267" s="3">
        <v>-271.95</v>
      </c>
      <c r="I1267" t="s">
        <v>554</v>
      </c>
    </row>
    <row r="1268" spans="1:9" x14ac:dyDescent="0.35">
      <c r="A1268" s="2">
        <v>45397</v>
      </c>
      <c r="B1268">
        <v>81</v>
      </c>
      <c r="C1268">
        <v>1111001</v>
      </c>
      <c r="D1268" t="s">
        <v>16</v>
      </c>
      <c r="E1268" t="s">
        <v>354</v>
      </c>
      <c r="F1268" s="3">
        <v>0</v>
      </c>
      <c r="G1268" s="3">
        <v>1500</v>
      </c>
      <c r="H1268" s="3">
        <v>-1500</v>
      </c>
      <c r="I1268" t="s">
        <v>554</v>
      </c>
    </row>
    <row r="1269" spans="1:9" x14ac:dyDescent="0.35">
      <c r="A1269" s="2">
        <v>45397</v>
      </c>
      <c r="B1269">
        <v>81</v>
      </c>
      <c r="C1269">
        <v>1111001</v>
      </c>
      <c r="D1269" t="s">
        <v>16</v>
      </c>
      <c r="E1269" t="s">
        <v>139</v>
      </c>
      <c r="F1269" s="3">
        <v>0</v>
      </c>
      <c r="G1269" s="3">
        <v>18572.98</v>
      </c>
      <c r="H1269" s="3">
        <v>-18572.98</v>
      </c>
      <c r="I1269" t="s">
        <v>554</v>
      </c>
    </row>
    <row r="1270" spans="1:9" x14ac:dyDescent="0.35">
      <c r="A1270" s="2">
        <v>45397</v>
      </c>
      <c r="B1270">
        <v>81</v>
      </c>
      <c r="C1270">
        <v>6121040</v>
      </c>
      <c r="D1270" t="s">
        <v>98</v>
      </c>
      <c r="E1270" t="s">
        <v>99</v>
      </c>
      <c r="F1270" s="3">
        <v>86.55</v>
      </c>
      <c r="G1270" s="3">
        <v>0</v>
      </c>
      <c r="H1270" s="3">
        <v>86.55</v>
      </c>
      <c r="I1270" t="s">
        <v>569</v>
      </c>
    </row>
    <row r="1271" spans="1:9" x14ac:dyDescent="0.35">
      <c r="A1271" s="2">
        <v>45397</v>
      </c>
      <c r="B1271">
        <v>81</v>
      </c>
      <c r="C1271">
        <v>6121046</v>
      </c>
      <c r="D1271" t="s">
        <v>94</v>
      </c>
      <c r="E1271" t="s">
        <v>95</v>
      </c>
      <c r="F1271" s="3">
        <v>122.83</v>
      </c>
      <c r="G1271" s="3">
        <v>0</v>
      </c>
      <c r="H1271" s="3">
        <v>122.83</v>
      </c>
      <c r="I1271" t="s">
        <v>569</v>
      </c>
    </row>
    <row r="1272" spans="1:9" x14ac:dyDescent="0.35">
      <c r="A1272" s="2">
        <v>45397</v>
      </c>
      <c r="B1272">
        <v>81</v>
      </c>
      <c r="C1272">
        <v>2114001</v>
      </c>
      <c r="D1272" t="s">
        <v>97</v>
      </c>
      <c r="E1272" t="s">
        <v>1768</v>
      </c>
      <c r="F1272" s="3">
        <v>5475</v>
      </c>
      <c r="G1272" s="3">
        <v>0</v>
      </c>
      <c r="H1272" s="3">
        <v>5475</v>
      </c>
      <c r="I1272" t="s">
        <v>569</v>
      </c>
    </row>
    <row r="1273" spans="1:9" x14ac:dyDescent="0.35">
      <c r="A1273" s="2">
        <v>45397</v>
      </c>
      <c r="B1273">
        <v>81</v>
      </c>
      <c r="C1273">
        <v>6121019</v>
      </c>
      <c r="D1273" t="s">
        <v>100</v>
      </c>
      <c r="E1273" t="s">
        <v>104</v>
      </c>
      <c r="F1273" s="3">
        <v>580</v>
      </c>
      <c r="G1273" s="3">
        <v>0</v>
      </c>
      <c r="H1273" s="3">
        <v>580</v>
      </c>
      <c r="I1273" t="s">
        <v>569</v>
      </c>
    </row>
    <row r="1274" spans="1:9" x14ac:dyDescent="0.35">
      <c r="A1274" s="2">
        <v>45397</v>
      </c>
      <c r="B1274">
        <v>81</v>
      </c>
      <c r="C1274">
        <v>1112001</v>
      </c>
      <c r="D1274" t="s">
        <v>20</v>
      </c>
      <c r="E1274" t="s">
        <v>570</v>
      </c>
      <c r="F1274" s="3">
        <v>0</v>
      </c>
      <c r="G1274" s="3">
        <v>6264.38</v>
      </c>
      <c r="H1274" s="3">
        <v>-6264.38</v>
      </c>
      <c r="I1274" t="s">
        <v>569</v>
      </c>
    </row>
    <row r="1275" spans="1:9" x14ac:dyDescent="0.35">
      <c r="A1275" s="2">
        <v>45397</v>
      </c>
      <c r="B1275">
        <v>81</v>
      </c>
      <c r="C1275">
        <v>1112001</v>
      </c>
      <c r="D1275" t="s">
        <v>20</v>
      </c>
      <c r="E1275" t="s">
        <v>571</v>
      </c>
      <c r="F1275" s="3">
        <v>6570</v>
      </c>
      <c r="G1275" s="3">
        <v>0</v>
      </c>
      <c r="H1275" s="3">
        <v>6570</v>
      </c>
      <c r="I1275" t="s">
        <v>569</v>
      </c>
    </row>
    <row r="1276" spans="1:9" x14ac:dyDescent="0.35">
      <c r="A1276" s="2">
        <v>45397</v>
      </c>
      <c r="B1276">
        <v>81</v>
      </c>
      <c r="C1276">
        <v>1111001</v>
      </c>
      <c r="D1276" t="s">
        <v>16</v>
      </c>
      <c r="E1276" t="s">
        <v>112</v>
      </c>
      <c r="F1276" s="3">
        <v>0</v>
      </c>
      <c r="G1276" s="3">
        <v>6570</v>
      </c>
      <c r="H1276" s="3">
        <v>-6570</v>
      </c>
      <c r="I1276" t="s">
        <v>569</v>
      </c>
    </row>
    <row r="1277" spans="1:9" x14ac:dyDescent="0.35">
      <c r="A1277" s="2">
        <v>45397</v>
      </c>
      <c r="B1277">
        <v>81</v>
      </c>
      <c r="C1277">
        <v>2161001</v>
      </c>
      <c r="D1277" t="s">
        <v>93</v>
      </c>
      <c r="E1277" t="s">
        <v>572</v>
      </c>
      <c r="F1277" s="3">
        <v>3928.53</v>
      </c>
      <c r="G1277" s="3">
        <v>0</v>
      </c>
      <c r="H1277" s="3">
        <v>3928.53</v>
      </c>
      <c r="I1277" t="s">
        <v>144</v>
      </c>
    </row>
    <row r="1278" spans="1:9" x14ac:dyDescent="0.35">
      <c r="A1278" s="2">
        <v>45397</v>
      </c>
      <c r="B1278">
        <v>81</v>
      </c>
      <c r="C1278">
        <v>5131006</v>
      </c>
      <c r="D1278" t="s">
        <v>125</v>
      </c>
      <c r="E1278" t="s">
        <v>572</v>
      </c>
      <c r="F1278" s="3">
        <v>15672.88</v>
      </c>
      <c r="G1278" s="3">
        <v>0</v>
      </c>
      <c r="H1278" s="3">
        <v>15672.88</v>
      </c>
      <c r="I1278" t="s">
        <v>144</v>
      </c>
    </row>
    <row r="1279" spans="1:9" x14ac:dyDescent="0.35">
      <c r="A1279" s="2">
        <v>45397</v>
      </c>
      <c r="B1279">
        <v>81</v>
      </c>
      <c r="C1279">
        <v>2114010</v>
      </c>
      <c r="D1279" t="s">
        <v>48</v>
      </c>
      <c r="E1279" t="s">
        <v>572</v>
      </c>
      <c r="F1279" s="3">
        <v>0</v>
      </c>
      <c r="G1279" s="3">
        <v>19601.41</v>
      </c>
      <c r="H1279" s="3">
        <v>-19601.41</v>
      </c>
      <c r="I1279" t="s">
        <v>144</v>
      </c>
    </row>
    <row r="1280" spans="1:9" x14ac:dyDescent="0.35">
      <c r="A1280" s="2">
        <v>45397</v>
      </c>
      <c r="B1280">
        <v>81</v>
      </c>
      <c r="C1280">
        <v>5131001</v>
      </c>
      <c r="D1280" t="s">
        <v>86</v>
      </c>
      <c r="E1280" t="s">
        <v>573</v>
      </c>
      <c r="F1280" s="3">
        <v>390</v>
      </c>
      <c r="G1280" s="3">
        <v>0</v>
      </c>
      <c r="H1280" s="3">
        <v>390</v>
      </c>
      <c r="I1280" t="s">
        <v>574</v>
      </c>
    </row>
    <row r="1281" spans="1:9" x14ac:dyDescent="0.35">
      <c r="A1281" s="2">
        <v>45397</v>
      </c>
      <c r="B1281">
        <v>81</v>
      </c>
      <c r="C1281">
        <v>5131005</v>
      </c>
      <c r="D1281" t="s">
        <v>205</v>
      </c>
      <c r="E1281" t="s">
        <v>573</v>
      </c>
      <c r="F1281" s="3">
        <v>4351.2</v>
      </c>
      <c r="G1281" s="3">
        <v>0</v>
      </c>
      <c r="H1281" s="3">
        <v>4351.2</v>
      </c>
      <c r="I1281" t="s">
        <v>574</v>
      </c>
    </row>
    <row r="1282" spans="1:9" x14ac:dyDescent="0.35">
      <c r="A1282" s="2">
        <v>45397</v>
      </c>
      <c r="B1282">
        <v>81</v>
      </c>
      <c r="C1282">
        <v>5131008</v>
      </c>
      <c r="D1282" t="s">
        <v>89</v>
      </c>
      <c r="E1282" t="s">
        <v>573</v>
      </c>
      <c r="F1282" s="3">
        <v>81.900000000000006</v>
      </c>
      <c r="G1282" s="3">
        <v>0</v>
      </c>
      <c r="H1282" s="3">
        <v>81.900000000000006</v>
      </c>
      <c r="I1282" t="s">
        <v>574</v>
      </c>
    </row>
    <row r="1283" spans="1:9" x14ac:dyDescent="0.35">
      <c r="A1283" s="2">
        <v>45397</v>
      </c>
      <c r="B1283">
        <v>81</v>
      </c>
      <c r="C1283">
        <v>5131009</v>
      </c>
      <c r="D1283" t="s">
        <v>90</v>
      </c>
      <c r="E1283" t="s">
        <v>573</v>
      </c>
      <c r="F1283" s="3">
        <v>16.25</v>
      </c>
      <c r="G1283" s="3">
        <v>0</v>
      </c>
      <c r="H1283" s="3">
        <v>16.25</v>
      </c>
      <c r="I1283" t="s">
        <v>574</v>
      </c>
    </row>
    <row r="1284" spans="1:9" x14ac:dyDescent="0.35">
      <c r="A1284" s="2">
        <v>45397</v>
      </c>
      <c r="B1284">
        <v>81</v>
      </c>
      <c r="C1284">
        <v>5131010</v>
      </c>
      <c r="D1284" t="s">
        <v>91</v>
      </c>
      <c r="E1284" t="s">
        <v>573</v>
      </c>
      <c r="F1284" s="3">
        <v>32.5</v>
      </c>
      <c r="G1284" s="3">
        <v>0</v>
      </c>
      <c r="H1284" s="3">
        <v>32.5</v>
      </c>
      <c r="I1284" t="s">
        <v>574</v>
      </c>
    </row>
    <row r="1285" spans="1:9" x14ac:dyDescent="0.35">
      <c r="A1285" s="2">
        <v>45397</v>
      </c>
      <c r="B1285">
        <v>81</v>
      </c>
      <c r="C1285">
        <v>5131012</v>
      </c>
      <c r="D1285" t="s">
        <v>206</v>
      </c>
      <c r="E1285" t="s">
        <v>573</v>
      </c>
      <c r="F1285" s="3">
        <v>28.6</v>
      </c>
      <c r="G1285" s="3">
        <v>0</v>
      </c>
      <c r="H1285" s="3">
        <v>28.6</v>
      </c>
      <c r="I1285" t="s">
        <v>574</v>
      </c>
    </row>
    <row r="1286" spans="1:9" x14ac:dyDescent="0.35">
      <c r="A1286" s="2">
        <v>45397</v>
      </c>
      <c r="B1286">
        <v>81</v>
      </c>
      <c r="C1286">
        <v>5131013</v>
      </c>
      <c r="D1286" t="s">
        <v>92</v>
      </c>
      <c r="E1286" t="s">
        <v>573</v>
      </c>
      <c r="F1286" s="3">
        <v>7.8</v>
      </c>
      <c r="G1286" s="3">
        <v>0</v>
      </c>
      <c r="H1286" s="3">
        <v>7.8</v>
      </c>
      <c r="I1286" t="s">
        <v>574</v>
      </c>
    </row>
    <row r="1287" spans="1:9" x14ac:dyDescent="0.35">
      <c r="A1287" s="2">
        <v>45397</v>
      </c>
      <c r="B1287">
        <v>81</v>
      </c>
      <c r="C1287">
        <v>5131014</v>
      </c>
      <c r="D1287" t="s">
        <v>207</v>
      </c>
      <c r="E1287" t="s">
        <v>573</v>
      </c>
      <c r="F1287" s="3">
        <v>7.8</v>
      </c>
      <c r="G1287" s="3">
        <v>0</v>
      </c>
      <c r="H1287" s="3">
        <v>7.8</v>
      </c>
      <c r="I1287" t="s">
        <v>574</v>
      </c>
    </row>
    <row r="1288" spans="1:9" x14ac:dyDescent="0.35">
      <c r="A1288" s="2">
        <v>45397</v>
      </c>
      <c r="B1288">
        <v>81</v>
      </c>
      <c r="C1288">
        <v>2131002</v>
      </c>
      <c r="D1288" t="s">
        <v>31</v>
      </c>
      <c r="E1288" t="s">
        <v>573</v>
      </c>
      <c r="F1288" s="3">
        <v>0</v>
      </c>
      <c r="G1288" s="3">
        <v>18</v>
      </c>
      <c r="H1288" s="3">
        <v>-18</v>
      </c>
      <c r="I1288" t="s">
        <v>574</v>
      </c>
    </row>
    <row r="1289" spans="1:9" x14ac:dyDescent="0.35">
      <c r="A1289" s="2">
        <v>45397</v>
      </c>
      <c r="B1289">
        <v>81</v>
      </c>
      <c r="C1289">
        <v>2131003</v>
      </c>
      <c r="D1289" t="s">
        <v>32</v>
      </c>
      <c r="E1289" t="s">
        <v>573</v>
      </c>
      <c r="F1289" s="3">
        <v>0</v>
      </c>
      <c r="G1289" s="3">
        <v>2.25</v>
      </c>
      <c r="H1289" s="3">
        <v>-2.25</v>
      </c>
      <c r="I1289" t="s">
        <v>574</v>
      </c>
    </row>
    <row r="1290" spans="1:9" x14ac:dyDescent="0.35">
      <c r="A1290" s="2">
        <v>45397</v>
      </c>
      <c r="B1290">
        <v>81</v>
      </c>
      <c r="C1290">
        <v>2131004</v>
      </c>
      <c r="D1290" t="s">
        <v>33</v>
      </c>
      <c r="E1290" t="s">
        <v>573</v>
      </c>
      <c r="F1290" s="3">
        <v>0</v>
      </c>
      <c r="G1290" s="3">
        <v>6.25</v>
      </c>
      <c r="H1290" s="3">
        <v>-6.25</v>
      </c>
      <c r="I1290" t="s">
        <v>574</v>
      </c>
    </row>
    <row r="1291" spans="1:9" x14ac:dyDescent="0.35">
      <c r="A1291" s="2">
        <v>45397</v>
      </c>
      <c r="B1291">
        <v>81</v>
      </c>
      <c r="C1291">
        <v>2141001</v>
      </c>
      <c r="D1291" t="s">
        <v>35</v>
      </c>
      <c r="E1291" t="s">
        <v>573</v>
      </c>
      <c r="F1291" s="3">
        <v>0</v>
      </c>
      <c r="G1291" s="3">
        <v>28.6</v>
      </c>
      <c r="H1291" s="3">
        <v>-28.6</v>
      </c>
      <c r="I1291" t="s">
        <v>574</v>
      </c>
    </row>
    <row r="1292" spans="1:9" x14ac:dyDescent="0.35">
      <c r="A1292" s="2">
        <v>45397</v>
      </c>
      <c r="B1292">
        <v>81</v>
      </c>
      <c r="C1292">
        <v>2141002</v>
      </c>
      <c r="D1292" t="s">
        <v>36</v>
      </c>
      <c r="E1292" t="s">
        <v>573</v>
      </c>
      <c r="F1292" s="3">
        <v>0</v>
      </c>
      <c r="G1292" s="3">
        <v>7.8</v>
      </c>
      <c r="H1292" s="3">
        <v>-7.8</v>
      </c>
      <c r="I1292" t="s">
        <v>574</v>
      </c>
    </row>
    <row r="1293" spans="1:9" x14ac:dyDescent="0.35">
      <c r="A1293" s="2">
        <v>45397</v>
      </c>
      <c r="B1293">
        <v>81</v>
      </c>
      <c r="C1293">
        <v>2141003</v>
      </c>
      <c r="D1293" t="s">
        <v>37</v>
      </c>
      <c r="E1293" t="s">
        <v>573</v>
      </c>
      <c r="F1293" s="3">
        <v>0</v>
      </c>
      <c r="G1293" s="3">
        <v>7.8</v>
      </c>
      <c r="H1293" s="3">
        <v>-7.8</v>
      </c>
      <c r="I1293" t="s">
        <v>574</v>
      </c>
    </row>
    <row r="1294" spans="1:9" x14ac:dyDescent="0.35">
      <c r="A1294" s="2">
        <v>45397</v>
      </c>
      <c r="B1294">
        <v>81</v>
      </c>
      <c r="C1294">
        <v>2161004</v>
      </c>
      <c r="D1294" t="s">
        <v>38</v>
      </c>
      <c r="E1294" t="s">
        <v>573</v>
      </c>
      <c r="F1294" s="3">
        <v>0</v>
      </c>
      <c r="G1294" s="3">
        <v>16.25</v>
      </c>
      <c r="H1294" s="3">
        <v>-16.25</v>
      </c>
      <c r="I1294" t="s">
        <v>574</v>
      </c>
    </row>
    <row r="1295" spans="1:9" x14ac:dyDescent="0.35">
      <c r="A1295" s="2">
        <v>45397</v>
      </c>
      <c r="B1295">
        <v>81</v>
      </c>
      <c r="C1295">
        <v>2161005</v>
      </c>
      <c r="D1295" t="s">
        <v>39</v>
      </c>
      <c r="E1295" t="s">
        <v>573</v>
      </c>
      <c r="F1295" s="3">
        <v>0</v>
      </c>
      <c r="G1295" s="3">
        <v>32.5</v>
      </c>
      <c r="H1295" s="3">
        <v>-32.5</v>
      </c>
      <c r="I1295" t="s">
        <v>574</v>
      </c>
    </row>
    <row r="1296" spans="1:9" x14ac:dyDescent="0.35">
      <c r="A1296" s="2">
        <v>45397</v>
      </c>
      <c r="B1296">
        <v>81</v>
      </c>
      <c r="C1296">
        <v>2241001</v>
      </c>
      <c r="D1296" t="s">
        <v>40</v>
      </c>
      <c r="E1296" t="s">
        <v>573</v>
      </c>
      <c r="F1296" s="3">
        <v>0</v>
      </c>
      <c r="G1296" s="3">
        <v>81.900000000000006</v>
      </c>
      <c r="H1296" s="3">
        <v>-81.900000000000006</v>
      </c>
      <c r="I1296" t="s">
        <v>574</v>
      </c>
    </row>
    <row r="1297" spans="1:9" x14ac:dyDescent="0.35">
      <c r="A1297" s="2">
        <v>45397</v>
      </c>
      <c r="B1297">
        <v>81</v>
      </c>
      <c r="C1297">
        <v>2161001</v>
      </c>
      <c r="D1297" t="s">
        <v>93</v>
      </c>
      <c r="E1297" t="s">
        <v>573</v>
      </c>
      <c r="F1297" s="3">
        <v>0</v>
      </c>
      <c r="G1297" s="3">
        <v>4714.7</v>
      </c>
      <c r="H1297" s="3">
        <v>-4714.7</v>
      </c>
      <c r="I1297" t="s">
        <v>574</v>
      </c>
    </row>
    <row r="1298" spans="1:9" x14ac:dyDescent="0.35">
      <c r="A1298" s="2">
        <v>45397</v>
      </c>
      <c r="B1298">
        <v>81</v>
      </c>
      <c r="C1298">
        <v>5131016</v>
      </c>
      <c r="D1298" t="s">
        <v>238</v>
      </c>
      <c r="E1298" t="s">
        <v>575</v>
      </c>
      <c r="F1298" s="3">
        <v>1800</v>
      </c>
      <c r="G1298" s="3">
        <v>0</v>
      </c>
      <c r="H1298" s="3">
        <v>1800</v>
      </c>
      <c r="I1298" t="s">
        <v>144</v>
      </c>
    </row>
    <row r="1299" spans="1:9" x14ac:dyDescent="0.35">
      <c r="A1299" s="2">
        <v>45397</v>
      </c>
      <c r="B1299">
        <v>81</v>
      </c>
      <c r="C1299">
        <v>2114001</v>
      </c>
      <c r="D1299" t="s">
        <v>97</v>
      </c>
      <c r="E1299" t="s">
        <v>575</v>
      </c>
      <c r="F1299" s="3">
        <v>0</v>
      </c>
      <c r="G1299" s="3">
        <v>1800</v>
      </c>
      <c r="H1299" s="3">
        <v>-1800</v>
      </c>
      <c r="I1299" t="s">
        <v>144</v>
      </c>
    </row>
    <row r="1300" spans="1:9" x14ac:dyDescent="0.35">
      <c r="A1300" s="2">
        <v>45397</v>
      </c>
      <c r="B1300">
        <v>81</v>
      </c>
      <c r="C1300">
        <v>6121023</v>
      </c>
      <c r="D1300" t="s">
        <v>49</v>
      </c>
      <c r="E1300" t="s">
        <v>576</v>
      </c>
      <c r="F1300" s="3">
        <v>1420</v>
      </c>
      <c r="G1300" s="3">
        <v>0</v>
      </c>
      <c r="H1300" s="3">
        <v>1420</v>
      </c>
      <c r="I1300" t="s">
        <v>144</v>
      </c>
    </row>
    <row r="1301" spans="1:9" x14ac:dyDescent="0.35">
      <c r="A1301" s="2">
        <v>45397</v>
      </c>
      <c r="B1301">
        <v>81</v>
      </c>
      <c r="C1301">
        <v>2114001</v>
      </c>
      <c r="D1301" t="s">
        <v>97</v>
      </c>
      <c r="E1301" t="s">
        <v>576</v>
      </c>
      <c r="F1301" s="3">
        <v>0</v>
      </c>
      <c r="G1301" s="3">
        <v>1420</v>
      </c>
      <c r="H1301" s="3">
        <v>-1420</v>
      </c>
      <c r="I1301" t="s">
        <v>144</v>
      </c>
    </row>
    <row r="1302" spans="1:9" x14ac:dyDescent="0.35">
      <c r="A1302" s="2">
        <v>45397</v>
      </c>
      <c r="B1302">
        <v>81</v>
      </c>
      <c r="C1302">
        <v>2114010</v>
      </c>
      <c r="D1302" t="s">
        <v>48</v>
      </c>
      <c r="E1302" t="s">
        <v>577</v>
      </c>
      <c r="F1302" s="3">
        <v>5685.28</v>
      </c>
      <c r="G1302" s="3">
        <v>0</v>
      </c>
      <c r="H1302" s="3">
        <v>5685.28</v>
      </c>
      <c r="I1302" t="s">
        <v>144</v>
      </c>
    </row>
    <row r="1303" spans="1:9" x14ac:dyDescent="0.35">
      <c r="A1303" s="2">
        <v>45397</v>
      </c>
      <c r="B1303">
        <v>81</v>
      </c>
      <c r="C1303">
        <v>2114001</v>
      </c>
      <c r="D1303" t="s">
        <v>97</v>
      </c>
      <c r="E1303" t="s">
        <v>577</v>
      </c>
      <c r="F1303" s="3">
        <v>0</v>
      </c>
      <c r="G1303" s="3">
        <v>5685.28</v>
      </c>
      <c r="H1303" s="3">
        <v>-5685.28</v>
      </c>
      <c r="I1303" t="s">
        <v>144</v>
      </c>
    </row>
    <row r="1304" spans="1:9" x14ac:dyDescent="0.35">
      <c r="A1304" s="2">
        <v>45412</v>
      </c>
      <c r="B1304">
        <v>82</v>
      </c>
      <c r="C1304">
        <v>6121023</v>
      </c>
      <c r="D1304" t="s">
        <v>49</v>
      </c>
      <c r="E1304" t="s">
        <v>159</v>
      </c>
      <c r="F1304" s="3">
        <v>372.91</v>
      </c>
      <c r="G1304" s="3">
        <v>0</v>
      </c>
      <c r="H1304" s="3">
        <v>372.91</v>
      </c>
      <c r="I1304" t="s">
        <v>578</v>
      </c>
    </row>
    <row r="1305" spans="1:9" x14ac:dyDescent="0.35">
      <c r="A1305" s="2">
        <v>45412</v>
      </c>
      <c r="B1305">
        <v>82</v>
      </c>
      <c r="C1305">
        <v>2114010</v>
      </c>
      <c r="D1305" t="s">
        <v>48</v>
      </c>
      <c r="E1305" t="s">
        <v>159</v>
      </c>
      <c r="F1305" s="3">
        <v>0</v>
      </c>
      <c r="G1305" s="3">
        <v>372.91</v>
      </c>
      <c r="H1305" s="3">
        <v>-372.91</v>
      </c>
      <c r="I1305" t="s">
        <v>578</v>
      </c>
    </row>
    <row r="1306" spans="1:9" x14ac:dyDescent="0.35">
      <c r="A1306" s="2">
        <v>45412</v>
      </c>
      <c r="B1306">
        <v>82</v>
      </c>
      <c r="C1306">
        <v>6121023</v>
      </c>
      <c r="D1306" t="s">
        <v>49</v>
      </c>
      <c r="E1306" t="s">
        <v>52</v>
      </c>
      <c r="F1306" s="3">
        <v>290.74</v>
      </c>
      <c r="G1306" s="3">
        <v>0</v>
      </c>
      <c r="H1306" s="3">
        <v>290.74</v>
      </c>
      <c r="I1306" t="s">
        <v>579</v>
      </c>
    </row>
    <row r="1307" spans="1:9" x14ac:dyDescent="0.35">
      <c r="A1307" s="2">
        <v>45412</v>
      </c>
      <c r="B1307">
        <v>82</v>
      </c>
      <c r="C1307">
        <v>2114010</v>
      </c>
      <c r="D1307" t="s">
        <v>48</v>
      </c>
      <c r="E1307" t="s">
        <v>52</v>
      </c>
      <c r="F1307" s="3">
        <v>0</v>
      </c>
      <c r="G1307" s="3">
        <v>290.74</v>
      </c>
      <c r="H1307" s="3">
        <v>-290.74</v>
      </c>
      <c r="I1307" t="s">
        <v>579</v>
      </c>
    </row>
    <row r="1308" spans="1:9" x14ac:dyDescent="0.35">
      <c r="A1308" s="2">
        <v>45412</v>
      </c>
      <c r="B1308">
        <v>82</v>
      </c>
      <c r="C1308">
        <v>6121023</v>
      </c>
      <c r="D1308" t="s">
        <v>49</v>
      </c>
      <c r="E1308" t="s">
        <v>159</v>
      </c>
      <c r="F1308" s="3">
        <v>600.29</v>
      </c>
      <c r="G1308" s="3">
        <v>0</v>
      </c>
      <c r="H1308" s="3">
        <v>600.29</v>
      </c>
      <c r="I1308" t="s">
        <v>580</v>
      </c>
    </row>
    <row r="1309" spans="1:9" x14ac:dyDescent="0.35">
      <c r="A1309" s="2">
        <v>45412</v>
      </c>
      <c r="B1309">
        <v>82</v>
      </c>
      <c r="C1309">
        <v>2114010</v>
      </c>
      <c r="D1309" t="s">
        <v>48</v>
      </c>
      <c r="E1309" t="s">
        <v>159</v>
      </c>
      <c r="F1309" s="3">
        <v>0</v>
      </c>
      <c r="G1309" s="3">
        <v>600.29</v>
      </c>
      <c r="H1309" s="3">
        <v>-600.29</v>
      </c>
      <c r="I1309" t="s">
        <v>580</v>
      </c>
    </row>
    <row r="1310" spans="1:9" x14ac:dyDescent="0.35">
      <c r="A1310" s="2">
        <v>45412</v>
      </c>
      <c r="B1310">
        <v>82</v>
      </c>
      <c r="C1310">
        <v>6121023</v>
      </c>
      <c r="D1310" t="s">
        <v>49</v>
      </c>
      <c r="E1310" t="s">
        <v>52</v>
      </c>
      <c r="F1310" s="3">
        <v>145.37</v>
      </c>
      <c r="G1310" s="3">
        <v>0</v>
      </c>
      <c r="H1310" s="3">
        <v>145.37</v>
      </c>
      <c r="I1310" t="s">
        <v>581</v>
      </c>
    </row>
    <row r="1311" spans="1:9" x14ac:dyDescent="0.35">
      <c r="A1311" s="2">
        <v>45412</v>
      </c>
      <c r="B1311">
        <v>82</v>
      </c>
      <c r="C1311">
        <v>2114010</v>
      </c>
      <c r="D1311" t="s">
        <v>48</v>
      </c>
      <c r="E1311" t="s">
        <v>52</v>
      </c>
      <c r="F1311" s="3">
        <v>0</v>
      </c>
      <c r="G1311" s="3">
        <v>145.37</v>
      </c>
      <c r="H1311" s="3">
        <v>-145.37</v>
      </c>
      <c r="I1311" t="s">
        <v>581</v>
      </c>
    </row>
    <row r="1312" spans="1:9" x14ac:dyDescent="0.35">
      <c r="A1312" s="2">
        <v>45412</v>
      </c>
      <c r="B1312">
        <v>82</v>
      </c>
      <c r="C1312">
        <v>6121023</v>
      </c>
      <c r="D1312" t="s">
        <v>49</v>
      </c>
      <c r="E1312" t="s">
        <v>52</v>
      </c>
      <c r="F1312" s="3">
        <v>377.38</v>
      </c>
      <c r="G1312" s="3">
        <v>0</v>
      </c>
      <c r="H1312" s="3">
        <v>377.38</v>
      </c>
      <c r="I1312" t="s">
        <v>582</v>
      </c>
    </row>
    <row r="1313" spans="1:9" x14ac:dyDescent="0.35">
      <c r="A1313" s="2">
        <v>45412</v>
      </c>
      <c r="B1313">
        <v>82</v>
      </c>
      <c r="C1313">
        <v>2114010</v>
      </c>
      <c r="D1313" t="s">
        <v>48</v>
      </c>
      <c r="E1313" t="s">
        <v>52</v>
      </c>
      <c r="F1313" s="3">
        <v>0</v>
      </c>
      <c r="G1313" s="3">
        <v>377.38</v>
      </c>
      <c r="H1313" s="3">
        <v>-377.38</v>
      </c>
      <c r="I1313" t="s">
        <v>582</v>
      </c>
    </row>
    <row r="1314" spans="1:9" x14ac:dyDescent="0.35">
      <c r="A1314" s="2">
        <v>45412</v>
      </c>
      <c r="B1314">
        <v>82</v>
      </c>
      <c r="C1314">
        <v>6121023</v>
      </c>
      <c r="D1314" t="s">
        <v>49</v>
      </c>
      <c r="E1314" t="s">
        <v>52</v>
      </c>
      <c r="F1314" s="3">
        <v>144.85</v>
      </c>
      <c r="G1314" s="3">
        <v>0</v>
      </c>
      <c r="H1314" s="3">
        <v>144.85</v>
      </c>
      <c r="I1314" t="s">
        <v>583</v>
      </c>
    </row>
    <row r="1315" spans="1:9" x14ac:dyDescent="0.35">
      <c r="A1315" s="2">
        <v>45412</v>
      </c>
      <c r="B1315">
        <v>82</v>
      </c>
      <c r="C1315">
        <v>6121046</v>
      </c>
      <c r="D1315" t="s">
        <v>94</v>
      </c>
      <c r="E1315" t="s">
        <v>52</v>
      </c>
      <c r="F1315" s="3">
        <v>4.3499999999999996</v>
      </c>
      <c r="G1315" s="3">
        <v>0</v>
      </c>
      <c r="H1315" s="3">
        <v>4.3499999999999996</v>
      </c>
      <c r="I1315" t="s">
        <v>583</v>
      </c>
    </row>
    <row r="1316" spans="1:9" x14ac:dyDescent="0.35">
      <c r="A1316" s="2">
        <v>45412</v>
      </c>
      <c r="B1316">
        <v>82</v>
      </c>
      <c r="C1316">
        <v>2114010</v>
      </c>
      <c r="D1316" t="s">
        <v>48</v>
      </c>
      <c r="E1316" t="s">
        <v>52</v>
      </c>
      <c r="F1316" s="3">
        <v>0</v>
      </c>
      <c r="G1316" s="3">
        <v>4.3499999999999996</v>
      </c>
      <c r="H1316" s="3">
        <v>-4.3499999999999996</v>
      </c>
      <c r="I1316" t="s">
        <v>583</v>
      </c>
    </row>
    <row r="1317" spans="1:9" x14ac:dyDescent="0.35">
      <c r="A1317" s="2">
        <v>45412</v>
      </c>
      <c r="B1317">
        <v>82</v>
      </c>
      <c r="C1317">
        <v>2114010</v>
      </c>
      <c r="D1317" t="s">
        <v>48</v>
      </c>
      <c r="E1317" t="s">
        <v>52</v>
      </c>
      <c r="F1317" s="3">
        <v>0</v>
      </c>
      <c r="G1317" s="3">
        <v>144.85</v>
      </c>
      <c r="H1317" s="3">
        <v>-144.85</v>
      </c>
      <c r="I1317" t="s">
        <v>583</v>
      </c>
    </row>
    <row r="1318" spans="1:9" x14ac:dyDescent="0.35">
      <c r="A1318" s="2">
        <v>45412</v>
      </c>
      <c r="B1318">
        <v>82</v>
      </c>
      <c r="C1318">
        <v>6121023</v>
      </c>
      <c r="D1318" t="s">
        <v>49</v>
      </c>
      <c r="E1318" t="s">
        <v>52</v>
      </c>
      <c r="F1318" s="3">
        <v>144.97</v>
      </c>
      <c r="G1318" s="3">
        <v>0</v>
      </c>
      <c r="H1318" s="3">
        <v>144.97</v>
      </c>
      <c r="I1318" t="s">
        <v>584</v>
      </c>
    </row>
    <row r="1319" spans="1:9" x14ac:dyDescent="0.35">
      <c r="A1319" s="2">
        <v>45412</v>
      </c>
      <c r="B1319">
        <v>82</v>
      </c>
      <c r="C1319">
        <v>2114010</v>
      </c>
      <c r="D1319" t="s">
        <v>48</v>
      </c>
      <c r="E1319" t="s">
        <v>52</v>
      </c>
      <c r="F1319" s="3">
        <v>0</v>
      </c>
      <c r="G1319" s="3">
        <v>144.97</v>
      </c>
      <c r="H1319" s="3">
        <v>-144.97</v>
      </c>
      <c r="I1319" t="s">
        <v>584</v>
      </c>
    </row>
    <row r="1320" spans="1:9" x14ac:dyDescent="0.35">
      <c r="A1320" s="2">
        <v>45412</v>
      </c>
      <c r="B1320">
        <v>82</v>
      </c>
      <c r="C1320">
        <v>6121023</v>
      </c>
      <c r="D1320" t="s">
        <v>49</v>
      </c>
      <c r="E1320" t="s">
        <v>52</v>
      </c>
      <c r="F1320" s="3">
        <v>320.92</v>
      </c>
      <c r="G1320" s="3">
        <v>0</v>
      </c>
      <c r="H1320" s="3">
        <v>320.92</v>
      </c>
      <c r="I1320" t="s">
        <v>585</v>
      </c>
    </row>
    <row r="1321" spans="1:9" x14ac:dyDescent="0.35">
      <c r="A1321" s="2">
        <v>45412</v>
      </c>
      <c r="B1321">
        <v>82</v>
      </c>
      <c r="C1321">
        <v>2114010</v>
      </c>
      <c r="D1321" t="s">
        <v>48</v>
      </c>
      <c r="E1321" t="s">
        <v>52</v>
      </c>
      <c r="F1321" s="3">
        <v>0</v>
      </c>
      <c r="G1321" s="3">
        <v>320.92</v>
      </c>
      <c r="H1321" s="3">
        <v>-320.92</v>
      </c>
      <c r="I1321" t="s">
        <v>585</v>
      </c>
    </row>
    <row r="1322" spans="1:9" x14ac:dyDescent="0.35">
      <c r="A1322" s="2">
        <v>45412</v>
      </c>
      <c r="B1322">
        <v>82</v>
      </c>
      <c r="C1322">
        <v>6121023</v>
      </c>
      <c r="D1322" t="s">
        <v>49</v>
      </c>
      <c r="E1322" t="s">
        <v>52</v>
      </c>
      <c r="F1322" s="3">
        <v>1396.43</v>
      </c>
      <c r="G1322" s="3">
        <v>0</v>
      </c>
      <c r="H1322" s="3">
        <v>1396.43</v>
      </c>
      <c r="I1322" t="s">
        <v>586</v>
      </c>
    </row>
    <row r="1323" spans="1:9" x14ac:dyDescent="0.35">
      <c r="A1323" s="2">
        <v>45412</v>
      </c>
      <c r="B1323">
        <v>82</v>
      </c>
      <c r="C1323">
        <v>2114010</v>
      </c>
      <c r="D1323" t="s">
        <v>48</v>
      </c>
      <c r="E1323" t="s">
        <v>52</v>
      </c>
      <c r="F1323" s="3">
        <v>0</v>
      </c>
      <c r="G1323" s="3">
        <v>1396.43</v>
      </c>
      <c r="H1323" s="3">
        <v>-1396.43</v>
      </c>
      <c r="I1323" t="s">
        <v>586</v>
      </c>
    </row>
    <row r="1324" spans="1:9" x14ac:dyDescent="0.35">
      <c r="A1324" s="2">
        <v>45412</v>
      </c>
      <c r="B1324">
        <v>82</v>
      </c>
      <c r="C1324">
        <v>6121023</v>
      </c>
      <c r="D1324" t="s">
        <v>49</v>
      </c>
      <c r="E1324" t="s">
        <v>52</v>
      </c>
      <c r="F1324" s="3">
        <v>764.05</v>
      </c>
      <c r="G1324" s="3">
        <v>0</v>
      </c>
      <c r="H1324" s="3">
        <v>764.05</v>
      </c>
      <c r="I1324" t="s">
        <v>587</v>
      </c>
    </row>
    <row r="1325" spans="1:9" x14ac:dyDescent="0.35">
      <c r="A1325" s="2">
        <v>45412</v>
      </c>
      <c r="B1325">
        <v>82</v>
      </c>
      <c r="C1325">
        <v>2114010</v>
      </c>
      <c r="D1325" t="s">
        <v>48</v>
      </c>
      <c r="E1325" t="s">
        <v>52</v>
      </c>
      <c r="F1325" s="3">
        <v>0</v>
      </c>
      <c r="G1325" s="3">
        <v>764.05</v>
      </c>
      <c r="H1325" s="3">
        <v>-764.05</v>
      </c>
      <c r="I1325" t="s">
        <v>587</v>
      </c>
    </row>
    <row r="1326" spans="1:9" x14ac:dyDescent="0.35">
      <c r="A1326" s="2">
        <v>45412</v>
      </c>
      <c r="B1326">
        <v>82</v>
      </c>
      <c r="C1326">
        <v>6121023</v>
      </c>
      <c r="D1326" t="s">
        <v>49</v>
      </c>
      <c r="E1326" t="s">
        <v>588</v>
      </c>
      <c r="F1326" s="3">
        <v>278.64</v>
      </c>
      <c r="G1326" s="3">
        <v>0</v>
      </c>
      <c r="H1326" s="3">
        <v>278.64</v>
      </c>
      <c r="I1326" t="s">
        <v>589</v>
      </c>
    </row>
    <row r="1327" spans="1:9" x14ac:dyDescent="0.35">
      <c r="A1327" s="2">
        <v>45412</v>
      </c>
      <c r="B1327">
        <v>82</v>
      </c>
      <c r="C1327">
        <v>2114010</v>
      </c>
      <c r="D1327" t="s">
        <v>48</v>
      </c>
      <c r="E1327" t="s">
        <v>588</v>
      </c>
      <c r="F1327" s="3">
        <v>0</v>
      </c>
      <c r="G1327" s="3">
        <v>278.64</v>
      </c>
      <c r="H1327" s="3">
        <v>-278.64</v>
      </c>
      <c r="I1327" t="s">
        <v>589</v>
      </c>
    </row>
    <row r="1328" spans="1:9" x14ac:dyDescent="0.35">
      <c r="A1328" s="2">
        <v>45412</v>
      </c>
      <c r="B1328">
        <v>82</v>
      </c>
      <c r="C1328">
        <v>5132012</v>
      </c>
      <c r="D1328" t="s">
        <v>303</v>
      </c>
      <c r="E1328" t="s">
        <v>590</v>
      </c>
      <c r="F1328" s="3">
        <v>108.87</v>
      </c>
      <c r="G1328" s="3">
        <v>0</v>
      </c>
      <c r="H1328" s="3">
        <v>108.87</v>
      </c>
      <c r="I1328" t="s">
        <v>591</v>
      </c>
    </row>
    <row r="1329" spans="1:9" x14ac:dyDescent="0.35">
      <c r="A1329" s="2">
        <v>45412</v>
      </c>
      <c r="B1329">
        <v>82</v>
      </c>
      <c r="C1329">
        <v>2114010</v>
      </c>
      <c r="D1329" t="s">
        <v>48</v>
      </c>
      <c r="E1329" t="s">
        <v>590</v>
      </c>
      <c r="F1329" s="3">
        <v>0</v>
      </c>
      <c r="G1329" s="3">
        <v>108.87</v>
      </c>
      <c r="H1329" s="3">
        <v>-108.87</v>
      </c>
      <c r="I1329" t="s">
        <v>591</v>
      </c>
    </row>
    <row r="1330" spans="1:9" x14ac:dyDescent="0.35">
      <c r="A1330" s="2">
        <v>45412</v>
      </c>
      <c r="B1330">
        <v>82</v>
      </c>
      <c r="C1330">
        <v>4112003</v>
      </c>
      <c r="D1330" t="s">
        <v>58</v>
      </c>
      <c r="E1330" t="s">
        <v>59</v>
      </c>
      <c r="F1330" s="3">
        <v>0</v>
      </c>
      <c r="G1330" s="3">
        <v>5000.68</v>
      </c>
      <c r="H1330" s="3">
        <v>-5000.68</v>
      </c>
      <c r="I1330" t="s">
        <v>592</v>
      </c>
    </row>
    <row r="1331" spans="1:9" x14ac:dyDescent="0.35">
      <c r="A1331" s="2">
        <v>45412</v>
      </c>
      <c r="B1331">
        <v>82</v>
      </c>
      <c r="C1331">
        <v>2121001</v>
      </c>
      <c r="D1331" t="s">
        <v>27</v>
      </c>
      <c r="E1331" t="s">
        <v>59</v>
      </c>
      <c r="F1331" s="3">
        <v>0</v>
      </c>
      <c r="G1331" s="3">
        <v>800.11</v>
      </c>
      <c r="H1331" s="3">
        <v>-800.11</v>
      </c>
      <c r="I1331" t="s">
        <v>592</v>
      </c>
    </row>
    <row r="1332" spans="1:9" x14ac:dyDescent="0.35">
      <c r="A1332" s="2">
        <v>45412</v>
      </c>
      <c r="B1332">
        <v>82</v>
      </c>
      <c r="C1332">
        <v>1111001</v>
      </c>
      <c r="D1332" t="s">
        <v>16</v>
      </c>
      <c r="E1332" t="s">
        <v>59</v>
      </c>
      <c r="F1332" s="3">
        <v>5800.79</v>
      </c>
      <c r="G1332" s="3">
        <v>0</v>
      </c>
      <c r="H1332" s="3">
        <v>5800.79</v>
      </c>
      <c r="I1332" t="s">
        <v>592</v>
      </c>
    </row>
    <row r="1333" spans="1:9" x14ac:dyDescent="0.35">
      <c r="A1333" s="2">
        <v>45412</v>
      </c>
      <c r="B1333">
        <v>82</v>
      </c>
      <c r="C1333">
        <v>4112003</v>
      </c>
      <c r="D1333" t="s">
        <v>58</v>
      </c>
      <c r="E1333" t="s">
        <v>59</v>
      </c>
      <c r="F1333" s="3">
        <v>0</v>
      </c>
      <c r="G1333" s="3">
        <v>6466.35</v>
      </c>
      <c r="H1333" s="3">
        <v>-6466.35</v>
      </c>
      <c r="I1333" t="s">
        <v>593</v>
      </c>
    </row>
    <row r="1334" spans="1:9" x14ac:dyDescent="0.35">
      <c r="A1334" s="2">
        <v>45412</v>
      </c>
      <c r="B1334">
        <v>82</v>
      </c>
      <c r="C1334">
        <v>2121001</v>
      </c>
      <c r="D1334" t="s">
        <v>27</v>
      </c>
      <c r="E1334" t="s">
        <v>59</v>
      </c>
      <c r="F1334" s="3">
        <v>0</v>
      </c>
      <c r="G1334" s="3">
        <v>1034.6199999999999</v>
      </c>
      <c r="H1334" s="3">
        <v>-1034.6199999999999</v>
      </c>
      <c r="I1334" t="s">
        <v>593</v>
      </c>
    </row>
    <row r="1335" spans="1:9" x14ac:dyDescent="0.35">
      <c r="A1335" s="2">
        <v>45412</v>
      </c>
      <c r="B1335">
        <v>82</v>
      </c>
      <c r="C1335">
        <v>1111001</v>
      </c>
      <c r="D1335" t="s">
        <v>16</v>
      </c>
      <c r="E1335" t="s">
        <v>59</v>
      </c>
      <c r="F1335" s="3">
        <v>7500.97</v>
      </c>
      <c r="G1335" s="3">
        <v>0</v>
      </c>
      <c r="H1335" s="3">
        <v>7500.97</v>
      </c>
      <c r="I1335" t="s">
        <v>593</v>
      </c>
    </row>
    <row r="1336" spans="1:9" x14ac:dyDescent="0.35">
      <c r="A1336" s="2">
        <v>45412</v>
      </c>
      <c r="B1336">
        <v>82</v>
      </c>
      <c r="C1336">
        <v>4112003</v>
      </c>
      <c r="D1336" t="s">
        <v>58</v>
      </c>
      <c r="E1336" t="s">
        <v>59</v>
      </c>
      <c r="F1336" s="3">
        <v>0</v>
      </c>
      <c r="G1336" s="3">
        <v>5345.54</v>
      </c>
      <c r="H1336" s="3">
        <v>-5345.54</v>
      </c>
      <c r="I1336" t="s">
        <v>594</v>
      </c>
    </row>
    <row r="1337" spans="1:9" x14ac:dyDescent="0.35">
      <c r="A1337" s="2">
        <v>45412</v>
      </c>
      <c r="B1337">
        <v>82</v>
      </c>
      <c r="C1337">
        <v>2121001</v>
      </c>
      <c r="D1337" t="s">
        <v>27</v>
      </c>
      <c r="E1337" t="s">
        <v>59</v>
      </c>
      <c r="F1337" s="3">
        <v>0</v>
      </c>
      <c r="G1337" s="3">
        <v>855.29</v>
      </c>
      <c r="H1337" s="3">
        <v>-855.29</v>
      </c>
      <c r="I1337" t="s">
        <v>594</v>
      </c>
    </row>
    <row r="1338" spans="1:9" x14ac:dyDescent="0.35">
      <c r="A1338" s="2">
        <v>45412</v>
      </c>
      <c r="B1338">
        <v>82</v>
      </c>
      <c r="C1338">
        <v>1111001</v>
      </c>
      <c r="D1338" t="s">
        <v>16</v>
      </c>
      <c r="E1338" t="s">
        <v>59</v>
      </c>
      <c r="F1338" s="3">
        <v>6200.83</v>
      </c>
      <c r="G1338" s="3">
        <v>0</v>
      </c>
      <c r="H1338" s="3">
        <v>6200.83</v>
      </c>
      <c r="I1338" t="s">
        <v>594</v>
      </c>
    </row>
    <row r="1339" spans="1:9" x14ac:dyDescent="0.35">
      <c r="A1339" s="2">
        <v>45412</v>
      </c>
      <c r="B1339">
        <v>82</v>
      </c>
      <c r="C1339">
        <v>4112003</v>
      </c>
      <c r="D1339" t="s">
        <v>58</v>
      </c>
      <c r="E1339" t="s">
        <v>59</v>
      </c>
      <c r="F1339" s="3">
        <v>0</v>
      </c>
      <c r="G1339" s="3">
        <v>6638.35</v>
      </c>
      <c r="H1339" s="3">
        <v>-6638.35</v>
      </c>
      <c r="I1339" t="s">
        <v>595</v>
      </c>
    </row>
    <row r="1340" spans="1:9" x14ac:dyDescent="0.35">
      <c r="A1340" s="2">
        <v>45412</v>
      </c>
      <c r="B1340">
        <v>82</v>
      </c>
      <c r="C1340">
        <v>2121001</v>
      </c>
      <c r="D1340" t="s">
        <v>27</v>
      </c>
      <c r="E1340" t="s">
        <v>59</v>
      </c>
      <c r="F1340" s="3">
        <v>0</v>
      </c>
      <c r="G1340" s="3">
        <v>1062.1400000000001</v>
      </c>
      <c r="H1340" s="3">
        <v>-1062.1400000000001</v>
      </c>
      <c r="I1340" t="s">
        <v>595</v>
      </c>
    </row>
    <row r="1341" spans="1:9" x14ac:dyDescent="0.35">
      <c r="A1341" s="2">
        <v>45412</v>
      </c>
      <c r="B1341">
        <v>82</v>
      </c>
      <c r="C1341">
        <v>1111001</v>
      </c>
      <c r="D1341" t="s">
        <v>16</v>
      </c>
      <c r="E1341" t="s">
        <v>59</v>
      </c>
      <c r="F1341" s="3">
        <v>7700.49</v>
      </c>
      <c r="G1341" s="3">
        <v>0</v>
      </c>
      <c r="H1341" s="3">
        <v>7700.49</v>
      </c>
      <c r="I1341" t="s">
        <v>595</v>
      </c>
    </row>
    <row r="1342" spans="1:9" x14ac:dyDescent="0.35">
      <c r="A1342" s="2">
        <v>45412</v>
      </c>
      <c r="B1342">
        <v>82</v>
      </c>
      <c r="C1342">
        <v>4112003</v>
      </c>
      <c r="D1342" t="s">
        <v>58</v>
      </c>
      <c r="E1342" t="s">
        <v>59</v>
      </c>
      <c r="F1342" s="3">
        <v>0</v>
      </c>
      <c r="G1342" s="3">
        <v>2241.6</v>
      </c>
      <c r="H1342" s="3">
        <v>-2241.6</v>
      </c>
      <c r="I1342" t="s">
        <v>596</v>
      </c>
    </row>
    <row r="1343" spans="1:9" x14ac:dyDescent="0.35">
      <c r="A1343" s="2">
        <v>45412</v>
      </c>
      <c r="B1343">
        <v>82</v>
      </c>
      <c r="C1343">
        <v>2121001</v>
      </c>
      <c r="D1343" t="s">
        <v>27</v>
      </c>
      <c r="E1343" t="s">
        <v>59</v>
      </c>
      <c r="F1343" s="3">
        <v>0</v>
      </c>
      <c r="G1343" s="3">
        <v>358.66</v>
      </c>
      <c r="H1343" s="3">
        <v>-358.66</v>
      </c>
      <c r="I1343" t="s">
        <v>596</v>
      </c>
    </row>
    <row r="1344" spans="1:9" x14ac:dyDescent="0.35">
      <c r="A1344" s="2">
        <v>45412</v>
      </c>
      <c r="B1344">
        <v>82</v>
      </c>
      <c r="C1344">
        <v>1111001</v>
      </c>
      <c r="D1344" t="s">
        <v>16</v>
      </c>
      <c r="E1344" t="s">
        <v>59</v>
      </c>
      <c r="F1344" s="3">
        <v>2600.2600000000002</v>
      </c>
      <c r="G1344" s="3">
        <v>0</v>
      </c>
      <c r="H1344" s="3">
        <v>2600.2600000000002</v>
      </c>
      <c r="I1344" t="s">
        <v>596</v>
      </c>
    </row>
    <row r="1345" spans="1:9" x14ac:dyDescent="0.35">
      <c r="A1345" s="2">
        <v>45412</v>
      </c>
      <c r="B1345">
        <v>82</v>
      </c>
      <c r="C1345">
        <v>4112003</v>
      </c>
      <c r="D1345" t="s">
        <v>58</v>
      </c>
      <c r="E1345" t="s">
        <v>59</v>
      </c>
      <c r="F1345" s="3">
        <v>0</v>
      </c>
      <c r="G1345" s="3">
        <v>2931.26</v>
      </c>
      <c r="H1345" s="3">
        <v>-2931.26</v>
      </c>
      <c r="I1345" t="s">
        <v>597</v>
      </c>
    </row>
    <row r="1346" spans="1:9" x14ac:dyDescent="0.35">
      <c r="A1346" s="2">
        <v>45412</v>
      </c>
      <c r="B1346">
        <v>82</v>
      </c>
      <c r="C1346">
        <v>2121001</v>
      </c>
      <c r="D1346" t="s">
        <v>27</v>
      </c>
      <c r="E1346" t="s">
        <v>59</v>
      </c>
      <c r="F1346" s="3">
        <v>0</v>
      </c>
      <c r="G1346" s="3">
        <v>469</v>
      </c>
      <c r="H1346" s="3">
        <v>-469</v>
      </c>
      <c r="I1346" t="s">
        <v>597</v>
      </c>
    </row>
    <row r="1347" spans="1:9" x14ac:dyDescent="0.35">
      <c r="A1347" s="2">
        <v>45412</v>
      </c>
      <c r="B1347">
        <v>82</v>
      </c>
      <c r="C1347">
        <v>1111001</v>
      </c>
      <c r="D1347" t="s">
        <v>16</v>
      </c>
      <c r="E1347" t="s">
        <v>59</v>
      </c>
      <c r="F1347" s="3">
        <v>3400.26</v>
      </c>
      <c r="G1347" s="3">
        <v>0</v>
      </c>
      <c r="H1347" s="3">
        <v>3400.26</v>
      </c>
      <c r="I1347" t="s">
        <v>597</v>
      </c>
    </row>
    <row r="1348" spans="1:9" x14ac:dyDescent="0.35">
      <c r="A1348" s="2">
        <v>45412</v>
      </c>
      <c r="B1348">
        <v>82</v>
      </c>
      <c r="C1348">
        <v>4112003</v>
      </c>
      <c r="D1348" t="s">
        <v>58</v>
      </c>
      <c r="E1348" t="s">
        <v>59</v>
      </c>
      <c r="F1348" s="3">
        <v>0</v>
      </c>
      <c r="G1348" s="3">
        <v>5173.21</v>
      </c>
      <c r="H1348" s="3">
        <v>-5173.21</v>
      </c>
      <c r="I1348" t="s">
        <v>598</v>
      </c>
    </row>
    <row r="1349" spans="1:9" x14ac:dyDescent="0.35">
      <c r="A1349" s="2">
        <v>45412</v>
      </c>
      <c r="B1349">
        <v>82</v>
      </c>
      <c r="C1349">
        <v>2121001</v>
      </c>
      <c r="D1349" t="s">
        <v>27</v>
      </c>
      <c r="E1349" t="s">
        <v>59</v>
      </c>
      <c r="F1349" s="3">
        <v>0</v>
      </c>
      <c r="G1349" s="3">
        <v>827.71</v>
      </c>
      <c r="H1349" s="3">
        <v>-827.71</v>
      </c>
      <c r="I1349" t="s">
        <v>598</v>
      </c>
    </row>
    <row r="1350" spans="1:9" x14ac:dyDescent="0.35">
      <c r="A1350" s="2">
        <v>45412</v>
      </c>
      <c r="B1350">
        <v>82</v>
      </c>
      <c r="C1350">
        <v>1111001</v>
      </c>
      <c r="D1350" t="s">
        <v>16</v>
      </c>
      <c r="E1350" t="s">
        <v>59</v>
      </c>
      <c r="F1350" s="3">
        <v>6000.92</v>
      </c>
      <c r="G1350" s="3">
        <v>0</v>
      </c>
      <c r="H1350" s="3">
        <v>6000.92</v>
      </c>
      <c r="I1350" t="s">
        <v>598</v>
      </c>
    </row>
    <row r="1351" spans="1:9" x14ac:dyDescent="0.35">
      <c r="A1351" s="2">
        <v>45412</v>
      </c>
      <c r="B1351">
        <v>82</v>
      </c>
      <c r="C1351">
        <v>4112003</v>
      </c>
      <c r="D1351" t="s">
        <v>58</v>
      </c>
      <c r="E1351" t="s">
        <v>59</v>
      </c>
      <c r="F1351" s="3">
        <v>0</v>
      </c>
      <c r="G1351" s="3">
        <v>6638.71</v>
      </c>
      <c r="H1351" s="3">
        <v>-6638.71</v>
      </c>
      <c r="I1351" t="s">
        <v>599</v>
      </c>
    </row>
    <row r="1352" spans="1:9" x14ac:dyDescent="0.35">
      <c r="A1352" s="2">
        <v>45412</v>
      </c>
      <c r="B1352">
        <v>82</v>
      </c>
      <c r="C1352">
        <v>2121001</v>
      </c>
      <c r="D1352" t="s">
        <v>27</v>
      </c>
      <c r="E1352" t="s">
        <v>59</v>
      </c>
      <c r="F1352" s="3">
        <v>0</v>
      </c>
      <c r="G1352" s="3">
        <v>1062.19</v>
      </c>
      <c r="H1352" s="3">
        <v>-1062.19</v>
      </c>
      <c r="I1352" t="s">
        <v>599</v>
      </c>
    </row>
    <row r="1353" spans="1:9" x14ac:dyDescent="0.35">
      <c r="A1353" s="2">
        <v>45412</v>
      </c>
      <c r="B1353">
        <v>82</v>
      </c>
      <c r="C1353">
        <v>1111001</v>
      </c>
      <c r="D1353" t="s">
        <v>16</v>
      </c>
      <c r="E1353" t="s">
        <v>59</v>
      </c>
      <c r="F1353" s="3">
        <v>7700.9</v>
      </c>
      <c r="G1353" s="3">
        <v>0</v>
      </c>
      <c r="H1353" s="3">
        <v>7700.9</v>
      </c>
      <c r="I1353" t="s">
        <v>599</v>
      </c>
    </row>
    <row r="1354" spans="1:9" x14ac:dyDescent="0.35">
      <c r="A1354" s="2">
        <v>45412</v>
      </c>
      <c r="B1354">
        <v>82</v>
      </c>
      <c r="C1354">
        <v>4112003</v>
      </c>
      <c r="D1354" t="s">
        <v>58</v>
      </c>
      <c r="E1354" t="s">
        <v>59</v>
      </c>
      <c r="F1354" s="3">
        <v>0</v>
      </c>
      <c r="G1354" s="3">
        <v>6983.6</v>
      </c>
      <c r="H1354" s="3">
        <v>-6983.6</v>
      </c>
      <c r="I1354" t="s">
        <v>600</v>
      </c>
    </row>
    <row r="1355" spans="1:9" x14ac:dyDescent="0.35">
      <c r="A1355" s="2">
        <v>45412</v>
      </c>
      <c r="B1355">
        <v>82</v>
      </c>
      <c r="C1355">
        <v>2121001</v>
      </c>
      <c r="D1355" t="s">
        <v>27</v>
      </c>
      <c r="E1355" t="s">
        <v>59</v>
      </c>
      <c r="F1355" s="3">
        <v>0</v>
      </c>
      <c r="G1355" s="3">
        <v>1117.3800000000001</v>
      </c>
      <c r="H1355" s="3">
        <v>-1117.3800000000001</v>
      </c>
      <c r="I1355" t="s">
        <v>600</v>
      </c>
    </row>
    <row r="1356" spans="1:9" x14ac:dyDescent="0.35">
      <c r="A1356" s="2">
        <v>45412</v>
      </c>
      <c r="B1356">
        <v>82</v>
      </c>
      <c r="C1356">
        <v>1111001</v>
      </c>
      <c r="D1356" t="s">
        <v>16</v>
      </c>
      <c r="E1356" t="s">
        <v>59</v>
      </c>
      <c r="F1356" s="3">
        <v>8100.98</v>
      </c>
      <c r="G1356" s="3">
        <v>0</v>
      </c>
      <c r="H1356" s="3">
        <v>8100.98</v>
      </c>
      <c r="I1356" t="s">
        <v>600</v>
      </c>
    </row>
    <row r="1357" spans="1:9" x14ac:dyDescent="0.35">
      <c r="A1357" s="2">
        <v>45412</v>
      </c>
      <c r="B1357">
        <v>82</v>
      </c>
      <c r="C1357">
        <v>4112003</v>
      </c>
      <c r="D1357" t="s">
        <v>58</v>
      </c>
      <c r="E1357" t="s">
        <v>59</v>
      </c>
      <c r="F1357" s="3">
        <v>0</v>
      </c>
      <c r="G1357" s="3">
        <v>7501.55</v>
      </c>
      <c r="H1357" s="3">
        <v>-7501.55</v>
      </c>
      <c r="I1357" t="s">
        <v>601</v>
      </c>
    </row>
    <row r="1358" spans="1:9" x14ac:dyDescent="0.35">
      <c r="A1358" s="2">
        <v>45412</v>
      </c>
      <c r="B1358">
        <v>82</v>
      </c>
      <c r="C1358">
        <v>2121001</v>
      </c>
      <c r="D1358" t="s">
        <v>27</v>
      </c>
      <c r="E1358" t="s">
        <v>59</v>
      </c>
      <c r="F1358" s="3">
        <v>0</v>
      </c>
      <c r="G1358" s="3">
        <v>1200.25</v>
      </c>
      <c r="H1358" s="3">
        <v>-1200.25</v>
      </c>
      <c r="I1358" t="s">
        <v>601</v>
      </c>
    </row>
    <row r="1359" spans="1:9" x14ac:dyDescent="0.35">
      <c r="A1359" s="2">
        <v>45412</v>
      </c>
      <c r="B1359">
        <v>82</v>
      </c>
      <c r="C1359">
        <v>1111001</v>
      </c>
      <c r="D1359" t="s">
        <v>16</v>
      </c>
      <c r="E1359" t="s">
        <v>59</v>
      </c>
      <c r="F1359" s="3">
        <v>8701.7999999999993</v>
      </c>
      <c r="G1359" s="3">
        <v>0</v>
      </c>
      <c r="H1359" s="3">
        <v>8701.7999999999993</v>
      </c>
      <c r="I1359" t="s">
        <v>601</v>
      </c>
    </row>
    <row r="1360" spans="1:9" x14ac:dyDescent="0.35">
      <c r="A1360" s="2">
        <v>45412</v>
      </c>
      <c r="B1360">
        <v>82</v>
      </c>
      <c r="C1360">
        <v>4112003</v>
      </c>
      <c r="D1360" t="s">
        <v>58</v>
      </c>
      <c r="E1360" t="s">
        <v>59</v>
      </c>
      <c r="F1360" s="3">
        <v>0</v>
      </c>
      <c r="G1360" s="3">
        <v>6638.7</v>
      </c>
      <c r="H1360" s="3">
        <v>-6638.7</v>
      </c>
      <c r="I1360" t="s">
        <v>602</v>
      </c>
    </row>
    <row r="1361" spans="1:9" x14ac:dyDescent="0.35">
      <c r="A1361" s="2">
        <v>45412</v>
      </c>
      <c r="B1361">
        <v>82</v>
      </c>
      <c r="C1361">
        <v>2121001</v>
      </c>
      <c r="D1361" t="s">
        <v>27</v>
      </c>
      <c r="E1361" t="s">
        <v>59</v>
      </c>
      <c r="F1361" s="3">
        <v>0</v>
      </c>
      <c r="G1361" s="3">
        <v>1062.19</v>
      </c>
      <c r="H1361" s="3">
        <v>-1062.19</v>
      </c>
      <c r="I1361" t="s">
        <v>602</v>
      </c>
    </row>
    <row r="1362" spans="1:9" x14ac:dyDescent="0.35">
      <c r="A1362" s="2">
        <v>45412</v>
      </c>
      <c r="B1362">
        <v>82</v>
      </c>
      <c r="C1362">
        <v>1111001</v>
      </c>
      <c r="D1362" t="s">
        <v>16</v>
      </c>
      <c r="E1362" t="s">
        <v>59</v>
      </c>
      <c r="F1362" s="3">
        <v>7700.89</v>
      </c>
      <c r="G1362" s="3">
        <v>0</v>
      </c>
      <c r="H1362" s="3">
        <v>7700.89</v>
      </c>
      <c r="I1362" t="s">
        <v>602</v>
      </c>
    </row>
    <row r="1363" spans="1:9" x14ac:dyDescent="0.35">
      <c r="A1363" s="2">
        <v>45412</v>
      </c>
      <c r="B1363">
        <v>82</v>
      </c>
      <c r="C1363">
        <v>4112003</v>
      </c>
      <c r="D1363" t="s">
        <v>58</v>
      </c>
      <c r="E1363" t="s">
        <v>59</v>
      </c>
      <c r="F1363" s="3">
        <v>0</v>
      </c>
      <c r="G1363" s="3">
        <v>7931.44</v>
      </c>
      <c r="H1363" s="3">
        <v>-7931.44</v>
      </c>
      <c r="I1363" t="s">
        <v>603</v>
      </c>
    </row>
    <row r="1364" spans="1:9" x14ac:dyDescent="0.35">
      <c r="A1364" s="2">
        <v>45412</v>
      </c>
      <c r="B1364">
        <v>82</v>
      </c>
      <c r="C1364">
        <v>2121001</v>
      </c>
      <c r="D1364" t="s">
        <v>27</v>
      </c>
      <c r="E1364" t="s">
        <v>59</v>
      </c>
      <c r="F1364" s="3">
        <v>0</v>
      </c>
      <c r="G1364" s="3">
        <v>1269.03</v>
      </c>
      <c r="H1364" s="3">
        <v>-1269.03</v>
      </c>
      <c r="I1364" t="s">
        <v>603</v>
      </c>
    </row>
    <row r="1365" spans="1:9" x14ac:dyDescent="0.35">
      <c r="A1365" s="2">
        <v>45412</v>
      </c>
      <c r="B1365">
        <v>82</v>
      </c>
      <c r="C1365">
        <v>1111001</v>
      </c>
      <c r="D1365" t="s">
        <v>16</v>
      </c>
      <c r="E1365" t="s">
        <v>59</v>
      </c>
      <c r="F1365" s="3">
        <v>9200.4699999999993</v>
      </c>
      <c r="G1365" s="3">
        <v>0</v>
      </c>
      <c r="H1365" s="3">
        <v>9200.4699999999993</v>
      </c>
      <c r="I1365" t="s">
        <v>603</v>
      </c>
    </row>
    <row r="1366" spans="1:9" x14ac:dyDescent="0.35">
      <c r="A1366" s="2">
        <v>45412</v>
      </c>
      <c r="B1366">
        <v>82</v>
      </c>
      <c r="C1366">
        <v>4112003</v>
      </c>
      <c r="D1366" t="s">
        <v>58</v>
      </c>
      <c r="E1366" t="s">
        <v>59</v>
      </c>
      <c r="F1366" s="3">
        <v>0</v>
      </c>
      <c r="G1366" s="3">
        <v>4051.87</v>
      </c>
      <c r="H1366" s="3">
        <v>-4051.87</v>
      </c>
      <c r="I1366" t="s">
        <v>604</v>
      </c>
    </row>
    <row r="1367" spans="1:9" x14ac:dyDescent="0.35">
      <c r="A1367" s="2">
        <v>45412</v>
      </c>
      <c r="B1367">
        <v>82</v>
      </c>
      <c r="C1367">
        <v>2121001</v>
      </c>
      <c r="D1367" t="s">
        <v>27</v>
      </c>
      <c r="E1367" t="s">
        <v>59</v>
      </c>
      <c r="F1367" s="3">
        <v>0</v>
      </c>
      <c r="G1367" s="3">
        <v>648.29999999999995</v>
      </c>
      <c r="H1367" s="3">
        <v>-648.29999999999995</v>
      </c>
      <c r="I1367" t="s">
        <v>604</v>
      </c>
    </row>
    <row r="1368" spans="1:9" x14ac:dyDescent="0.35">
      <c r="A1368" s="2">
        <v>45412</v>
      </c>
      <c r="B1368">
        <v>82</v>
      </c>
      <c r="C1368">
        <v>1111001</v>
      </c>
      <c r="D1368" t="s">
        <v>16</v>
      </c>
      <c r="E1368" t="s">
        <v>59</v>
      </c>
      <c r="F1368" s="3">
        <v>4700.17</v>
      </c>
      <c r="G1368" s="3">
        <v>0</v>
      </c>
      <c r="H1368" s="3">
        <v>4700.17</v>
      </c>
      <c r="I1368" t="s">
        <v>604</v>
      </c>
    </row>
    <row r="1369" spans="1:9" x14ac:dyDescent="0.35">
      <c r="A1369" s="2">
        <v>45412</v>
      </c>
      <c r="B1369">
        <v>82</v>
      </c>
      <c r="C1369">
        <v>4112003</v>
      </c>
      <c r="D1369" t="s">
        <v>58</v>
      </c>
      <c r="E1369" t="s">
        <v>59</v>
      </c>
      <c r="F1369" s="3">
        <v>0</v>
      </c>
      <c r="G1369" s="3">
        <v>6207.67</v>
      </c>
      <c r="H1369" s="3">
        <v>-6207.67</v>
      </c>
      <c r="I1369" t="s">
        <v>605</v>
      </c>
    </row>
    <row r="1370" spans="1:9" x14ac:dyDescent="0.35">
      <c r="A1370" s="2">
        <v>45412</v>
      </c>
      <c r="B1370">
        <v>82</v>
      </c>
      <c r="C1370">
        <v>2121001</v>
      </c>
      <c r="D1370" t="s">
        <v>27</v>
      </c>
      <c r="E1370" t="s">
        <v>59</v>
      </c>
      <c r="F1370" s="3">
        <v>0</v>
      </c>
      <c r="G1370" s="3">
        <v>993.23</v>
      </c>
      <c r="H1370" s="3">
        <v>-993.23</v>
      </c>
      <c r="I1370" t="s">
        <v>605</v>
      </c>
    </row>
    <row r="1371" spans="1:9" x14ac:dyDescent="0.35">
      <c r="A1371" s="2">
        <v>45412</v>
      </c>
      <c r="B1371">
        <v>82</v>
      </c>
      <c r="C1371">
        <v>1111001</v>
      </c>
      <c r="D1371" t="s">
        <v>16</v>
      </c>
      <c r="E1371" t="s">
        <v>59</v>
      </c>
      <c r="F1371" s="3">
        <v>7200.9</v>
      </c>
      <c r="G1371" s="3">
        <v>0</v>
      </c>
      <c r="H1371" s="3">
        <v>7200.9</v>
      </c>
      <c r="I1371" t="s">
        <v>605</v>
      </c>
    </row>
    <row r="1372" spans="1:9" x14ac:dyDescent="0.35">
      <c r="A1372" s="2">
        <v>45412</v>
      </c>
      <c r="B1372">
        <v>82</v>
      </c>
      <c r="C1372">
        <v>4112003</v>
      </c>
      <c r="D1372" t="s">
        <v>58</v>
      </c>
      <c r="E1372" t="s">
        <v>59</v>
      </c>
      <c r="F1372" s="3">
        <v>0</v>
      </c>
      <c r="G1372" s="3">
        <v>8018.08</v>
      </c>
      <c r="H1372" s="3">
        <v>-8018.08</v>
      </c>
      <c r="I1372" t="s">
        <v>606</v>
      </c>
    </row>
    <row r="1373" spans="1:9" x14ac:dyDescent="0.35">
      <c r="A1373" s="2">
        <v>45412</v>
      </c>
      <c r="B1373">
        <v>82</v>
      </c>
      <c r="C1373">
        <v>2121001</v>
      </c>
      <c r="D1373" t="s">
        <v>27</v>
      </c>
      <c r="E1373" t="s">
        <v>59</v>
      </c>
      <c r="F1373" s="3">
        <v>0</v>
      </c>
      <c r="G1373" s="3">
        <v>1282.8900000000001</v>
      </c>
      <c r="H1373" s="3">
        <v>-1282.8900000000001</v>
      </c>
      <c r="I1373" t="s">
        <v>606</v>
      </c>
    </row>
    <row r="1374" spans="1:9" x14ac:dyDescent="0.35">
      <c r="A1374" s="2">
        <v>45412</v>
      </c>
      <c r="B1374">
        <v>82</v>
      </c>
      <c r="C1374">
        <v>1111001</v>
      </c>
      <c r="D1374" t="s">
        <v>16</v>
      </c>
      <c r="E1374" t="s">
        <v>59</v>
      </c>
      <c r="F1374" s="3">
        <v>9300.9699999999993</v>
      </c>
      <c r="G1374" s="3">
        <v>0</v>
      </c>
      <c r="H1374" s="3">
        <v>9300.9699999999993</v>
      </c>
      <c r="I1374" t="s">
        <v>606</v>
      </c>
    </row>
    <row r="1375" spans="1:9" x14ac:dyDescent="0.35">
      <c r="A1375" s="2">
        <v>45412</v>
      </c>
      <c r="B1375">
        <v>82</v>
      </c>
      <c r="C1375">
        <v>4112004</v>
      </c>
      <c r="D1375" t="s">
        <v>74</v>
      </c>
      <c r="E1375" t="s">
        <v>79</v>
      </c>
      <c r="F1375" s="3">
        <v>0</v>
      </c>
      <c r="G1375" s="3">
        <v>2348.2800000000002</v>
      </c>
      <c r="H1375" s="3">
        <v>-2348.2800000000002</v>
      </c>
      <c r="I1375" t="s">
        <v>607</v>
      </c>
    </row>
    <row r="1376" spans="1:9" x14ac:dyDescent="0.35">
      <c r="A1376" s="2">
        <v>45412</v>
      </c>
      <c r="B1376">
        <v>82</v>
      </c>
      <c r="C1376">
        <v>2121001</v>
      </c>
      <c r="D1376" t="s">
        <v>27</v>
      </c>
      <c r="E1376" t="s">
        <v>79</v>
      </c>
      <c r="F1376" s="3">
        <v>0</v>
      </c>
      <c r="G1376" s="3">
        <v>375.72</v>
      </c>
      <c r="H1376" s="3">
        <v>-375.72</v>
      </c>
      <c r="I1376" t="s">
        <v>607</v>
      </c>
    </row>
    <row r="1377" spans="1:9" x14ac:dyDescent="0.35">
      <c r="A1377" s="2">
        <v>45412</v>
      </c>
      <c r="B1377">
        <v>82</v>
      </c>
      <c r="C1377">
        <v>1111001</v>
      </c>
      <c r="D1377" t="s">
        <v>16</v>
      </c>
      <c r="E1377" t="s">
        <v>79</v>
      </c>
      <c r="F1377" s="3">
        <v>2724</v>
      </c>
      <c r="G1377" s="3">
        <v>0</v>
      </c>
      <c r="H1377" s="3">
        <v>2724</v>
      </c>
      <c r="I1377" t="s">
        <v>607</v>
      </c>
    </row>
    <row r="1378" spans="1:9" x14ac:dyDescent="0.35">
      <c r="A1378" s="2">
        <v>45412</v>
      </c>
      <c r="B1378">
        <v>82</v>
      </c>
      <c r="C1378">
        <v>4112004</v>
      </c>
      <c r="D1378" t="s">
        <v>74</v>
      </c>
      <c r="E1378" t="s">
        <v>195</v>
      </c>
      <c r="F1378" s="3">
        <v>0</v>
      </c>
      <c r="G1378" s="3">
        <v>3037.12</v>
      </c>
      <c r="H1378" s="3">
        <v>-3037.12</v>
      </c>
      <c r="I1378" t="s">
        <v>608</v>
      </c>
    </row>
    <row r="1379" spans="1:9" x14ac:dyDescent="0.35">
      <c r="A1379" s="2">
        <v>45412</v>
      </c>
      <c r="B1379">
        <v>82</v>
      </c>
      <c r="C1379">
        <v>2121001</v>
      </c>
      <c r="D1379" t="s">
        <v>27</v>
      </c>
      <c r="E1379" t="s">
        <v>195</v>
      </c>
      <c r="F1379" s="3">
        <v>0</v>
      </c>
      <c r="G1379" s="3">
        <v>485.94</v>
      </c>
      <c r="H1379" s="3">
        <v>-485.94</v>
      </c>
      <c r="I1379" t="s">
        <v>608</v>
      </c>
    </row>
    <row r="1380" spans="1:9" x14ac:dyDescent="0.35">
      <c r="A1380" s="2">
        <v>45412</v>
      </c>
      <c r="B1380">
        <v>82</v>
      </c>
      <c r="C1380">
        <v>1141002</v>
      </c>
      <c r="D1380" t="s">
        <v>23</v>
      </c>
      <c r="E1380" t="s">
        <v>195</v>
      </c>
      <c r="F1380" s="3">
        <v>364.45</v>
      </c>
      <c r="G1380" s="3">
        <v>0</v>
      </c>
      <c r="H1380" s="3">
        <v>364.45</v>
      </c>
      <c r="I1380" t="s">
        <v>1438</v>
      </c>
    </row>
    <row r="1381" spans="1:9" x14ac:dyDescent="0.35">
      <c r="A1381" s="2">
        <v>45412</v>
      </c>
      <c r="B1381">
        <v>82</v>
      </c>
      <c r="C1381">
        <v>1142001</v>
      </c>
      <c r="D1381" t="s">
        <v>199</v>
      </c>
      <c r="E1381" t="s">
        <v>195</v>
      </c>
      <c r="F1381" s="3">
        <v>60.74</v>
      </c>
      <c r="G1381" s="3">
        <v>0</v>
      </c>
      <c r="H1381" s="3">
        <v>60.74</v>
      </c>
      <c r="I1381" t="s">
        <v>1438</v>
      </c>
    </row>
    <row r="1382" spans="1:9" x14ac:dyDescent="0.35">
      <c r="A1382" s="2">
        <v>45412</v>
      </c>
      <c r="B1382">
        <v>82</v>
      </c>
      <c r="C1382">
        <v>1111001</v>
      </c>
      <c r="D1382" t="s">
        <v>16</v>
      </c>
      <c r="E1382" t="s">
        <v>195</v>
      </c>
      <c r="F1382" s="3">
        <v>105.68</v>
      </c>
      <c r="G1382" s="3">
        <v>0</v>
      </c>
      <c r="H1382" s="3">
        <v>105.68</v>
      </c>
      <c r="I1382" t="s">
        <v>608</v>
      </c>
    </row>
    <row r="1383" spans="1:9" x14ac:dyDescent="0.35">
      <c r="A1383" s="2">
        <v>45412</v>
      </c>
      <c r="B1383">
        <v>82</v>
      </c>
      <c r="C1383">
        <v>2124007</v>
      </c>
      <c r="D1383" t="s">
        <v>30</v>
      </c>
      <c r="E1383" t="s">
        <v>195</v>
      </c>
      <c r="F1383" s="3">
        <v>0</v>
      </c>
      <c r="G1383" s="3">
        <v>105.68</v>
      </c>
      <c r="H1383" s="3">
        <v>-105.68</v>
      </c>
      <c r="I1383" t="s">
        <v>608</v>
      </c>
    </row>
    <row r="1384" spans="1:9" x14ac:dyDescent="0.35">
      <c r="A1384" s="2">
        <v>45412</v>
      </c>
      <c r="B1384">
        <v>82</v>
      </c>
      <c r="C1384">
        <v>1111001</v>
      </c>
      <c r="D1384" t="s">
        <v>16</v>
      </c>
      <c r="E1384" t="s">
        <v>195</v>
      </c>
      <c r="F1384" s="3">
        <v>3097.87</v>
      </c>
      <c r="G1384" s="3">
        <v>0</v>
      </c>
      <c r="H1384" s="3">
        <v>3097.87</v>
      </c>
      <c r="I1384" t="s">
        <v>608</v>
      </c>
    </row>
    <row r="1385" spans="1:9" x14ac:dyDescent="0.35">
      <c r="A1385" s="2">
        <v>45412</v>
      </c>
      <c r="B1385">
        <v>82</v>
      </c>
      <c r="C1385">
        <v>4112004</v>
      </c>
      <c r="D1385" t="s">
        <v>74</v>
      </c>
      <c r="E1385" t="s">
        <v>197</v>
      </c>
      <c r="F1385" s="3">
        <v>0</v>
      </c>
      <c r="G1385" s="3">
        <v>13893.99</v>
      </c>
      <c r="H1385" s="3">
        <v>-13893.99</v>
      </c>
      <c r="I1385" t="s">
        <v>609</v>
      </c>
    </row>
    <row r="1386" spans="1:9" x14ac:dyDescent="0.35">
      <c r="A1386" s="2">
        <v>45412</v>
      </c>
      <c r="B1386">
        <v>82</v>
      </c>
      <c r="C1386">
        <v>2121001</v>
      </c>
      <c r="D1386" t="s">
        <v>27</v>
      </c>
      <c r="E1386" t="s">
        <v>197</v>
      </c>
      <c r="F1386" s="3">
        <v>0</v>
      </c>
      <c r="G1386" s="3">
        <v>2223.04</v>
      </c>
      <c r="H1386" s="3">
        <v>-2223.04</v>
      </c>
      <c r="I1386" t="s">
        <v>609</v>
      </c>
    </row>
    <row r="1387" spans="1:9" x14ac:dyDescent="0.35">
      <c r="A1387" s="2">
        <v>45412</v>
      </c>
      <c r="B1387">
        <v>82</v>
      </c>
      <c r="C1387">
        <v>1141002</v>
      </c>
      <c r="D1387" t="s">
        <v>23</v>
      </c>
      <c r="E1387" t="s">
        <v>197</v>
      </c>
      <c r="F1387" s="3">
        <v>1667.28</v>
      </c>
      <c r="G1387" s="3">
        <v>0</v>
      </c>
      <c r="H1387" s="3">
        <v>1667.28</v>
      </c>
      <c r="I1387" t="s">
        <v>1438</v>
      </c>
    </row>
    <row r="1388" spans="1:9" x14ac:dyDescent="0.35">
      <c r="A1388" s="2">
        <v>45412</v>
      </c>
      <c r="B1388">
        <v>82</v>
      </c>
      <c r="C1388">
        <v>1142001</v>
      </c>
      <c r="D1388" t="s">
        <v>199</v>
      </c>
      <c r="E1388" t="s">
        <v>197</v>
      </c>
      <c r="F1388" s="3">
        <v>277.88</v>
      </c>
      <c r="G1388" s="3">
        <v>0</v>
      </c>
      <c r="H1388" s="3">
        <v>277.88</v>
      </c>
      <c r="I1388" t="s">
        <v>1438</v>
      </c>
    </row>
    <row r="1389" spans="1:9" x14ac:dyDescent="0.35">
      <c r="A1389" s="2">
        <v>45412</v>
      </c>
      <c r="B1389">
        <v>82</v>
      </c>
      <c r="C1389">
        <v>6121040</v>
      </c>
      <c r="D1389" t="s">
        <v>98</v>
      </c>
      <c r="E1389" t="s">
        <v>197</v>
      </c>
      <c r="F1389" s="3">
        <v>322.33999999999997</v>
      </c>
      <c r="G1389" s="3">
        <v>0</v>
      </c>
      <c r="H1389" s="3">
        <v>322.33999999999997</v>
      </c>
      <c r="I1389" t="s">
        <v>609</v>
      </c>
    </row>
    <row r="1390" spans="1:9" x14ac:dyDescent="0.35">
      <c r="A1390" s="2">
        <v>45412</v>
      </c>
      <c r="B1390">
        <v>82</v>
      </c>
      <c r="C1390">
        <v>1111001</v>
      </c>
      <c r="D1390" t="s">
        <v>16</v>
      </c>
      <c r="E1390" t="s">
        <v>197</v>
      </c>
      <c r="F1390" s="3">
        <v>13849.53</v>
      </c>
      <c r="G1390" s="3">
        <v>0</v>
      </c>
      <c r="H1390" s="3">
        <v>13849.53</v>
      </c>
      <c r="I1390" t="s">
        <v>609</v>
      </c>
    </row>
    <row r="1391" spans="1:9" x14ac:dyDescent="0.35">
      <c r="A1391" s="2">
        <v>45412</v>
      </c>
      <c r="B1391">
        <v>82</v>
      </c>
      <c r="C1391">
        <v>4112004</v>
      </c>
      <c r="D1391" t="s">
        <v>74</v>
      </c>
      <c r="E1391" t="s">
        <v>275</v>
      </c>
      <c r="F1391" s="3">
        <v>0</v>
      </c>
      <c r="G1391" s="3">
        <v>1568.1</v>
      </c>
      <c r="H1391" s="3">
        <v>-1568.1</v>
      </c>
      <c r="I1391" t="s">
        <v>610</v>
      </c>
    </row>
    <row r="1392" spans="1:9" x14ac:dyDescent="0.35">
      <c r="A1392" s="2">
        <v>45412</v>
      </c>
      <c r="B1392">
        <v>82</v>
      </c>
      <c r="C1392">
        <v>2121001</v>
      </c>
      <c r="D1392" t="s">
        <v>27</v>
      </c>
      <c r="E1392" t="s">
        <v>275</v>
      </c>
      <c r="F1392" s="3">
        <v>0</v>
      </c>
      <c r="G1392" s="3">
        <v>250.9</v>
      </c>
      <c r="H1392" s="3">
        <v>-250.9</v>
      </c>
      <c r="I1392" t="s">
        <v>610</v>
      </c>
    </row>
    <row r="1393" spans="1:9" x14ac:dyDescent="0.35">
      <c r="A1393" s="2">
        <v>45412</v>
      </c>
      <c r="B1393">
        <v>82</v>
      </c>
      <c r="C1393">
        <v>1141002</v>
      </c>
      <c r="D1393" t="s">
        <v>23</v>
      </c>
      <c r="E1393" t="s">
        <v>275</v>
      </c>
      <c r="F1393" s="3">
        <v>188.17</v>
      </c>
      <c r="G1393" s="3">
        <v>0</v>
      </c>
      <c r="H1393" s="3">
        <v>188.17</v>
      </c>
      <c r="I1393" t="s">
        <v>610</v>
      </c>
    </row>
    <row r="1394" spans="1:9" x14ac:dyDescent="0.35">
      <c r="A1394" s="2">
        <v>45412</v>
      </c>
      <c r="B1394">
        <v>82</v>
      </c>
      <c r="C1394">
        <v>1142001</v>
      </c>
      <c r="D1394" t="s">
        <v>199</v>
      </c>
      <c r="E1394" t="s">
        <v>275</v>
      </c>
      <c r="F1394" s="3">
        <v>31.36</v>
      </c>
      <c r="G1394" s="3">
        <v>0</v>
      </c>
      <c r="H1394" s="3">
        <v>31.36</v>
      </c>
      <c r="I1394" t="s">
        <v>610</v>
      </c>
    </row>
    <row r="1395" spans="1:9" x14ac:dyDescent="0.35">
      <c r="A1395" s="2">
        <v>45412</v>
      </c>
      <c r="B1395">
        <v>82</v>
      </c>
      <c r="C1395">
        <v>1111001</v>
      </c>
      <c r="D1395" t="s">
        <v>16</v>
      </c>
      <c r="E1395" t="s">
        <v>275</v>
      </c>
      <c r="F1395" s="3">
        <v>1599.47</v>
      </c>
      <c r="G1395" s="3">
        <v>0</v>
      </c>
      <c r="H1395" s="3">
        <v>1599.47</v>
      </c>
      <c r="I1395" t="s">
        <v>610</v>
      </c>
    </row>
    <row r="1396" spans="1:9" x14ac:dyDescent="0.35">
      <c r="A1396" s="2">
        <v>45412</v>
      </c>
      <c r="B1396">
        <v>82</v>
      </c>
      <c r="C1396">
        <v>4112004</v>
      </c>
      <c r="D1396" t="s">
        <v>74</v>
      </c>
      <c r="E1396" t="s">
        <v>200</v>
      </c>
      <c r="F1396" s="3">
        <v>0</v>
      </c>
      <c r="G1396" s="3">
        <v>1637.94</v>
      </c>
      <c r="H1396" s="3">
        <v>-1637.94</v>
      </c>
      <c r="I1396" t="s">
        <v>611</v>
      </c>
    </row>
    <row r="1397" spans="1:9" x14ac:dyDescent="0.35">
      <c r="A1397" s="2">
        <v>45412</v>
      </c>
      <c r="B1397">
        <v>82</v>
      </c>
      <c r="C1397">
        <v>2121001</v>
      </c>
      <c r="D1397" t="s">
        <v>27</v>
      </c>
      <c r="E1397" t="s">
        <v>200</v>
      </c>
      <c r="F1397" s="3">
        <v>0</v>
      </c>
      <c r="G1397" s="3">
        <v>262.07</v>
      </c>
      <c r="H1397" s="3">
        <v>-262.07</v>
      </c>
      <c r="I1397" t="s">
        <v>611</v>
      </c>
    </row>
    <row r="1398" spans="1:9" x14ac:dyDescent="0.35">
      <c r="A1398" s="2">
        <v>45412</v>
      </c>
      <c r="B1398">
        <v>82</v>
      </c>
      <c r="C1398">
        <v>1111001</v>
      </c>
      <c r="D1398" t="s">
        <v>16</v>
      </c>
      <c r="E1398" t="s">
        <v>200</v>
      </c>
      <c r="F1398" s="3">
        <v>1900.01</v>
      </c>
      <c r="G1398" s="3">
        <v>0</v>
      </c>
      <c r="H1398" s="3">
        <v>1900.01</v>
      </c>
      <c r="I1398" t="s">
        <v>611</v>
      </c>
    </row>
    <row r="1399" spans="1:9" x14ac:dyDescent="0.35">
      <c r="A1399" s="2">
        <v>45412</v>
      </c>
      <c r="B1399">
        <v>82</v>
      </c>
      <c r="C1399">
        <v>1142004</v>
      </c>
      <c r="D1399" t="s">
        <v>83</v>
      </c>
      <c r="E1399" t="s">
        <v>502</v>
      </c>
      <c r="F1399" s="3">
        <v>1102.54</v>
      </c>
      <c r="G1399" s="3">
        <v>0</v>
      </c>
      <c r="H1399" s="3">
        <v>1102.54</v>
      </c>
      <c r="I1399" t="s">
        <v>503</v>
      </c>
    </row>
    <row r="1400" spans="1:9" x14ac:dyDescent="0.35">
      <c r="A1400" s="2">
        <v>45412</v>
      </c>
      <c r="B1400">
        <v>82</v>
      </c>
      <c r="C1400">
        <v>2124004</v>
      </c>
      <c r="D1400" t="s">
        <v>29</v>
      </c>
      <c r="E1400" t="s">
        <v>502</v>
      </c>
      <c r="F1400" s="3">
        <v>0</v>
      </c>
      <c r="G1400" s="3">
        <v>1102.54</v>
      </c>
      <c r="H1400" s="3">
        <v>-1102.54</v>
      </c>
      <c r="I1400" t="s">
        <v>503</v>
      </c>
    </row>
    <row r="1401" spans="1:9" x14ac:dyDescent="0.35">
      <c r="A1401" s="2">
        <v>45412</v>
      </c>
      <c r="B1401">
        <v>82</v>
      </c>
      <c r="C1401">
        <v>2121001</v>
      </c>
      <c r="D1401" t="s">
        <v>27</v>
      </c>
      <c r="E1401" t="s">
        <v>612</v>
      </c>
      <c r="F1401" s="3">
        <v>17640.650000000001</v>
      </c>
      <c r="G1401" s="3">
        <v>0</v>
      </c>
      <c r="H1401" s="3">
        <v>17640.650000000001</v>
      </c>
      <c r="I1401" t="s">
        <v>544</v>
      </c>
    </row>
    <row r="1402" spans="1:9" x14ac:dyDescent="0.35">
      <c r="A1402" s="2">
        <v>45412</v>
      </c>
      <c r="B1402">
        <v>82</v>
      </c>
      <c r="C1402">
        <v>1141002</v>
      </c>
      <c r="D1402" t="s">
        <v>23</v>
      </c>
      <c r="E1402" t="s">
        <v>612</v>
      </c>
      <c r="F1402" s="3">
        <v>0</v>
      </c>
      <c r="G1402" s="3">
        <v>2219.9</v>
      </c>
      <c r="H1402" s="3">
        <v>-2219.9</v>
      </c>
      <c r="I1402" t="s">
        <v>544</v>
      </c>
    </row>
    <row r="1403" spans="1:9" x14ac:dyDescent="0.35">
      <c r="A1403" s="2">
        <v>45412</v>
      </c>
      <c r="B1403">
        <v>82</v>
      </c>
      <c r="C1403">
        <v>2121003</v>
      </c>
      <c r="D1403" t="s">
        <v>28</v>
      </c>
      <c r="E1403" t="s">
        <v>612</v>
      </c>
      <c r="F1403" s="3">
        <v>0</v>
      </c>
      <c r="G1403" s="3">
        <v>15420.75</v>
      </c>
      <c r="H1403" s="3">
        <v>-15420.75</v>
      </c>
      <c r="I1403" t="s">
        <v>544</v>
      </c>
    </row>
    <row r="1404" spans="1:9" x14ac:dyDescent="0.35">
      <c r="A1404" s="2">
        <v>45412</v>
      </c>
      <c r="B1404">
        <v>82</v>
      </c>
      <c r="C1404">
        <v>6121046</v>
      </c>
      <c r="D1404" t="s">
        <v>94</v>
      </c>
      <c r="E1404" t="s">
        <v>95</v>
      </c>
      <c r="F1404" s="3">
        <v>259.24</v>
      </c>
      <c r="G1404" s="3">
        <v>0</v>
      </c>
      <c r="H1404" s="3">
        <v>259.24</v>
      </c>
      <c r="I1404" t="s">
        <v>480</v>
      </c>
    </row>
    <row r="1405" spans="1:9" x14ac:dyDescent="0.35">
      <c r="A1405" s="2">
        <v>45412</v>
      </c>
      <c r="B1405">
        <v>82</v>
      </c>
      <c r="C1405">
        <v>6121040</v>
      </c>
      <c r="D1405" t="s">
        <v>98</v>
      </c>
      <c r="E1405" t="s">
        <v>99</v>
      </c>
      <c r="F1405" s="3">
        <v>128.5</v>
      </c>
      <c r="G1405" s="3">
        <v>0</v>
      </c>
      <c r="H1405" s="3">
        <v>128.5</v>
      </c>
      <c r="I1405" t="s">
        <v>480</v>
      </c>
    </row>
    <row r="1406" spans="1:9" x14ac:dyDescent="0.35">
      <c r="A1406" s="2">
        <v>45412</v>
      </c>
      <c r="B1406">
        <v>82</v>
      </c>
      <c r="C1406">
        <v>2114001</v>
      </c>
      <c r="D1406" t="s">
        <v>97</v>
      </c>
      <c r="E1406" t="s">
        <v>1768</v>
      </c>
      <c r="F1406" s="3">
        <v>10740</v>
      </c>
      <c r="G1406" s="3">
        <v>0</v>
      </c>
      <c r="H1406" s="3">
        <v>10740</v>
      </c>
      <c r="I1406" t="s">
        <v>480</v>
      </c>
    </row>
    <row r="1407" spans="1:9" x14ac:dyDescent="0.35">
      <c r="A1407" s="2">
        <v>45412</v>
      </c>
      <c r="B1407">
        <v>82</v>
      </c>
      <c r="C1407">
        <v>6121021</v>
      </c>
      <c r="D1407" t="s">
        <v>102</v>
      </c>
      <c r="E1407" t="s">
        <v>348</v>
      </c>
      <c r="F1407" s="3">
        <v>1126.6300000000001</v>
      </c>
      <c r="G1407" s="3">
        <v>0</v>
      </c>
      <c r="H1407" s="3">
        <v>1126.6300000000001</v>
      </c>
      <c r="I1407" t="s">
        <v>480</v>
      </c>
    </row>
    <row r="1408" spans="1:9" x14ac:dyDescent="0.35">
      <c r="A1408" s="2">
        <v>45412</v>
      </c>
      <c r="B1408">
        <v>82</v>
      </c>
      <c r="C1408">
        <v>2114001</v>
      </c>
      <c r="D1408" t="s">
        <v>97</v>
      </c>
      <c r="E1408" t="s">
        <v>347</v>
      </c>
      <c r="F1408" s="3">
        <v>183.61</v>
      </c>
      <c r="G1408" s="3">
        <v>0</v>
      </c>
      <c r="H1408" s="3">
        <v>183.61</v>
      </c>
      <c r="I1408" t="s">
        <v>480</v>
      </c>
    </row>
    <row r="1409" spans="1:9" x14ac:dyDescent="0.35">
      <c r="A1409" s="2">
        <v>45412</v>
      </c>
      <c r="B1409">
        <v>82</v>
      </c>
      <c r="C1409">
        <v>6121019</v>
      </c>
      <c r="D1409" t="s">
        <v>100</v>
      </c>
      <c r="E1409" t="s">
        <v>104</v>
      </c>
      <c r="F1409" s="3">
        <v>205</v>
      </c>
      <c r="G1409" s="3">
        <v>0</v>
      </c>
      <c r="H1409" s="3">
        <v>205</v>
      </c>
      <c r="I1409" t="s">
        <v>480</v>
      </c>
    </row>
    <row r="1410" spans="1:9" x14ac:dyDescent="0.35">
      <c r="A1410" s="2">
        <v>45412</v>
      </c>
      <c r="B1410">
        <v>82</v>
      </c>
      <c r="C1410">
        <v>6121019</v>
      </c>
      <c r="D1410" t="s">
        <v>100</v>
      </c>
      <c r="E1410" t="s">
        <v>483</v>
      </c>
      <c r="F1410" s="3">
        <v>478.79</v>
      </c>
      <c r="G1410" s="3">
        <v>0</v>
      </c>
      <c r="H1410" s="3">
        <v>478.79</v>
      </c>
      <c r="I1410" t="s">
        <v>480</v>
      </c>
    </row>
    <row r="1411" spans="1:9" x14ac:dyDescent="0.35">
      <c r="A1411" s="2">
        <v>45412</v>
      </c>
      <c r="B1411">
        <v>82</v>
      </c>
      <c r="C1411">
        <v>1112001</v>
      </c>
      <c r="D1411" t="s">
        <v>20</v>
      </c>
      <c r="E1411" t="s">
        <v>613</v>
      </c>
      <c r="F1411" s="3">
        <v>0</v>
      </c>
      <c r="G1411" s="3">
        <v>13121.77</v>
      </c>
      <c r="H1411" s="3">
        <v>-13121.77</v>
      </c>
      <c r="I1411" t="s">
        <v>480</v>
      </c>
    </row>
    <row r="1412" spans="1:9" x14ac:dyDescent="0.35">
      <c r="A1412" s="2">
        <v>45412</v>
      </c>
      <c r="B1412">
        <v>82</v>
      </c>
      <c r="C1412">
        <v>1112001</v>
      </c>
      <c r="D1412" t="s">
        <v>20</v>
      </c>
      <c r="E1412" t="s">
        <v>614</v>
      </c>
      <c r="F1412" s="3">
        <v>12719.84</v>
      </c>
      <c r="G1412" s="3">
        <v>0</v>
      </c>
      <c r="H1412" s="3">
        <v>12719.84</v>
      </c>
      <c r="I1412" t="s">
        <v>480</v>
      </c>
    </row>
    <row r="1413" spans="1:9" x14ac:dyDescent="0.35">
      <c r="A1413" s="2">
        <v>45412</v>
      </c>
      <c r="B1413">
        <v>82</v>
      </c>
      <c r="C1413">
        <v>1111001</v>
      </c>
      <c r="D1413" t="s">
        <v>16</v>
      </c>
      <c r="E1413" t="s">
        <v>350</v>
      </c>
      <c r="F1413" s="3">
        <v>0</v>
      </c>
      <c r="G1413" s="3">
        <v>1599.34</v>
      </c>
      <c r="H1413" s="3">
        <v>-1599.34</v>
      </c>
      <c r="I1413" t="s">
        <v>480</v>
      </c>
    </row>
    <row r="1414" spans="1:9" x14ac:dyDescent="0.35">
      <c r="A1414" s="2">
        <v>45412</v>
      </c>
      <c r="B1414">
        <v>82</v>
      </c>
      <c r="C1414">
        <v>1111001</v>
      </c>
      <c r="D1414" t="s">
        <v>16</v>
      </c>
      <c r="E1414" t="s">
        <v>615</v>
      </c>
      <c r="F1414" s="3">
        <v>0</v>
      </c>
      <c r="G1414" s="3">
        <v>2500</v>
      </c>
      <c r="H1414" s="3">
        <v>-2500</v>
      </c>
      <c r="I1414" t="s">
        <v>480</v>
      </c>
    </row>
    <row r="1415" spans="1:9" x14ac:dyDescent="0.35">
      <c r="A1415" s="2">
        <v>45412</v>
      </c>
      <c r="B1415">
        <v>82</v>
      </c>
      <c r="C1415">
        <v>1111001</v>
      </c>
      <c r="D1415" t="s">
        <v>16</v>
      </c>
      <c r="E1415" t="s">
        <v>112</v>
      </c>
      <c r="F1415" s="3">
        <v>0</v>
      </c>
      <c r="G1415" s="3">
        <v>8620.5</v>
      </c>
      <c r="H1415" s="3">
        <v>-8620.5</v>
      </c>
      <c r="I1415" t="s">
        <v>480</v>
      </c>
    </row>
    <row r="1416" spans="1:9" x14ac:dyDescent="0.35">
      <c r="A1416" s="2">
        <v>45412</v>
      </c>
      <c r="B1416">
        <v>82</v>
      </c>
      <c r="C1416">
        <v>6121040</v>
      </c>
      <c r="D1416" t="s">
        <v>98</v>
      </c>
      <c r="E1416" t="s">
        <v>99</v>
      </c>
      <c r="F1416" s="3">
        <v>2955.44</v>
      </c>
      <c r="G1416" s="3">
        <v>0</v>
      </c>
      <c r="H1416" s="3">
        <v>2955.44</v>
      </c>
      <c r="I1416" t="s">
        <v>507</v>
      </c>
    </row>
    <row r="1417" spans="1:9" x14ac:dyDescent="0.35">
      <c r="A1417" s="2">
        <v>45412</v>
      </c>
      <c r="B1417">
        <v>82</v>
      </c>
      <c r="C1417">
        <v>6121046</v>
      </c>
      <c r="D1417" t="s">
        <v>94</v>
      </c>
      <c r="E1417" t="s">
        <v>95</v>
      </c>
      <c r="F1417" s="3">
        <v>1939.61</v>
      </c>
      <c r="G1417" s="3">
        <v>0</v>
      </c>
      <c r="H1417" s="3">
        <v>1939.61</v>
      </c>
      <c r="I1417" t="s">
        <v>507</v>
      </c>
    </row>
    <row r="1418" spans="1:9" x14ac:dyDescent="0.35">
      <c r="A1418" s="2">
        <v>45412</v>
      </c>
      <c r="B1418">
        <v>82</v>
      </c>
      <c r="C1418">
        <v>2114001</v>
      </c>
      <c r="D1418" t="s">
        <v>97</v>
      </c>
      <c r="E1418" t="s">
        <v>1768</v>
      </c>
      <c r="F1418" s="3">
        <v>22426</v>
      </c>
      <c r="G1418" s="3">
        <v>0</v>
      </c>
      <c r="H1418" s="3">
        <v>22426</v>
      </c>
      <c r="I1418" t="s">
        <v>507</v>
      </c>
    </row>
    <row r="1419" spans="1:9" x14ac:dyDescent="0.35">
      <c r="A1419" s="2">
        <v>45412</v>
      </c>
      <c r="B1419">
        <v>82</v>
      </c>
      <c r="C1419">
        <v>6121029</v>
      </c>
      <c r="D1419" t="s">
        <v>217</v>
      </c>
      <c r="E1419" t="s">
        <v>616</v>
      </c>
      <c r="F1419" s="3">
        <v>347.6</v>
      </c>
      <c r="G1419" s="3">
        <v>0</v>
      </c>
      <c r="H1419" s="3">
        <v>347.6</v>
      </c>
      <c r="I1419" t="s">
        <v>507</v>
      </c>
    </row>
    <row r="1420" spans="1:9" x14ac:dyDescent="0.35">
      <c r="A1420" s="2">
        <v>45412</v>
      </c>
      <c r="B1420">
        <v>82</v>
      </c>
      <c r="C1420">
        <v>1111001</v>
      </c>
      <c r="D1420" t="s">
        <v>16</v>
      </c>
      <c r="E1420" t="s">
        <v>617</v>
      </c>
      <c r="F1420" s="3">
        <v>2000</v>
      </c>
      <c r="G1420" s="3">
        <v>0</v>
      </c>
      <c r="H1420" s="3">
        <v>2000</v>
      </c>
      <c r="I1420" t="s">
        <v>507</v>
      </c>
    </row>
    <row r="1421" spans="1:9" x14ac:dyDescent="0.35">
      <c r="A1421" s="2">
        <v>45412</v>
      </c>
      <c r="B1421">
        <v>82</v>
      </c>
      <c r="C1421">
        <v>2121003</v>
      </c>
      <c r="D1421" t="s">
        <v>28</v>
      </c>
      <c r="E1421" t="s">
        <v>297</v>
      </c>
      <c r="F1421" s="3">
        <v>22902.55</v>
      </c>
      <c r="G1421" s="3">
        <v>0</v>
      </c>
      <c r="H1421" s="3">
        <v>22902.55</v>
      </c>
      <c r="I1421" t="s">
        <v>507</v>
      </c>
    </row>
    <row r="1422" spans="1:9" x14ac:dyDescent="0.35">
      <c r="A1422" s="2">
        <v>45412</v>
      </c>
      <c r="B1422">
        <v>82</v>
      </c>
      <c r="C1422">
        <v>2124009</v>
      </c>
      <c r="D1422" t="s">
        <v>154</v>
      </c>
      <c r="E1422" t="s">
        <v>296</v>
      </c>
      <c r="F1422" s="3">
        <v>777.48</v>
      </c>
      <c r="G1422" s="3">
        <v>0</v>
      </c>
      <c r="H1422" s="3">
        <v>777.48</v>
      </c>
      <c r="I1422" t="s">
        <v>507</v>
      </c>
    </row>
    <row r="1423" spans="1:9" x14ac:dyDescent="0.35">
      <c r="A1423" s="2">
        <v>45412</v>
      </c>
      <c r="B1423">
        <v>82</v>
      </c>
      <c r="C1423">
        <v>1111001</v>
      </c>
      <c r="D1423" t="s">
        <v>16</v>
      </c>
      <c r="E1423" t="s">
        <v>359</v>
      </c>
      <c r="F1423" s="3">
        <v>2500</v>
      </c>
      <c r="G1423" s="3">
        <v>0</v>
      </c>
      <c r="H1423" s="3">
        <v>2500</v>
      </c>
      <c r="I1423" t="s">
        <v>507</v>
      </c>
    </row>
    <row r="1424" spans="1:9" x14ac:dyDescent="0.35">
      <c r="A1424" s="2">
        <v>45412</v>
      </c>
      <c r="B1424">
        <v>82</v>
      </c>
      <c r="C1424">
        <v>1111001</v>
      </c>
      <c r="D1424" t="s">
        <v>16</v>
      </c>
      <c r="E1424" t="s">
        <v>132</v>
      </c>
      <c r="F1424" s="3">
        <v>17300</v>
      </c>
      <c r="G1424" s="3">
        <v>0</v>
      </c>
      <c r="H1424" s="3">
        <v>17300</v>
      </c>
      <c r="I1424" t="s">
        <v>507</v>
      </c>
    </row>
    <row r="1425" spans="1:9" x14ac:dyDescent="0.35">
      <c r="A1425" s="2">
        <v>45412</v>
      </c>
      <c r="B1425">
        <v>82</v>
      </c>
      <c r="C1425">
        <v>5132002</v>
      </c>
      <c r="D1425" t="s">
        <v>115</v>
      </c>
      <c r="E1425" t="s">
        <v>618</v>
      </c>
      <c r="F1425" s="3">
        <v>13000</v>
      </c>
      <c r="G1425" s="3">
        <v>0</v>
      </c>
      <c r="H1425" s="3">
        <v>13000</v>
      </c>
      <c r="I1425" t="s">
        <v>507</v>
      </c>
    </row>
    <row r="1426" spans="1:9" x14ac:dyDescent="0.35">
      <c r="A1426" s="2">
        <v>45412</v>
      </c>
      <c r="B1426">
        <v>82</v>
      </c>
      <c r="C1426">
        <v>1111001</v>
      </c>
      <c r="D1426" t="s">
        <v>16</v>
      </c>
      <c r="E1426" t="s">
        <v>619</v>
      </c>
      <c r="F1426" s="3">
        <v>5000</v>
      </c>
      <c r="G1426" s="3">
        <v>0</v>
      </c>
      <c r="H1426" s="3">
        <v>5000</v>
      </c>
      <c r="I1426" t="s">
        <v>507</v>
      </c>
    </row>
    <row r="1427" spans="1:9" x14ac:dyDescent="0.35">
      <c r="A1427" s="2">
        <v>45412</v>
      </c>
      <c r="B1427">
        <v>82</v>
      </c>
      <c r="C1427">
        <v>1111001</v>
      </c>
      <c r="D1427" t="s">
        <v>16</v>
      </c>
      <c r="E1427" t="s">
        <v>213</v>
      </c>
      <c r="F1427" s="3">
        <v>5400</v>
      </c>
      <c r="G1427" s="3">
        <v>0</v>
      </c>
      <c r="H1427" s="3">
        <v>5400</v>
      </c>
      <c r="I1427" t="s">
        <v>507</v>
      </c>
    </row>
    <row r="1428" spans="1:9" x14ac:dyDescent="0.35">
      <c r="A1428" s="2">
        <v>45412</v>
      </c>
      <c r="B1428">
        <v>82</v>
      </c>
      <c r="C1428">
        <v>2114010</v>
      </c>
      <c r="D1428" t="s">
        <v>48</v>
      </c>
      <c r="E1428" t="s">
        <v>620</v>
      </c>
      <c r="F1428" s="3">
        <v>425.19</v>
      </c>
      <c r="G1428" s="3">
        <v>0</v>
      </c>
      <c r="H1428" s="3">
        <v>425.19</v>
      </c>
      <c r="I1428" t="s">
        <v>507</v>
      </c>
    </row>
    <row r="1429" spans="1:9" x14ac:dyDescent="0.35">
      <c r="A1429" s="2">
        <v>45412</v>
      </c>
      <c r="B1429">
        <v>82</v>
      </c>
      <c r="C1429">
        <v>2114010</v>
      </c>
      <c r="D1429" t="s">
        <v>48</v>
      </c>
      <c r="E1429" t="s">
        <v>1771</v>
      </c>
      <c r="F1429" s="3">
        <v>5066.67</v>
      </c>
      <c r="G1429" s="3">
        <v>0</v>
      </c>
      <c r="H1429" s="3">
        <v>5066.67</v>
      </c>
      <c r="I1429" t="s">
        <v>507</v>
      </c>
    </row>
    <row r="1430" spans="1:9" x14ac:dyDescent="0.35">
      <c r="A1430" s="2">
        <v>45412</v>
      </c>
      <c r="B1430">
        <v>82</v>
      </c>
      <c r="C1430">
        <v>2114010</v>
      </c>
      <c r="D1430" t="s">
        <v>48</v>
      </c>
      <c r="E1430" t="s">
        <v>1771</v>
      </c>
      <c r="F1430" s="3">
        <v>3466.67</v>
      </c>
      <c r="G1430" s="3">
        <v>0</v>
      </c>
      <c r="H1430" s="3">
        <v>3466.67</v>
      </c>
      <c r="I1430" t="s">
        <v>507</v>
      </c>
    </row>
    <row r="1431" spans="1:9" x14ac:dyDescent="0.35">
      <c r="A1431" s="2">
        <v>45412</v>
      </c>
      <c r="B1431">
        <v>82</v>
      </c>
      <c r="C1431">
        <v>2114010</v>
      </c>
      <c r="D1431" t="s">
        <v>48</v>
      </c>
      <c r="E1431" t="s">
        <v>1771</v>
      </c>
      <c r="F1431" s="3">
        <v>4000</v>
      </c>
      <c r="G1431" s="3">
        <v>0</v>
      </c>
      <c r="H1431" s="3">
        <v>4000</v>
      </c>
      <c r="I1431" t="s">
        <v>507</v>
      </c>
    </row>
    <row r="1432" spans="1:9" x14ac:dyDescent="0.35">
      <c r="A1432" s="2">
        <v>45412</v>
      </c>
      <c r="B1432">
        <v>82</v>
      </c>
      <c r="C1432">
        <v>2114010</v>
      </c>
      <c r="D1432" t="s">
        <v>48</v>
      </c>
      <c r="E1432" t="s">
        <v>1771</v>
      </c>
      <c r="F1432" s="3">
        <v>5000</v>
      </c>
      <c r="G1432" s="3">
        <v>0</v>
      </c>
      <c r="H1432" s="3">
        <v>5000</v>
      </c>
      <c r="I1432" t="s">
        <v>507</v>
      </c>
    </row>
    <row r="1433" spans="1:9" x14ac:dyDescent="0.35">
      <c r="A1433" s="2">
        <v>45412</v>
      </c>
      <c r="B1433">
        <v>82</v>
      </c>
      <c r="C1433">
        <v>5131016</v>
      </c>
      <c r="D1433" t="s">
        <v>238</v>
      </c>
      <c r="E1433" t="s">
        <v>1786</v>
      </c>
      <c r="F1433" s="3">
        <v>2500</v>
      </c>
      <c r="G1433" s="3">
        <v>0</v>
      </c>
      <c r="H1433" s="3">
        <v>2500</v>
      </c>
      <c r="I1433" t="s">
        <v>507</v>
      </c>
    </row>
    <row r="1434" spans="1:9" x14ac:dyDescent="0.35">
      <c r="A1434" s="2">
        <v>45412</v>
      </c>
      <c r="B1434">
        <v>82</v>
      </c>
      <c r="C1434">
        <v>2114010</v>
      </c>
      <c r="D1434" t="s">
        <v>48</v>
      </c>
      <c r="E1434" t="s">
        <v>1771</v>
      </c>
      <c r="F1434" s="3">
        <v>4500.12</v>
      </c>
      <c r="G1434" s="3">
        <v>0</v>
      </c>
      <c r="H1434" s="3">
        <v>4500.12</v>
      </c>
      <c r="I1434" t="s">
        <v>507</v>
      </c>
    </row>
    <row r="1435" spans="1:9" x14ac:dyDescent="0.35">
      <c r="A1435" s="2">
        <v>45412</v>
      </c>
      <c r="B1435">
        <v>82</v>
      </c>
      <c r="C1435">
        <v>6121029</v>
      </c>
      <c r="D1435" t="s">
        <v>217</v>
      </c>
      <c r="E1435" t="s">
        <v>621</v>
      </c>
      <c r="F1435" s="3">
        <v>1110</v>
      </c>
      <c r="G1435" s="3">
        <v>0</v>
      </c>
      <c r="H1435" s="3">
        <v>1110</v>
      </c>
      <c r="I1435" t="s">
        <v>507</v>
      </c>
    </row>
    <row r="1436" spans="1:9" x14ac:dyDescent="0.35">
      <c r="A1436" s="2">
        <v>45412</v>
      </c>
      <c r="B1436">
        <v>82</v>
      </c>
      <c r="C1436">
        <v>1112002</v>
      </c>
      <c r="D1436" t="s">
        <v>21</v>
      </c>
      <c r="E1436" t="s">
        <v>622</v>
      </c>
      <c r="F1436" s="3">
        <v>0</v>
      </c>
      <c r="G1436" s="3">
        <v>122617.33</v>
      </c>
      <c r="H1436" s="3">
        <v>-122617.33</v>
      </c>
      <c r="I1436" t="s">
        <v>507</v>
      </c>
    </row>
    <row r="1437" spans="1:9" x14ac:dyDescent="0.35">
      <c r="A1437" s="2">
        <v>45412</v>
      </c>
      <c r="B1437">
        <v>82</v>
      </c>
      <c r="C1437">
        <v>1112002</v>
      </c>
      <c r="D1437" t="s">
        <v>21</v>
      </c>
      <c r="E1437" t="s">
        <v>614</v>
      </c>
      <c r="F1437" s="3">
        <v>121819.97</v>
      </c>
      <c r="G1437" s="3">
        <v>0</v>
      </c>
      <c r="H1437" s="3">
        <v>121819.97</v>
      </c>
      <c r="I1437" t="s">
        <v>507</v>
      </c>
    </row>
    <row r="1438" spans="1:9" x14ac:dyDescent="0.35">
      <c r="A1438" s="2">
        <v>45412</v>
      </c>
      <c r="B1438">
        <v>82</v>
      </c>
      <c r="C1438">
        <v>1111001</v>
      </c>
      <c r="D1438" t="s">
        <v>16</v>
      </c>
      <c r="E1438" t="s">
        <v>112</v>
      </c>
      <c r="F1438" s="3">
        <v>0</v>
      </c>
      <c r="G1438" s="3">
        <v>1821</v>
      </c>
      <c r="H1438" s="3">
        <v>-1821</v>
      </c>
      <c r="I1438" t="s">
        <v>507</v>
      </c>
    </row>
    <row r="1439" spans="1:9" x14ac:dyDescent="0.35">
      <c r="A1439" s="2">
        <v>45412</v>
      </c>
      <c r="B1439">
        <v>82</v>
      </c>
      <c r="C1439">
        <v>1111001</v>
      </c>
      <c r="D1439" t="s">
        <v>16</v>
      </c>
      <c r="E1439" t="s">
        <v>623</v>
      </c>
      <c r="F1439" s="3">
        <v>0</v>
      </c>
      <c r="G1439" s="3">
        <v>1407</v>
      </c>
      <c r="H1439" s="3">
        <v>-1407</v>
      </c>
      <c r="I1439" t="s">
        <v>507</v>
      </c>
    </row>
    <row r="1440" spans="1:9" x14ac:dyDescent="0.35">
      <c r="A1440" s="2">
        <v>45412</v>
      </c>
      <c r="B1440">
        <v>82</v>
      </c>
      <c r="C1440">
        <v>1111001</v>
      </c>
      <c r="D1440" t="s">
        <v>16</v>
      </c>
      <c r="E1440" t="s">
        <v>137</v>
      </c>
      <c r="F1440" s="3">
        <v>0</v>
      </c>
      <c r="G1440" s="3">
        <v>88456.58</v>
      </c>
      <c r="H1440" s="3">
        <v>-88456.58</v>
      </c>
      <c r="I1440" t="s">
        <v>507</v>
      </c>
    </row>
    <row r="1441" spans="1:9" x14ac:dyDescent="0.35">
      <c r="A1441" s="2">
        <v>45412</v>
      </c>
      <c r="B1441">
        <v>82</v>
      </c>
      <c r="C1441">
        <v>1111001</v>
      </c>
      <c r="D1441" t="s">
        <v>16</v>
      </c>
      <c r="E1441" t="s">
        <v>427</v>
      </c>
      <c r="F1441" s="3">
        <v>0</v>
      </c>
      <c r="G1441" s="3">
        <v>1900</v>
      </c>
      <c r="H1441" s="3">
        <v>-1900</v>
      </c>
      <c r="I1441" t="s">
        <v>507</v>
      </c>
    </row>
    <row r="1442" spans="1:9" x14ac:dyDescent="0.35">
      <c r="A1442" s="2">
        <v>45412</v>
      </c>
      <c r="B1442">
        <v>82</v>
      </c>
      <c r="C1442">
        <v>2114001</v>
      </c>
      <c r="D1442" t="s">
        <v>97</v>
      </c>
      <c r="E1442" t="s">
        <v>1787</v>
      </c>
      <c r="F1442" s="3">
        <v>0</v>
      </c>
      <c r="G1442" s="3">
        <v>450</v>
      </c>
      <c r="H1442" s="3">
        <v>-450</v>
      </c>
      <c r="I1442" t="s">
        <v>507</v>
      </c>
    </row>
    <row r="1443" spans="1:9" x14ac:dyDescent="0.35">
      <c r="A1443" s="2">
        <v>45412</v>
      </c>
      <c r="B1443">
        <v>82</v>
      </c>
      <c r="C1443">
        <v>1111001</v>
      </c>
      <c r="D1443" t="s">
        <v>16</v>
      </c>
      <c r="E1443" t="s">
        <v>624</v>
      </c>
      <c r="F1443" s="3">
        <v>0</v>
      </c>
      <c r="G1443" s="3">
        <v>2300</v>
      </c>
      <c r="H1443" s="3">
        <v>-2300</v>
      </c>
      <c r="I1443" t="s">
        <v>507</v>
      </c>
    </row>
    <row r="1444" spans="1:9" x14ac:dyDescent="0.35">
      <c r="A1444" s="2">
        <v>45412</v>
      </c>
      <c r="B1444">
        <v>82</v>
      </c>
      <c r="C1444">
        <v>1111001</v>
      </c>
      <c r="D1444" t="s">
        <v>16</v>
      </c>
      <c r="E1444" t="s">
        <v>139</v>
      </c>
      <c r="F1444" s="3">
        <v>0</v>
      </c>
      <c r="G1444" s="3">
        <v>25250.79</v>
      </c>
      <c r="H1444" s="3">
        <v>-25250.79</v>
      </c>
      <c r="I1444" t="s">
        <v>507</v>
      </c>
    </row>
    <row r="1445" spans="1:9" x14ac:dyDescent="0.35">
      <c r="A1445" s="2">
        <v>45412</v>
      </c>
      <c r="B1445">
        <v>82</v>
      </c>
      <c r="C1445">
        <v>4141003</v>
      </c>
      <c r="D1445" t="s">
        <v>141</v>
      </c>
      <c r="E1445" t="s">
        <v>625</v>
      </c>
      <c r="F1445" s="3">
        <v>0</v>
      </c>
      <c r="G1445" s="3">
        <v>11.76</v>
      </c>
      <c r="H1445" s="3">
        <v>-11.76</v>
      </c>
      <c r="I1445" t="s">
        <v>507</v>
      </c>
    </row>
    <row r="1446" spans="1:9" x14ac:dyDescent="0.35">
      <c r="A1446" s="2">
        <v>45412</v>
      </c>
      <c r="B1446">
        <v>82</v>
      </c>
      <c r="C1446">
        <v>4141003</v>
      </c>
      <c r="D1446" t="s">
        <v>141</v>
      </c>
      <c r="E1446" t="s">
        <v>142</v>
      </c>
      <c r="F1446" s="3">
        <v>0</v>
      </c>
      <c r="G1446" s="3">
        <v>222.84</v>
      </c>
      <c r="H1446" s="3">
        <v>-222.84</v>
      </c>
      <c r="I1446" t="s">
        <v>507</v>
      </c>
    </row>
    <row r="1447" spans="1:9" x14ac:dyDescent="0.35">
      <c r="A1447" s="2">
        <v>45412</v>
      </c>
      <c r="B1447">
        <v>82</v>
      </c>
      <c r="C1447">
        <v>6121040</v>
      </c>
      <c r="D1447" t="s">
        <v>98</v>
      </c>
      <c r="E1447" t="s">
        <v>99</v>
      </c>
      <c r="F1447" s="3">
        <v>543.92999999999995</v>
      </c>
      <c r="G1447" s="3">
        <v>0</v>
      </c>
      <c r="H1447" s="3">
        <v>543.92999999999995</v>
      </c>
      <c r="I1447" t="s">
        <v>472</v>
      </c>
    </row>
    <row r="1448" spans="1:9" x14ac:dyDescent="0.35">
      <c r="A1448" s="2">
        <v>45412</v>
      </c>
      <c r="B1448">
        <v>82</v>
      </c>
      <c r="C1448">
        <v>6121046</v>
      </c>
      <c r="D1448" t="s">
        <v>94</v>
      </c>
      <c r="E1448" t="s">
        <v>95</v>
      </c>
      <c r="F1448" s="3">
        <v>664.65</v>
      </c>
      <c r="G1448" s="3">
        <v>0</v>
      </c>
      <c r="H1448" s="3">
        <v>664.65</v>
      </c>
      <c r="I1448" t="s">
        <v>472</v>
      </c>
    </row>
    <row r="1449" spans="1:9" x14ac:dyDescent="0.35">
      <c r="A1449" s="2">
        <v>45412</v>
      </c>
      <c r="B1449">
        <v>82</v>
      </c>
      <c r="C1449">
        <v>2114001</v>
      </c>
      <c r="D1449" t="s">
        <v>97</v>
      </c>
      <c r="E1449" t="s">
        <v>1768</v>
      </c>
      <c r="F1449" s="3">
        <v>7184.6</v>
      </c>
      <c r="G1449" s="3">
        <v>0</v>
      </c>
      <c r="H1449" s="3">
        <v>7184.6</v>
      </c>
      <c r="I1449" t="s">
        <v>472</v>
      </c>
    </row>
    <row r="1450" spans="1:9" x14ac:dyDescent="0.35">
      <c r="A1450" s="2">
        <v>45412</v>
      </c>
      <c r="B1450">
        <v>82</v>
      </c>
      <c r="C1450">
        <v>2124004</v>
      </c>
      <c r="D1450" t="s">
        <v>29</v>
      </c>
      <c r="E1450" t="s">
        <v>626</v>
      </c>
      <c r="F1450" s="3">
        <v>939</v>
      </c>
      <c r="G1450" s="3">
        <v>0</v>
      </c>
      <c r="H1450" s="3">
        <v>939</v>
      </c>
      <c r="I1450" t="s">
        <v>472</v>
      </c>
    </row>
    <row r="1451" spans="1:9" x14ac:dyDescent="0.35">
      <c r="A1451" s="2">
        <v>45412</v>
      </c>
      <c r="B1451">
        <v>82</v>
      </c>
      <c r="C1451">
        <v>5132002</v>
      </c>
      <c r="D1451" t="s">
        <v>115</v>
      </c>
      <c r="E1451" t="s">
        <v>627</v>
      </c>
      <c r="F1451" s="3">
        <v>13676.79</v>
      </c>
      <c r="G1451" s="3">
        <v>0</v>
      </c>
      <c r="H1451" s="3">
        <v>13676.79</v>
      </c>
      <c r="I1451" t="s">
        <v>472</v>
      </c>
    </row>
    <row r="1452" spans="1:9" x14ac:dyDescent="0.35">
      <c r="A1452" s="2">
        <v>45412</v>
      </c>
      <c r="B1452">
        <v>82</v>
      </c>
      <c r="C1452">
        <v>2114010</v>
      </c>
      <c r="D1452" t="s">
        <v>48</v>
      </c>
      <c r="E1452" t="s">
        <v>1788</v>
      </c>
      <c r="F1452" s="3">
        <v>6000</v>
      </c>
      <c r="G1452" s="3">
        <v>0</v>
      </c>
      <c r="H1452" s="3">
        <v>6000</v>
      </c>
      <c r="I1452" t="s">
        <v>472</v>
      </c>
    </row>
    <row r="1453" spans="1:9" x14ac:dyDescent="0.35">
      <c r="A1453" s="2">
        <v>45412</v>
      </c>
      <c r="B1453">
        <v>82</v>
      </c>
      <c r="C1453">
        <v>2114001</v>
      </c>
      <c r="D1453" t="s">
        <v>97</v>
      </c>
      <c r="E1453" t="s">
        <v>493</v>
      </c>
      <c r="F1453" s="3">
        <v>5827.2</v>
      </c>
      <c r="G1453" s="3">
        <v>0</v>
      </c>
      <c r="H1453" s="3">
        <v>5827.2</v>
      </c>
      <c r="I1453" t="s">
        <v>472</v>
      </c>
    </row>
    <row r="1454" spans="1:9" x14ac:dyDescent="0.35">
      <c r="A1454" s="2">
        <v>45412</v>
      </c>
      <c r="B1454">
        <v>82</v>
      </c>
      <c r="C1454">
        <v>1112003</v>
      </c>
      <c r="D1454" t="s">
        <v>22</v>
      </c>
      <c r="E1454" t="s">
        <v>613</v>
      </c>
      <c r="F1454" s="3">
        <v>0</v>
      </c>
      <c r="G1454" s="3">
        <v>34836.17</v>
      </c>
      <c r="H1454" s="3">
        <v>-34836.17</v>
      </c>
      <c r="I1454" t="s">
        <v>472</v>
      </c>
    </row>
    <row r="1455" spans="1:9" x14ac:dyDescent="0.35">
      <c r="A1455" s="2">
        <v>45412</v>
      </c>
      <c r="B1455">
        <v>82</v>
      </c>
      <c r="C1455">
        <v>1112003</v>
      </c>
      <c r="D1455" t="s">
        <v>22</v>
      </c>
      <c r="E1455" t="s">
        <v>614</v>
      </c>
      <c r="F1455" s="3">
        <v>30524.75</v>
      </c>
      <c r="G1455" s="3">
        <v>0</v>
      </c>
      <c r="H1455" s="3">
        <v>30524.75</v>
      </c>
      <c r="I1455" t="s">
        <v>472</v>
      </c>
    </row>
    <row r="1456" spans="1:9" x14ac:dyDescent="0.35">
      <c r="A1456" s="2">
        <v>45412</v>
      </c>
      <c r="B1456">
        <v>82</v>
      </c>
      <c r="C1456">
        <v>1111001</v>
      </c>
      <c r="D1456" t="s">
        <v>16</v>
      </c>
      <c r="E1456" t="s">
        <v>113</v>
      </c>
      <c r="F1456" s="3">
        <v>0</v>
      </c>
      <c r="G1456" s="3">
        <v>5000</v>
      </c>
      <c r="H1456" s="3">
        <v>-5000</v>
      </c>
      <c r="I1456" t="s">
        <v>472</v>
      </c>
    </row>
    <row r="1457" spans="1:9" x14ac:dyDescent="0.35">
      <c r="A1457" s="2">
        <v>45412</v>
      </c>
      <c r="B1457">
        <v>82</v>
      </c>
      <c r="C1457">
        <v>1111001</v>
      </c>
      <c r="D1457" t="s">
        <v>16</v>
      </c>
      <c r="E1457" t="s">
        <v>628</v>
      </c>
      <c r="F1457" s="3">
        <v>0</v>
      </c>
      <c r="G1457" s="3">
        <v>2724.75</v>
      </c>
      <c r="H1457" s="3">
        <v>-2724.75</v>
      </c>
      <c r="I1457" t="s">
        <v>472</v>
      </c>
    </row>
    <row r="1458" spans="1:9" x14ac:dyDescent="0.35">
      <c r="A1458" s="2">
        <v>45412</v>
      </c>
      <c r="B1458">
        <v>82</v>
      </c>
      <c r="C1458">
        <v>1111001</v>
      </c>
      <c r="D1458" t="s">
        <v>16</v>
      </c>
      <c r="E1458" t="s">
        <v>111</v>
      </c>
      <c r="F1458" s="3">
        <v>0</v>
      </c>
      <c r="G1458" s="3">
        <v>22700</v>
      </c>
      <c r="H1458" s="3">
        <v>-22700</v>
      </c>
      <c r="I1458" t="s">
        <v>472</v>
      </c>
    </row>
    <row r="1459" spans="1:9" x14ac:dyDescent="0.35">
      <c r="A1459" s="2">
        <v>45412</v>
      </c>
      <c r="B1459">
        <v>82</v>
      </c>
      <c r="C1459">
        <v>1111001</v>
      </c>
      <c r="D1459" t="s">
        <v>16</v>
      </c>
      <c r="E1459" t="s">
        <v>112</v>
      </c>
      <c r="F1459" s="3">
        <v>0</v>
      </c>
      <c r="G1459" s="3">
        <v>100</v>
      </c>
      <c r="H1459" s="3">
        <v>-100</v>
      </c>
      <c r="I1459" t="s">
        <v>472</v>
      </c>
    </row>
    <row r="1460" spans="1:9" x14ac:dyDescent="0.35">
      <c r="A1460" s="2">
        <v>45412</v>
      </c>
      <c r="B1460">
        <v>82</v>
      </c>
      <c r="C1460">
        <v>5131001</v>
      </c>
      <c r="D1460" t="s">
        <v>86</v>
      </c>
      <c r="E1460" t="s">
        <v>629</v>
      </c>
      <c r="F1460" s="3">
        <v>390</v>
      </c>
      <c r="G1460" s="3">
        <v>0</v>
      </c>
      <c r="H1460" s="3">
        <v>390</v>
      </c>
      <c r="I1460" t="s">
        <v>477</v>
      </c>
    </row>
    <row r="1461" spans="1:9" x14ac:dyDescent="0.35">
      <c r="A1461" s="2">
        <v>45412</v>
      </c>
      <c r="B1461">
        <v>82</v>
      </c>
      <c r="C1461">
        <v>5131005</v>
      </c>
      <c r="D1461" t="s">
        <v>205</v>
      </c>
      <c r="E1461" t="s">
        <v>629</v>
      </c>
      <c r="F1461" s="3">
        <v>4371.6000000000004</v>
      </c>
      <c r="G1461" s="3">
        <v>0</v>
      </c>
      <c r="H1461" s="3">
        <v>4371.6000000000004</v>
      </c>
      <c r="I1461" t="s">
        <v>477</v>
      </c>
    </row>
    <row r="1462" spans="1:9" x14ac:dyDescent="0.35">
      <c r="A1462" s="2">
        <v>45412</v>
      </c>
      <c r="B1462">
        <v>82</v>
      </c>
      <c r="C1462">
        <v>5131008</v>
      </c>
      <c r="D1462" t="s">
        <v>89</v>
      </c>
      <c r="E1462" t="s">
        <v>629</v>
      </c>
      <c r="F1462" s="3">
        <v>81.900000000000006</v>
      </c>
      <c r="G1462" s="3">
        <v>0</v>
      </c>
      <c r="H1462" s="3">
        <v>81.900000000000006</v>
      </c>
      <c r="I1462" t="s">
        <v>477</v>
      </c>
    </row>
    <row r="1463" spans="1:9" x14ac:dyDescent="0.35">
      <c r="A1463" s="2">
        <v>45412</v>
      </c>
      <c r="B1463">
        <v>82</v>
      </c>
      <c r="C1463">
        <v>5131009</v>
      </c>
      <c r="D1463" t="s">
        <v>90</v>
      </c>
      <c r="E1463" t="s">
        <v>629</v>
      </c>
      <c r="F1463" s="3">
        <v>16.25</v>
      </c>
      <c r="G1463" s="3">
        <v>0</v>
      </c>
      <c r="H1463" s="3">
        <v>16.25</v>
      </c>
      <c r="I1463" t="s">
        <v>477</v>
      </c>
    </row>
    <row r="1464" spans="1:9" x14ac:dyDescent="0.35">
      <c r="A1464" s="2">
        <v>45412</v>
      </c>
      <c r="B1464">
        <v>82</v>
      </c>
      <c r="C1464">
        <v>5131010</v>
      </c>
      <c r="D1464" t="s">
        <v>91</v>
      </c>
      <c r="E1464" t="s">
        <v>629</v>
      </c>
      <c r="F1464" s="3">
        <v>32.5</v>
      </c>
      <c r="G1464" s="3">
        <v>0</v>
      </c>
      <c r="H1464" s="3">
        <v>32.5</v>
      </c>
      <c r="I1464" t="s">
        <v>477</v>
      </c>
    </row>
    <row r="1465" spans="1:9" x14ac:dyDescent="0.35">
      <c r="A1465" s="2">
        <v>45412</v>
      </c>
      <c r="B1465">
        <v>82</v>
      </c>
      <c r="C1465">
        <v>5131012</v>
      </c>
      <c r="D1465" t="s">
        <v>206</v>
      </c>
      <c r="E1465" t="s">
        <v>629</v>
      </c>
      <c r="F1465" s="3">
        <v>28.6</v>
      </c>
      <c r="G1465" s="3">
        <v>0</v>
      </c>
      <c r="H1465" s="3">
        <v>28.6</v>
      </c>
      <c r="I1465" t="s">
        <v>477</v>
      </c>
    </row>
    <row r="1466" spans="1:9" x14ac:dyDescent="0.35">
      <c r="A1466" s="2">
        <v>45412</v>
      </c>
      <c r="B1466">
        <v>82</v>
      </c>
      <c r="C1466">
        <v>5131013</v>
      </c>
      <c r="D1466" t="s">
        <v>92</v>
      </c>
      <c r="E1466" t="s">
        <v>629</v>
      </c>
      <c r="F1466" s="3">
        <v>7.8</v>
      </c>
      <c r="G1466" s="3">
        <v>0</v>
      </c>
      <c r="H1466" s="3">
        <v>7.8</v>
      </c>
      <c r="I1466" t="s">
        <v>477</v>
      </c>
    </row>
    <row r="1467" spans="1:9" x14ac:dyDescent="0.35">
      <c r="A1467" s="2">
        <v>45412</v>
      </c>
      <c r="B1467">
        <v>82</v>
      </c>
      <c r="C1467">
        <v>5131014</v>
      </c>
      <c r="D1467" t="s">
        <v>207</v>
      </c>
      <c r="E1467" t="s">
        <v>629</v>
      </c>
      <c r="F1467" s="3">
        <v>7.8</v>
      </c>
      <c r="G1467" s="3">
        <v>0</v>
      </c>
      <c r="H1467" s="3">
        <v>7.8</v>
      </c>
      <c r="I1467" t="s">
        <v>477</v>
      </c>
    </row>
    <row r="1468" spans="1:9" x14ac:dyDescent="0.35">
      <c r="A1468" s="2">
        <v>45412</v>
      </c>
      <c r="B1468">
        <v>82</v>
      </c>
      <c r="C1468">
        <v>2131002</v>
      </c>
      <c r="D1468" t="s">
        <v>31</v>
      </c>
      <c r="E1468" t="s">
        <v>629</v>
      </c>
      <c r="F1468" s="3">
        <v>0</v>
      </c>
      <c r="G1468" s="3">
        <v>18</v>
      </c>
      <c r="H1468" s="3">
        <v>-18</v>
      </c>
      <c r="I1468" t="s">
        <v>477</v>
      </c>
    </row>
    <row r="1469" spans="1:9" x14ac:dyDescent="0.35">
      <c r="A1469" s="2">
        <v>45412</v>
      </c>
      <c r="B1469">
        <v>82</v>
      </c>
      <c r="C1469">
        <v>2131003</v>
      </c>
      <c r="D1469" t="s">
        <v>32</v>
      </c>
      <c r="E1469" t="s">
        <v>629</v>
      </c>
      <c r="F1469" s="3">
        <v>0</v>
      </c>
      <c r="G1469" s="3">
        <v>2.25</v>
      </c>
      <c r="H1469" s="3">
        <v>-2.25</v>
      </c>
      <c r="I1469" t="s">
        <v>477</v>
      </c>
    </row>
    <row r="1470" spans="1:9" x14ac:dyDescent="0.35">
      <c r="A1470" s="2">
        <v>45412</v>
      </c>
      <c r="B1470">
        <v>82</v>
      </c>
      <c r="C1470">
        <v>2131004</v>
      </c>
      <c r="D1470" t="s">
        <v>33</v>
      </c>
      <c r="E1470" t="s">
        <v>629</v>
      </c>
      <c r="F1470" s="3">
        <v>0</v>
      </c>
      <c r="G1470" s="3">
        <v>6.25</v>
      </c>
      <c r="H1470" s="3">
        <v>-6.25</v>
      </c>
      <c r="I1470" t="s">
        <v>477</v>
      </c>
    </row>
    <row r="1471" spans="1:9" x14ac:dyDescent="0.35">
      <c r="A1471" s="2">
        <v>45412</v>
      </c>
      <c r="B1471">
        <v>82</v>
      </c>
      <c r="C1471">
        <v>2141001</v>
      </c>
      <c r="D1471" t="s">
        <v>35</v>
      </c>
      <c r="E1471" t="s">
        <v>629</v>
      </c>
      <c r="F1471" s="3">
        <v>0</v>
      </c>
      <c r="G1471" s="3">
        <v>28.6</v>
      </c>
      <c r="H1471" s="3">
        <v>-28.6</v>
      </c>
      <c r="I1471" t="s">
        <v>477</v>
      </c>
    </row>
    <row r="1472" spans="1:9" x14ac:dyDescent="0.35">
      <c r="A1472" s="2">
        <v>45412</v>
      </c>
      <c r="B1472">
        <v>82</v>
      </c>
      <c r="C1472">
        <v>2141002</v>
      </c>
      <c r="D1472" t="s">
        <v>36</v>
      </c>
      <c r="E1472" t="s">
        <v>629</v>
      </c>
      <c r="F1472" s="3">
        <v>0</v>
      </c>
      <c r="G1472" s="3">
        <v>7.8</v>
      </c>
      <c r="H1472" s="3">
        <v>-7.8</v>
      </c>
      <c r="I1472" t="s">
        <v>477</v>
      </c>
    </row>
    <row r="1473" spans="1:9" x14ac:dyDescent="0.35">
      <c r="A1473" s="2">
        <v>45412</v>
      </c>
      <c r="B1473">
        <v>82</v>
      </c>
      <c r="C1473">
        <v>2141003</v>
      </c>
      <c r="D1473" t="s">
        <v>37</v>
      </c>
      <c r="E1473" t="s">
        <v>629</v>
      </c>
      <c r="F1473" s="3">
        <v>0</v>
      </c>
      <c r="G1473" s="3">
        <v>7.8</v>
      </c>
      <c r="H1473" s="3">
        <v>-7.8</v>
      </c>
      <c r="I1473" t="s">
        <v>477</v>
      </c>
    </row>
    <row r="1474" spans="1:9" x14ac:dyDescent="0.35">
      <c r="A1474" s="2">
        <v>45412</v>
      </c>
      <c r="B1474">
        <v>82</v>
      </c>
      <c r="C1474">
        <v>2161004</v>
      </c>
      <c r="D1474" t="s">
        <v>38</v>
      </c>
      <c r="E1474" t="s">
        <v>629</v>
      </c>
      <c r="F1474" s="3">
        <v>0</v>
      </c>
      <c r="G1474" s="3">
        <v>16.25</v>
      </c>
      <c r="H1474" s="3">
        <v>-16.25</v>
      </c>
      <c r="I1474" t="s">
        <v>477</v>
      </c>
    </row>
    <row r="1475" spans="1:9" x14ac:dyDescent="0.35">
      <c r="A1475" s="2">
        <v>45412</v>
      </c>
      <c r="B1475">
        <v>82</v>
      </c>
      <c r="C1475">
        <v>2161005</v>
      </c>
      <c r="D1475" t="s">
        <v>39</v>
      </c>
      <c r="E1475" t="s">
        <v>629</v>
      </c>
      <c r="F1475" s="3">
        <v>0</v>
      </c>
      <c r="G1475" s="3">
        <v>32.5</v>
      </c>
      <c r="H1475" s="3">
        <v>-32.5</v>
      </c>
      <c r="I1475" t="s">
        <v>477</v>
      </c>
    </row>
    <row r="1476" spans="1:9" x14ac:dyDescent="0.35">
      <c r="A1476" s="2">
        <v>45412</v>
      </c>
      <c r="B1476">
        <v>82</v>
      </c>
      <c r="C1476">
        <v>2241001</v>
      </c>
      <c r="D1476" t="s">
        <v>40</v>
      </c>
      <c r="E1476" t="s">
        <v>629</v>
      </c>
      <c r="F1476" s="3">
        <v>0</v>
      </c>
      <c r="G1476" s="3">
        <v>81.900000000000006</v>
      </c>
      <c r="H1476" s="3">
        <v>-81.900000000000006</v>
      </c>
      <c r="I1476" t="s">
        <v>477</v>
      </c>
    </row>
    <row r="1477" spans="1:9" x14ac:dyDescent="0.35">
      <c r="A1477" s="2">
        <v>45412</v>
      </c>
      <c r="B1477">
        <v>82</v>
      </c>
      <c r="C1477">
        <v>2161001</v>
      </c>
      <c r="D1477" t="s">
        <v>93</v>
      </c>
      <c r="E1477" t="s">
        <v>629</v>
      </c>
      <c r="F1477" s="3">
        <v>0</v>
      </c>
      <c r="G1477" s="3">
        <v>4735.1000000000004</v>
      </c>
      <c r="H1477" s="3">
        <v>-4735.1000000000004</v>
      </c>
      <c r="I1477" t="s">
        <v>477</v>
      </c>
    </row>
    <row r="1478" spans="1:9" x14ac:dyDescent="0.35">
      <c r="A1478" s="2">
        <v>45412</v>
      </c>
      <c r="B1478">
        <v>82</v>
      </c>
      <c r="C1478">
        <v>5131006</v>
      </c>
      <c r="D1478" t="s">
        <v>125</v>
      </c>
      <c r="E1478" t="s">
        <v>630</v>
      </c>
      <c r="F1478" s="3">
        <v>24087.94</v>
      </c>
      <c r="G1478" s="3">
        <v>0</v>
      </c>
      <c r="H1478" s="3">
        <v>24087.94</v>
      </c>
      <c r="I1478" t="s">
        <v>438</v>
      </c>
    </row>
    <row r="1479" spans="1:9" x14ac:dyDescent="0.35">
      <c r="A1479" s="2">
        <v>45412</v>
      </c>
      <c r="B1479">
        <v>82</v>
      </c>
      <c r="C1479">
        <v>2161001</v>
      </c>
      <c r="D1479" t="s">
        <v>93</v>
      </c>
      <c r="E1479" t="s">
        <v>631</v>
      </c>
      <c r="F1479" s="3">
        <v>3945.52</v>
      </c>
      <c r="G1479" s="3">
        <v>0</v>
      </c>
      <c r="H1479" s="3">
        <v>3945.52</v>
      </c>
      <c r="I1479" t="s">
        <v>438</v>
      </c>
    </row>
    <row r="1480" spans="1:9" x14ac:dyDescent="0.35">
      <c r="A1480" s="2">
        <v>45412</v>
      </c>
      <c r="B1480">
        <v>82</v>
      </c>
      <c r="C1480">
        <v>2114010</v>
      </c>
      <c r="D1480" t="s">
        <v>48</v>
      </c>
      <c r="E1480" t="s">
        <v>1789</v>
      </c>
      <c r="F1480" s="3">
        <v>0</v>
      </c>
      <c r="G1480" s="3">
        <v>28033.46</v>
      </c>
      <c r="H1480" s="3">
        <v>-28033.46</v>
      </c>
      <c r="I1480" t="s">
        <v>438</v>
      </c>
    </row>
    <row r="1481" spans="1:9" x14ac:dyDescent="0.35">
      <c r="A1481" s="2">
        <v>45412</v>
      </c>
      <c r="B1481">
        <v>82</v>
      </c>
      <c r="C1481">
        <v>5131016</v>
      </c>
      <c r="D1481" t="s">
        <v>238</v>
      </c>
      <c r="E1481" t="s">
        <v>632</v>
      </c>
      <c r="F1481" s="3">
        <v>2160</v>
      </c>
      <c r="G1481" s="3">
        <v>0</v>
      </c>
      <c r="H1481" s="3">
        <v>2160</v>
      </c>
      <c r="I1481" t="s">
        <v>144</v>
      </c>
    </row>
    <row r="1482" spans="1:9" x14ac:dyDescent="0.35">
      <c r="A1482" s="2">
        <v>45412</v>
      </c>
      <c r="B1482">
        <v>82</v>
      </c>
      <c r="C1482">
        <v>2114001</v>
      </c>
      <c r="D1482" t="s">
        <v>97</v>
      </c>
      <c r="E1482" t="s">
        <v>632</v>
      </c>
      <c r="F1482" s="3">
        <v>0</v>
      </c>
      <c r="G1482" s="3">
        <v>2160</v>
      </c>
      <c r="H1482" s="3">
        <v>-2160</v>
      </c>
      <c r="I1482" t="s">
        <v>144</v>
      </c>
    </row>
    <row r="1483" spans="1:9" x14ac:dyDescent="0.35">
      <c r="A1483" s="2">
        <v>45412</v>
      </c>
      <c r="B1483">
        <v>82</v>
      </c>
      <c r="C1483">
        <v>6121023</v>
      </c>
      <c r="D1483" t="s">
        <v>49</v>
      </c>
      <c r="E1483" t="s">
        <v>633</v>
      </c>
      <c r="F1483" s="3">
        <v>780</v>
      </c>
      <c r="G1483" s="3">
        <v>0</v>
      </c>
      <c r="H1483" s="3">
        <v>780</v>
      </c>
      <c r="I1483" t="s">
        <v>144</v>
      </c>
    </row>
    <row r="1484" spans="1:9" x14ac:dyDescent="0.35">
      <c r="A1484" s="2">
        <v>45412</v>
      </c>
      <c r="B1484">
        <v>82</v>
      </c>
      <c r="C1484">
        <v>2114001</v>
      </c>
      <c r="D1484" t="s">
        <v>97</v>
      </c>
      <c r="E1484" t="s">
        <v>633</v>
      </c>
      <c r="F1484" s="3">
        <v>0</v>
      </c>
      <c r="G1484" s="3">
        <v>780</v>
      </c>
      <c r="H1484" s="3">
        <v>-780</v>
      </c>
      <c r="I1484" t="s">
        <v>144</v>
      </c>
    </row>
    <row r="1485" spans="1:9" x14ac:dyDescent="0.35">
      <c r="A1485" s="2">
        <v>45412</v>
      </c>
      <c r="B1485">
        <v>82</v>
      </c>
      <c r="C1485">
        <v>2114010</v>
      </c>
      <c r="D1485" t="s">
        <v>48</v>
      </c>
      <c r="E1485" t="s">
        <v>634</v>
      </c>
      <c r="F1485" s="3">
        <v>4524.58</v>
      </c>
      <c r="G1485" s="3">
        <v>0</v>
      </c>
      <c r="H1485" s="3">
        <v>4524.58</v>
      </c>
      <c r="I1485" t="s">
        <v>144</v>
      </c>
    </row>
    <row r="1486" spans="1:9" x14ac:dyDescent="0.35">
      <c r="A1486" s="2">
        <v>45412</v>
      </c>
      <c r="B1486">
        <v>82</v>
      </c>
      <c r="C1486">
        <v>2114001</v>
      </c>
      <c r="D1486" t="s">
        <v>97</v>
      </c>
      <c r="E1486" t="s">
        <v>634</v>
      </c>
      <c r="F1486" s="3">
        <v>0</v>
      </c>
      <c r="G1486" s="3">
        <v>4524.58</v>
      </c>
      <c r="H1486" s="3">
        <v>-4524.58</v>
      </c>
      <c r="I1486" t="s">
        <v>144</v>
      </c>
    </row>
    <row r="1487" spans="1:9" x14ac:dyDescent="0.35">
      <c r="A1487" s="2">
        <v>45412</v>
      </c>
      <c r="B1487">
        <v>82</v>
      </c>
      <c r="C1487">
        <v>2161001</v>
      </c>
      <c r="D1487" t="s">
        <v>93</v>
      </c>
      <c r="E1487" t="s">
        <v>511</v>
      </c>
      <c r="F1487" s="3">
        <v>1575.75</v>
      </c>
      <c r="G1487" s="3">
        <v>0</v>
      </c>
      <c r="H1487" s="3">
        <v>1575.75</v>
      </c>
      <c r="I1487" t="s">
        <v>144</v>
      </c>
    </row>
    <row r="1488" spans="1:9" x14ac:dyDescent="0.35">
      <c r="A1488" s="2">
        <v>45412</v>
      </c>
      <c r="B1488">
        <v>82</v>
      </c>
      <c r="C1488">
        <v>2114001</v>
      </c>
      <c r="D1488" t="s">
        <v>97</v>
      </c>
      <c r="E1488" t="s">
        <v>511</v>
      </c>
      <c r="F1488" s="3">
        <v>0</v>
      </c>
      <c r="G1488" s="3">
        <v>1575.75</v>
      </c>
      <c r="H1488" s="3">
        <v>-1575.75</v>
      </c>
      <c r="I1488" t="s">
        <v>144</v>
      </c>
    </row>
    <row r="1489" spans="1:9" x14ac:dyDescent="0.35">
      <c r="A1489" s="2">
        <v>45427</v>
      </c>
      <c r="B1489">
        <v>83</v>
      </c>
      <c r="C1489">
        <v>6121018</v>
      </c>
      <c r="D1489" t="s">
        <v>150</v>
      </c>
      <c r="E1489" t="s">
        <v>151</v>
      </c>
      <c r="F1489" s="3">
        <v>6533.7</v>
      </c>
      <c r="G1489" s="3">
        <v>0</v>
      </c>
      <c r="H1489" s="3">
        <v>6533.7</v>
      </c>
      <c r="I1489" t="s">
        <v>635</v>
      </c>
    </row>
    <row r="1490" spans="1:9" x14ac:dyDescent="0.35">
      <c r="A1490" s="2">
        <v>45427</v>
      </c>
      <c r="B1490">
        <v>83</v>
      </c>
      <c r="C1490">
        <v>1141001</v>
      </c>
      <c r="D1490" t="s">
        <v>153</v>
      </c>
      <c r="E1490" t="s">
        <v>151</v>
      </c>
      <c r="F1490" s="3">
        <v>1045.3900000000001</v>
      </c>
      <c r="G1490" s="3">
        <v>0</v>
      </c>
      <c r="H1490" s="3">
        <v>1045.3900000000001</v>
      </c>
      <c r="I1490" t="s">
        <v>635</v>
      </c>
    </row>
    <row r="1491" spans="1:9" x14ac:dyDescent="0.35">
      <c r="A1491" s="2">
        <v>45427</v>
      </c>
      <c r="B1491">
        <v>83</v>
      </c>
      <c r="C1491">
        <v>2124009</v>
      </c>
      <c r="D1491" t="s">
        <v>154</v>
      </c>
      <c r="E1491" t="s">
        <v>151</v>
      </c>
      <c r="F1491" s="3">
        <v>0</v>
      </c>
      <c r="G1491" s="3">
        <v>784.04</v>
      </c>
      <c r="H1491" s="3">
        <v>-784.04</v>
      </c>
      <c r="I1491" t="s">
        <v>1438</v>
      </c>
    </row>
    <row r="1492" spans="1:9" x14ac:dyDescent="0.35">
      <c r="A1492" s="2">
        <v>45427</v>
      </c>
      <c r="B1492">
        <v>83</v>
      </c>
      <c r="C1492">
        <v>2122003</v>
      </c>
      <c r="D1492" t="s">
        <v>308</v>
      </c>
      <c r="E1492" t="s">
        <v>151</v>
      </c>
      <c r="F1492" s="3">
        <v>0</v>
      </c>
      <c r="G1492" s="3">
        <v>130.66999999999999</v>
      </c>
      <c r="H1492" s="3">
        <v>-130.66999999999999</v>
      </c>
      <c r="I1492" t="s">
        <v>635</v>
      </c>
    </row>
    <row r="1493" spans="1:9" x14ac:dyDescent="0.35">
      <c r="A1493" s="2">
        <v>45427</v>
      </c>
      <c r="B1493">
        <v>83</v>
      </c>
      <c r="C1493">
        <v>2114010</v>
      </c>
      <c r="D1493" t="s">
        <v>48</v>
      </c>
      <c r="E1493" t="s">
        <v>151</v>
      </c>
      <c r="F1493" s="3">
        <v>0</v>
      </c>
      <c r="G1493" s="3">
        <v>6664.38</v>
      </c>
      <c r="H1493" s="3">
        <v>-6664.38</v>
      </c>
      <c r="I1493" t="s">
        <v>635</v>
      </c>
    </row>
    <row r="1494" spans="1:9" x14ac:dyDescent="0.35">
      <c r="A1494" s="2">
        <v>45427</v>
      </c>
      <c r="B1494">
        <v>83</v>
      </c>
      <c r="C1494">
        <v>6121023</v>
      </c>
      <c r="D1494" t="s">
        <v>49</v>
      </c>
      <c r="E1494" t="s">
        <v>636</v>
      </c>
      <c r="F1494" s="3">
        <v>128.07</v>
      </c>
      <c r="G1494" s="3">
        <v>0</v>
      </c>
      <c r="H1494" s="3">
        <v>128.07</v>
      </c>
      <c r="I1494" t="s">
        <v>637</v>
      </c>
    </row>
    <row r="1495" spans="1:9" x14ac:dyDescent="0.35">
      <c r="A1495" s="2">
        <v>45427</v>
      </c>
      <c r="B1495">
        <v>83</v>
      </c>
      <c r="C1495">
        <v>2114010</v>
      </c>
      <c r="D1495" t="s">
        <v>48</v>
      </c>
      <c r="E1495" t="s">
        <v>636</v>
      </c>
      <c r="F1495" s="3">
        <v>0</v>
      </c>
      <c r="G1495" s="3">
        <v>128.07</v>
      </c>
      <c r="H1495" s="3">
        <v>-128.07</v>
      </c>
      <c r="I1495" t="s">
        <v>637</v>
      </c>
    </row>
    <row r="1496" spans="1:9" x14ac:dyDescent="0.35">
      <c r="A1496" s="2">
        <v>45427</v>
      </c>
      <c r="B1496">
        <v>83</v>
      </c>
      <c r="C1496">
        <v>6121023</v>
      </c>
      <c r="D1496" t="s">
        <v>49</v>
      </c>
      <c r="E1496" t="s">
        <v>638</v>
      </c>
      <c r="F1496" s="3">
        <v>250.42</v>
      </c>
      <c r="G1496" s="3">
        <v>0</v>
      </c>
      <c r="H1496" s="3">
        <v>250.42</v>
      </c>
      <c r="I1496" t="s">
        <v>639</v>
      </c>
    </row>
    <row r="1497" spans="1:9" x14ac:dyDescent="0.35">
      <c r="A1497" s="2">
        <v>45427</v>
      </c>
      <c r="B1497">
        <v>83</v>
      </c>
      <c r="C1497">
        <v>2114010</v>
      </c>
      <c r="D1497" t="s">
        <v>48</v>
      </c>
      <c r="E1497" t="s">
        <v>638</v>
      </c>
      <c r="F1497" s="3">
        <v>0</v>
      </c>
      <c r="G1497" s="3">
        <v>250.42</v>
      </c>
      <c r="H1497" s="3">
        <v>-250.42</v>
      </c>
      <c r="I1497" t="s">
        <v>639</v>
      </c>
    </row>
    <row r="1498" spans="1:9" x14ac:dyDescent="0.35">
      <c r="A1498" s="2">
        <v>45427</v>
      </c>
      <c r="B1498">
        <v>83</v>
      </c>
      <c r="C1498">
        <v>6121023</v>
      </c>
      <c r="D1498" t="s">
        <v>49</v>
      </c>
      <c r="E1498" t="s">
        <v>640</v>
      </c>
      <c r="F1498" s="3">
        <v>823.74</v>
      </c>
      <c r="G1498" s="3">
        <v>0</v>
      </c>
      <c r="H1498" s="3">
        <v>823.74</v>
      </c>
      <c r="I1498" t="s">
        <v>641</v>
      </c>
    </row>
    <row r="1499" spans="1:9" x14ac:dyDescent="0.35">
      <c r="A1499" s="2">
        <v>45427</v>
      </c>
      <c r="B1499">
        <v>83</v>
      </c>
      <c r="C1499">
        <v>6121046</v>
      </c>
      <c r="D1499" t="s">
        <v>94</v>
      </c>
      <c r="E1499" t="s">
        <v>640</v>
      </c>
      <c r="F1499" s="3">
        <v>21.97</v>
      </c>
      <c r="G1499" s="3">
        <v>0</v>
      </c>
      <c r="H1499" s="3">
        <v>21.97</v>
      </c>
      <c r="I1499" t="s">
        <v>641</v>
      </c>
    </row>
    <row r="1500" spans="1:9" x14ac:dyDescent="0.35">
      <c r="A1500" s="2">
        <v>45427</v>
      </c>
      <c r="B1500">
        <v>83</v>
      </c>
      <c r="C1500">
        <v>2114010</v>
      </c>
      <c r="D1500" t="s">
        <v>48</v>
      </c>
      <c r="E1500" t="s">
        <v>640</v>
      </c>
      <c r="F1500" s="3">
        <v>0</v>
      </c>
      <c r="G1500" s="3">
        <v>21.97</v>
      </c>
      <c r="H1500" s="3">
        <v>-21.97</v>
      </c>
      <c r="I1500" t="s">
        <v>641</v>
      </c>
    </row>
    <row r="1501" spans="1:9" x14ac:dyDescent="0.35">
      <c r="A1501" s="2">
        <v>45427</v>
      </c>
      <c r="B1501">
        <v>83</v>
      </c>
      <c r="C1501">
        <v>2114010</v>
      </c>
      <c r="D1501" t="s">
        <v>48</v>
      </c>
      <c r="E1501" t="s">
        <v>640</v>
      </c>
      <c r="F1501" s="3">
        <v>0</v>
      </c>
      <c r="G1501" s="3">
        <v>823.74</v>
      </c>
      <c r="H1501" s="3">
        <v>-823.74</v>
      </c>
      <c r="I1501" t="s">
        <v>641</v>
      </c>
    </row>
    <row r="1502" spans="1:9" x14ac:dyDescent="0.35">
      <c r="A1502" s="2">
        <v>45427</v>
      </c>
      <c r="B1502">
        <v>83</v>
      </c>
      <c r="C1502">
        <v>6121023</v>
      </c>
      <c r="D1502" t="s">
        <v>49</v>
      </c>
      <c r="E1502" t="s">
        <v>159</v>
      </c>
      <c r="F1502" s="3">
        <v>612.74</v>
      </c>
      <c r="G1502" s="3">
        <v>0</v>
      </c>
      <c r="H1502" s="3">
        <v>612.74</v>
      </c>
      <c r="I1502" t="s">
        <v>642</v>
      </c>
    </row>
    <row r="1503" spans="1:9" x14ac:dyDescent="0.35">
      <c r="A1503" s="2">
        <v>45427</v>
      </c>
      <c r="B1503">
        <v>83</v>
      </c>
      <c r="C1503">
        <v>2114010</v>
      </c>
      <c r="D1503" t="s">
        <v>48</v>
      </c>
      <c r="E1503" t="s">
        <v>159</v>
      </c>
      <c r="F1503" s="3">
        <v>0</v>
      </c>
      <c r="G1503" s="3">
        <v>612.74</v>
      </c>
      <c r="H1503" s="3">
        <v>-612.74</v>
      </c>
      <c r="I1503" t="s">
        <v>642</v>
      </c>
    </row>
    <row r="1504" spans="1:9" x14ac:dyDescent="0.35">
      <c r="A1504" s="2">
        <v>45427</v>
      </c>
      <c r="B1504">
        <v>83</v>
      </c>
      <c r="C1504">
        <v>6121023</v>
      </c>
      <c r="D1504" t="s">
        <v>49</v>
      </c>
      <c r="E1504" t="s">
        <v>643</v>
      </c>
      <c r="F1504" s="3">
        <v>219.54</v>
      </c>
      <c r="G1504" s="3">
        <v>0</v>
      </c>
      <c r="H1504" s="3">
        <v>219.54</v>
      </c>
      <c r="I1504" t="s">
        <v>644</v>
      </c>
    </row>
    <row r="1505" spans="1:9" x14ac:dyDescent="0.35">
      <c r="A1505" s="2">
        <v>45427</v>
      </c>
      <c r="B1505">
        <v>83</v>
      </c>
      <c r="C1505">
        <v>6121046</v>
      </c>
      <c r="D1505" t="s">
        <v>94</v>
      </c>
      <c r="E1505" t="s">
        <v>643</v>
      </c>
      <c r="F1505" s="3">
        <v>5.49</v>
      </c>
      <c r="G1505" s="3">
        <v>0</v>
      </c>
      <c r="H1505" s="3">
        <v>5.49</v>
      </c>
      <c r="I1505" t="s">
        <v>644</v>
      </c>
    </row>
    <row r="1506" spans="1:9" x14ac:dyDescent="0.35">
      <c r="A1506" s="2">
        <v>45427</v>
      </c>
      <c r="B1506">
        <v>83</v>
      </c>
      <c r="C1506">
        <v>2114010</v>
      </c>
      <c r="D1506" t="s">
        <v>48</v>
      </c>
      <c r="E1506" t="s">
        <v>643</v>
      </c>
      <c r="F1506" s="3">
        <v>0</v>
      </c>
      <c r="G1506" s="3">
        <v>5.49</v>
      </c>
      <c r="H1506" s="3">
        <v>-5.49</v>
      </c>
      <c r="I1506" t="s">
        <v>644</v>
      </c>
    </row>
    <row r="1507" spans="1:9" x14ac:dyDescent="0.35">
      <c r="A1507" s="2">
        <v>45427</v>
      </c>
      <c r="B1507">
        <v>83</v>
      </c>
      <c r="C1507">
        <v>2114010</v>
      </c>
      <c r="D1507" t="s">
        <v>48</v>
      </c>
      <c r="E1507" t="s">
        <v>643</v>
      </c>
      <c r="F1507" s="3">
        <v>0</v>
      </c>
      <c r="G1507" s="3">
        <v>219.54</v>
      </c>
      <c r="H1507" s="3">
        <v>-219.54</v>
      </c>
      <c r="I1507" t="s">
        <v>644</v>
      </c>
    </row>
    <row r="1508" spans="1:9" x14ac:dyDescent="0.35">
      <c r="A1508" s="2">
        <v>45427</v>
      </c>
      <c r="B1508">
        <v>83</v>
      </c>
      <c r="C1508">
        <v>6121023</v>
      </c>
      <c r="D1508" t="s">
        <v>49</v>
      </c>
      <c r="E1508" t="s">
        <v>159</v>
      </c>
      <c r="F1508" s="3">
        <v>402.38</v>
      </c>
      <c r="G1508" s="3">
        <v>0</v>
      </c>
      <c r="H1508" s="3">
        <v>402.38</v>
      </c>
      <c r="I1508" t="s">
        <v>645</v>
      </c>
    </row>
    <row r="1509" spans="1:9" x14ac:dyDescent="0.35">
      <c r="A1509" s="2">
        <v>45427</v>
      </c>
      <c r="B1509">
        <v>83</v>
      </c>
      <c r="C1509">
        <v>6121046</v>
      </c>
      <c r="D1509" t="s">
        <v>94</v>
      </c>
      <c r="E1509" t="s">
        <v>159</v>
      </c>
      <c r="F1509" s="3">
        <v>10.97</v>
      </c>
      <c r="G1509" s="3">
        <v>0</v>
      </c>
      <c r="H1509" s="3">
        <v>10.97</v>
      </c>
      <c r="I1509" t="s">
        <v>645</v>
      </c>
    </row>
    <row r="1510" spans="1:9" x14ac:dyDescent="0.35">
      <c r="A1510" s="2">
        <v>45427</v>
      </c>
      <c r="B1510">
        <v>83</v>
      </c>
      <c r="C1510">
        <v>2114010</v>
      </c>
      <c r="D1510" t="s">
        <v>48</v>
      </c>
      <c r="E1510" t="s">
        <v>159</v>
      </c>
      <c r="F1510" s="3">
        <v>0</v>
      </c>
      <c r="G1510" s="3">
        <v>10.97</v>
      </c>
      <c r="H1510" s="3">
        <v>-10.97</v>
      </c>
      <c r="I1510" t="s">
        <v>645</v>
      </c>
    </row>
    <row r="1511" spans="1:9" x14ac:dyDescent="0.35">
      <c r="A1511" s="2">
        <v>45427</v>
      </c>
      <c r="B1511">
        <v>83</v>
      </c>
      <c r="C1511">
        <v>2114010</v>
      </c>
      <c r="D1511" t="s">
        <v>48</v>
      </c>
      <c r="E1511" t="s">
        <v>159</v>
      </c>
      <c r="F1511" s="3">
        <v>0</v>
      </c>
      <c r="G1511" s="3">
        <v>402.38</v>
      </c>
      <c r="H1511" s="3">
        <v>-402.38</v>
      </c>
      <c r="I1511" t="s">
        <v>645</v>
      </c>
    </row>
    <row r="1512" spans="1:9" x14ac:dyDescent="0.35">
      <c r="A1512" s="2">
        <v>45427</v>
      </c>
      <c r="B1512">
        <v>83</v>
      </c>
      <c r="C1512">
        <v>6121029</v>
      </c>
      <c r="D1512" t="s">
        <v>217</v>
      </c>
      <c r="E1512" t="s">
        <v>646</v>
      </c>
      <c r="F1512" s="3">
        <v>148</v>
      </c>
      <c r="G1512" s="3">
        <v>0</v>
      </c>
      <c r="H1512" s="3">
        <v>148</v>
      </c>
      <c r="I1512" t="s">
        <v>647</v>
      </c>
    </row>
    <row r="1513" spans="1:9" x14ac:dyDescent="0.35">
      <c r="A1513" s="2">
        <v>45427</v>
      </c>
      <c r="B1513">
        <v>83</v>
      </c>
      <c r="C1513">
        <v>2114010</v>
      </c>
      <c r="D1513" t="s">
        <v>48</v>
      </c>
      <c r="E1513" t="s">
        <v>646</v>
      </c>
      <c r="F1513" s="3">
        <v>0</v>
      </c>
      <c r="G1513" s="3">
        <v>148</v>
      </c>
      <c r="H1513" s="3">
        <v>-148</v>
      </c>
      <c r="I1513" t="s">
        <v>647</v>
      </c>
    </row>
    <row r="1514" spans="1:9" x14ac:dyDescent="0.35">
      <c r="A1514" s="2">
        <v>45427</v>
      </c>
      <c r="B1514">
        <v>83</v>
      </c>
      <c r="C1514">
        <v>6121023</v>
      </c>
      <c r="D1514" t="s">
        <v>49</v>
      </c>
      <c r="E1514" t="s">
        <v>52</v>
      </c>
      <c r="F1514" s="3">
        <v>724.1</v>
      </c>
      <c r="G1514" s="3">
        <v>0</v>
      </c>
      <c r="H1514" s="3">
        <v>724.1</v>
      </c>
      <c r="I1514" t="s">
        <v>648</v>
      </c>
    </row>
    <row r="1515" spans="1:9" x14ac:dyDescent="0.35">
      <c r="A1515" s="2">
        <v>45427</v>
      </c>
      <c r="B1515">
        <v>83</v>
      </c>
      <c r="C1515">
        <v>2114010</v>
      </c>
      <c r="D1515" t="s">
        <v>48</v>
      </c>
      <c r="E1515" t="s">
        <v>52</v>
      </c>
      <c r="F1515" s="3">
        <v>0</v>
      </c>
      <c r="G1515" s="3">
        <v>724.1</v>
      </c>
      <c r="H1515" s="3">
        <v>-724.1</v>
      </c>
      <c r="I1515" t="s">
        <v>648</v>
      </c>
    </row>
    <row r="1516" spans="1:9" x14ac:dyDescent="0.35">
      <c r="A1516" s="2">
        <v>45427</v>
      </c>
      <c r="B1516">
        <v>83</v>
      </c>
      <c r="C1516">
        <v>6121016</v>
      </c>
      <c r="D1516" t="s">
        <v>156</v>
      </c>
      <c r="E1516" t="s">
        <v>157</v>
      </c>
      <c r="F1516" s="3">
        <v>219.47</v>
      </c>
      <c r="G1516" s="3">
        <v>0</v>
      </c>
      <c r="H1516" s="3">
        <v>219.47</v>
      </c>
      <c r="I1516" t="s">
        <v>649</v>
      </c>
    </row>
    <row r="1517" spans="1:9" x14ac:dyDescent="0.35">
      <c r="A1517" s="2">
        <v>45427</v>
      </c>
      <c r="B1517">
        <v>83</v>
      </c>
      <c r="C1517">
        <v>2114010</v>
      </c>
      <c r="D1517" t="s">
        <v>48</v>
      </c>
      <c r="E1517" t="s">
        <v>157</v>
      </c>
      <c r="F1517" s="3">
        <v>0</v>
      </c>
      <c r="G1517" s="3">
        <v>219.47</v>
      </c>
      <c r="H1517" s="3">
        <v>-219.47</v>
      </c>
      <c r="I1517" t="s">
        <v>649</v>
      </c>
    </row>
    <row r="1518" spans="1:9" x14ac:dyDescent="0.35">
      <c r="A1518" s="2">
        <v>45427</v>
      </c>
      <c r="B1518">
        <v>83</v>
      </c>
      <c r="C1518">
        <v>6121023</v>
      </c>
      <c r="D1518" t="s">
        <v>49</v>
      </c>
      <c r="E1518" t="s">
        <v>166</v>
      </c>
      <c r="F1518" s="3">
        <v>214.03</v>
      </c>
      <c r="G1518" s="3">
        <v>0</v>
      </c>
      <c r="H1518" s="3">
        <v>214.03</v>
      </c>
      <c r="I1518" t="s">
        <v>650</v>
      </c>
    </row>
    <row r="1519" spans="1:9" x14ac:dyDescent="0.35">
      <c r="A1519" s="2">
        <v>45427</v>
      </c>
      <c r="B1519">
        <v>83</v>
      </c>
      <c r="C1519">
        <v>2114010</v>
      </c>
      <c r="D1519" t="s">
        <v>48</v>
      </c>
      <c r="E1519" t="s">
        <v>166</v>
      </c>
      <c r="F1519" s="3">
        <v>0</v>
      </c>
      <c r="G1519" s="3">
        <v>214.03</v>
      </c>
      <c r="H1519" s="3">
        <v>-214.03</v>
      </c>
      <c r="I1519" t="s">
        <v>650</v>
      </c>
    </row>
    <row r="1520" spans="1:9" x14ac:dyDescent="0.35">
      <c r="A1520" s="2">
        <v>45427</v>
      </c>
      <c r="B1520">
        <v>83</v>
      </c>
      <c r="C1520">
        <v>6121023</v>
      </c>
      <c r="D1520" t="s">
        <v>49</v>
      </c>
      <c r="E1520" t="s">
        <v>643</v>
      </c>
      <c r="F1520" s="3">
        <v>256.06</v>
      </c>
      <c r="G1520" s="3">
        <v>0</v>
      </c>
      <c r="H1520" s="3">
        <v>256.06</v>
      </c>
      <c r="I1520" t="s">
        <v>651</v>
      </c>
    </row>
    <row r="1521" spans="1:9" x14ac:dyDescent="0.35">
      <c r="A1521" s="2">
        <v>45427</v>
      </c>
      <c r="B1521">
        <v>83</v>
      </c>
      <c r="C1521">
        <v>6121046</v>
      </c>
      <c r="D1521" t="s">
        <v>94</v>
      </c>
      <c r="E1521" t="s">
        <v>643</v>
      </c>
      <c r="F1521" s="3">
        <v>7.68</v>
      </c>
      <c r="G1521" s="3">
        <v>0</v>
      </c>
      <c r="H1521" s="3">
        <v>7.68</v>
      </c>
      <c r="I1521" t="s">
        <v>651</v>
      </c>
    </row>
    <row r="1522" spans="1:9" x14ac:dyDescent="0.35">
      <c r="A1522" s="2">
        <v>45427</v>
      </c>
      <c r="B1522">
        <v>83</v>
      </c>
      <c r="C1522">
        <v>2114010</v>
      </c>
      <c r="D1522" t="s">
        <v>48</v>
      </c>
      <c r="E1522" t="s">
        <v>643</v>
      </c>
      <c r="F1522" s="3">
        <v>0</v>
      </c>
      <c r="G1522" s="3">
        <v>7.68</v>
      </c>
      <c r="H1522" s="3">
        <v>-7.68</v>
      </c>
      <c r="I1522" t="s">
        <v>651</v>
      </c>
    </row>
    <row r="1523" spans="1:9" x14ac:dyDescent="0.35">
      <c r="A1523" s="2">
        <v>45427</v>
      </c>
      <c r="B1523">
        <v>83</v>
      </c>
      <c r="C1523">
        <v>2114010</v>
      </c>
      <c r="D1523" t="s">
        <v>48</v>
      </c>
      <c r="E1523" t="s">
        <v>643</v>
      </c>
      <c r="F1523" s="3">
        <v>0</v>
      </c>
      <c r="G1523" s="3">
        <v>256.06</v>
      </c>
      <c r="H1523" s="3">
        <v>-256.06</v>
      </c>
      <c r="I1523" t="s">
        <v>651</v>
      </c>
    </row>
    <row r="1524" spans="1:9" x14ac:dyDescent="0.35">
      <c r="A1524" s="2">
        <v>45427</v>
      </c>
      <c r="B1524">
        <v>83</v>
      </c>
      <c r="C1524">
        <v>6121023</v>
      </c>
      <c r="D1524" t="s">
        <v>49</v>
      </c>
      <c r="E1524" t="s">
        <v>172</v>
      </c>
      <c r="F1524" s="3">
        <v>81.05</v>
      </c>
      <c r="G1524" s="3">
        <v>0</v>
      </c>
      <c r="H1524" s="3">
        <v>81.05</v>
      </c>
      <c r="I1524" t="s">
        <v>652</v>
      </c>
    </row>
    <row r="1525" spans="1:9" x14ac:dyDescent="0.35">
      <c r="A1525" s="2">
        <v>45427</v>
      </c>
      <c r="B1525">
        <v>83</v>
      </c>
      <c r="C1525">
        <v>2114010</v>
      </c>
      <c r="D1525" t="s">
        <v>48</v>
      </c>
      <c r="E1525" t="s">
        <v>172</v>
      </c>
      <c r="F1525" s="3">
        <v>0</v>
      </c>
      <c r="G1525" s="3">
        <v>81.05</v>
      </c>
      <c r="H1525" s="3">
        <v>-81.05</v>
      </c>
      <c r="I1525" t="s">
        <v>652</v>
      </c>
    </row>
    <row r="1526" spans="1:9" x14ac:dyDescent="0.35">
      <c r="A1526" s="2">
        <v>45427</v>
      </c>
      <c r="B1526">
        <v>83</v>
      </c>
      <c r="C1526">
        <v>6121023</v>
      </c>
      <c r="D1526" t="s">
        <v>49</v>
      </c>
      <c r="E1526" t="s">
        <v>52</v>
      </c>
      <c r="F1526" s="3">
        <v>118.85</v>
      </c>
      <c r="G1526" s="3">
        <v>0</v>
      </c>
      <c r="H1526" s="3">
        <v>118.85</v>
      </c>
      <c r="I1526" t="s">
        <v>653</v>
      </c>
    </row>
    <row r="1527" spans="1:9" x14ac:dyDescent="0.35">
      <c r="A1527" s="2">
        <v>45427</v>
      </c>
      <c r="B1527">
        <v>83</v>
      </c>
      <c r="C1527">
        <v>6121046</v>
      </c>
      <c r="D1527" t="s">
        <v>94</v>
      </c>
      <c r="E1527" t="s">
        <v>52</v>
      </c>
      <c r="F1527" s="3">
        <v>3.57</v>
      </c>
      <c r="G1527" s="3">
        <v>0</v>
      </c>
      <c r="H1527" s="3">
        <v>3.57</v>
      </c>
      <c r="I1527" t="s">
        <v>653</v>
      </c>
    </row>
    <row r="1528" spans="1:9" x14ac:dyDescent="0.35">
      <c r="A1528" s="2">
        <v>45427</v>
      </c>
      <c r="B1528">
        <v>83</v>
      </c>
      <c r="C1528">
        <v>2114010</v>
      </c>
      <c r="D1528" t="s">
        <v>48</v>
      </c>
      <c r="E1528" t="s">
        <v>52</v>
      </c>
      <c r="F1528" s="3">
        <v>0</v>
      </c>
      <c r="G1528" s="3">
        <v>3.57</v>
      </c>
      <c r="H1528" s="3">
        <v>-3.57</v>
      </c>
      <c r="I1528" t="s">
        <v>653</v>
      </c>
    </row>
    <row r="1529" spans="1:9" x14ac:dyDescent="0.35">
      <c r="A1529" s="2">
        <v>45427</v>
      </c>
      <c r="B1529">
        <v>83</v>
      </c>
      <c r="C1529">
        <v>2114010</v>
      </c>
      <c r="D1529" t="s">
        <v>48</v>
      </c>
      <c r="E1529" t="s">
        <v>52</v>
      </c>
      <c r="F1529" s="3">
        <v>0</v>
      </c>
      <c r="G1529" s="3">
        <v>118.85</v>
      </c>
      <c r="H1529" s="3">
        <v>-118.85</v>
      </c>
      <c r="I1529" t="s">
        <v>653</v>
      </c>
    </row>
    <row r="1530" spans="1:9" x14ac:dyDescent="0.35">
      <c r="A1530" s="2">
        <v>45427</v>
      </c>
      <c r="B1530">
        <v>83</v>
      </c>
      <c r="C1530">
        <v>6121023</v>
      </c>
      <c r="D1530" t="s">
        <v>49</v>
      </c>
      <c r="E1530" t="s">
        <v>640</v>
      </c>
      <c r="F1530" s="3">
        <v>292.64999999999998</v>
      </c>
      <c r="G1530" s="3">
        <v>0</v>
      </c>
      <c r="H1530" s="3">
        <v>292.64999999999998</v>
      </c>
      <c r="I1530" t="s">
        <v>654</v>
      </c>
    </row>
    <row r="1531" spans="1:9" x14ac:dyDescent="0.35">
      <c r="A1531" s="2">
        <v>45427</v>
      </c>
      <c r="B1531">
        <v>83</v>
      </c>
      <c r="C1531">
        <v>6121046</v>
      </c>
      <c r="D1531" t="s">
        <v>94</v>
      </c>
      <c r="E1531" t="s">
        <v>640</v>
      </c>
      <c r="F1531" s="3">
        <v>6.58</v>
      </c>
      <c r="G1531" s="3">
        <v>0</v>
      </c>
      <c r="H1531" s="3">
        <v>6.58</v>
      </c>
      <c r="I1531" t="s">
        <v>654</v>
      </c>
    </row>
    <row r="1532" spans="1:9" x14ac:dyDescent="0.35">
      <c r="A1532" s="2">
        <v>45427</v>
      </c>
      <c r="B1532">
        <v>83</v>
      </c>
      <c r="C1532">
        <v>2114010</v>
      </c>
      <c r="D1532" t="s">
        <v>48</v>
      </c>
      <c r="E1532" t="s">
        <v>640</v>
      </c>
      <c r="F1532" s="3">
        <v>0</v>
      </c>
      <c r="G1532" s="3">
        <v>6.58</v>
      </c>
      <c r="H1532" s="3">
        <v>-6.58</v>
      </c>
      <c r="I1532" t="s">
        <v>654</v>
      </c>
    </row>
    <row r="1533" spans="1:9" x14ac:dyDescent="0.35">
      <c r="A1533" s="2">
        <v>45427</v>
      </c>
      <c r="B1533">
        <v>83</v>
      </c>
      <c r="C1533">
        <v>2114010</v>
      </c>
      <c r="D1533" t="s">
        <v>48</v>
      </c>
      <c r="E1533" t="s">
        <v>640</v>
      </c>
      <c r="F1533" s="3">
        <v>0</v>
      </c>
      <c r="G1533" s="3">
        <v>292.64999999999998</v>
      </c>
      <c r="H1533" s="3">
        <v>-292.64999999999998</v>
      </c>
      <c r="I1533" t="s">
        <v>654</v>
      </c>
    </row>
    <row r="1534" spans="1:9" x14ac:dyDescent="0.35">
      <c r="A1534" s="2">
        <v>45427</v>
      </c>
      <c r="B1534">
        <v>83</v>
      </c>
      <c r="C1534">
        <v>5132009</v>
      </c>
      <c r="D1534" t="s">
        <v>655</v>
      </c>
      <c r="E1534" t="s">
        <v>656</v>
      </c>
      <c r="F1534" s="3">
        <v>586.73</v>
      </c>
      <c r="G1534" s="3">
        <v>0</v>
      </c>
      <c r="H1534" s="3">
        <v>586.73</v>
      </c>
      <c r="I1534" t="s">
        <v>657</v>
      </c>
    </row>
    <row r="1535" spans="1:9" x14ac:dyDescent="0.35">
      <c r="A1535" s="2">
        <v>45427</v>
      </c>
      <c r="B1535">
        <v>83</v>
      </c>
      <c r="C1535">
        <v>2114010</v>
      </c>
      <c r="D1535" t="s">
        <v>48</v>
      </c>
      <c r="E1535" t="s">
        <v>656</v>
      </c>
      <c r="F1535" s="3">
        <v>0</v>
      </c>
      <c r="G1535" s="3">
        <v>586.73</v>
      </c>
      <c r="H1535" s="3">
        <v>-586.73</v>
      </c>
      <c r="I1535" t="s">
        <v>657</v>
      </c>
    </row>
    <row r="1536" spans="1:9" x14ac:dyDescent="0.35">
      <c r="A1536" s="2">
        <v>45427</v>
      </c>
      <c r="B1536">
        <v>83</v>
      </c>
      <c r="C1536">
        <v>6121023</v>
      </c>
      <c r="D1536" t="s">
        <v>49</v>
      </c>
      <c r="E1536" t="s">
        <v>52</v>
      </c>
      <c r="F1536" s="3">
        <v>636.12</v>
      </c>
      <c r="G1536" s="3">
        <v>0</v>
      </c>
      <c r="H1536" s="3">
        <v>636.12</v>
      </c>
      <c r="I1536" t="s">
        <v>658</v>
      </c>
    </row>
    <row r="1537" spans="1:9" x14ac:dyDescent="0.35">
      <c r="A1537" s="2">
        <v>45427</v>
      </c>
      <c r="B1537">
        <v>83</v>
      </c>
      <c r="C1537">
        <v>2114010</v>
      </c>
      <c r="D1537" t="s">
        <v>48</v>
      </c>
      <c r="E1537" t="s">
        <v>52</v>
      </c>
      <c r="F1537" s="3">
        <v>0</v>
      </c>
      <c r="G1537" s="3">
        <v>636.12</v>
      </c>
      <c r="H1537" s="3">
        <v>-636.12</v>
      </c>
      <c r="I1537" t="s">
        <v>658</v>
      </c>
    </row>
    <row r="1538" spans="1:9" x14ac:dyDescent="0.35">
      <c r="A1538" s="2">
        <v>45427</v>
      </c>
      <c r="B1538">
        <v>83</v>
      </c>
      <c r="C1538">
        <v>6121023</v>
      </c>
      <c r="D1538" t="s">
        <v>49</v>
      </c>
      <c r="E1538" t="s">
        <v>52</v>
      </c>
      <c r="F1538" s="3">
        <v>452.77</v>
      </c>
      <c r="G1538" s="3">
        <v>0</v>
      </c>
      <c r="H1538" s="3">
        <v>452.77</v>
      </c>
      <c r="I1538" t="s">
        <v>659</v>
      </c>
    </row>
    <row r="1539" spans="1:9" x14ac:dyDescent="0.35">
      <c r="A1539" s="2">
        <v>45427</v>
      </c>
      <c r="B1539">
        <v>83</v>
      </c>
      <c r="C1539">
        <v>2114010</v>
      </c>
      <c r="D1539" t="s">
        <v>48</v>
      </c>
      <c r="E1539" t="s">
        <v>52</v>
      </c>
      <c r="F1539" s="3">
        <v>0</v>
      </c>
      <c r="G1539" s="3">
        <v>452.77</v>
      </c>
      <c r="H1539" s="3">
        <v>-452.77</v>
      </c>
      <c r="I1539" t="s">
        <v>659</v>
      </c>
    </row>
    <row r="1540" spans="1:9" x14ac:dyDescent="0.35">
      <c r="A1540" s="2">
        <v>45427</v>
      </c>
      <c r="B1540">
        <v>83</v>
      </c>
      <c r="C1540">
        <v>6121023</v>
      </c>
      <c r="D1540" t="s">
        <v>49</v>
      </c>
      <c r="E1540" t="s">
        <v>660</v>
      </c>
      <c r="F1540" s="3">
        <v>292.08</v>
      </c>
      <c r="G1540" s="3">
        <v>0</v>
      </c>
      <c r="H1540" s="3">
        <v>292.08</v>
      </c>
      <c r="I1540" t="s">
        <v>661</v>
      </c>
    </row>
    <row r="1541" spans="1:9" x14ac:dyDescent="0.35">
      <c r="A1541" s="2">
        <v>45427</v>
      </c>
      <c r="B1541">
        <v>83</v>
      </c>
      <c r="C1541">
        <v>2114010</v>
      </c>
      <c r="D1541" t="s">
        <v>48</v>
      </c>
      <c r="E1541" t="s">
        <v>660</v>
      </c>
      <c r="F1541" s="3">
        <v>0</v>
      </c>
      <c r="G1541" s="3">
        <v>292.08</v>
      </c>
      <c r="H1541" s="3">
        <v>-292.08</v>
      </c>
      <c r="I1541" t="s">
        <v>661</v>
      </c>
    </row>
    <row r="1542" spans="1:9" x14ac:dyDescent="0.35">
      <c r="A1542" s="2">
        <v>45427</v>
      </c>
      <c r="B1542">
        <v>83</v>
      </c>
      <c r="C1542">
        <v>6121023</v>
      </c>
      <c r="D1542" t="s">
        <v>49</v>
      </c>
      <c r="E1542" t="s">
        <v>52</v>
      </c>
      <c r="F1542" s="3">
        <v>209.22</v>
      </c>
      <c r="G1542" s="3">
        <v>0</v>
      </c>
      <c r="H1542" s="3">
        <v>209.22</v>
      </c>
      <c r="I1542" t="s">
        <v>662</v>
      </c>
    </row>
    <row r="1543" spans="1:9" x14ac:dyDescent="0.35">
      <c r="A1543" s="2">
        <v>45427</v>
      </c>
      <c r="B1543">
        <v>83</v>
      </c>
      <c r="C1543">
        <v>6121046</v>
      </c>
      <c r="D1543" t="s">
        <v>94</v>
      </c>
      <c r="E1543" t="s">
        <v>52</v>
      </c>
      <c r="F1543" s="3">
        <v>6.28</v>
      </c>
      <c r="G1543" s="3">
        <v>0</v>
      </c>
      <c r="H1543" s="3">
        <v>6.28</v>
      </c>
      <c r="I1543" t="s">
        <v>662</v>
      </c>
    </row>
    <row r="1544" spans="1:9" x14ac:dyDescent="0.35">
      <c r="A1544" s="2">
        <v>45427</v>
      </c>
      <c r="B1544">
        <v>83</v>
      </c>
      <c r="C1544">
        <v>2114010</v>
      </c>
      <c r="D1544" t="s">
        <v>48</v>
      </c>
      <c r="E1544" t="s">
        <v>52</v>
      </c>
      <c r="F1544" s="3">
        <v>0</v>
      </c>
      <c r="G1544" s="3">
        <v>6.28</v>
      </c>
      <c r="H1544" s="3">
        <v>-6.28</v>
      </c>
      <c r="I1544" t="s">
        <v>662</v>
      </c>
    </row>
    <row r="1545" spans="1:9" x14ac:dyDescent="0.35">
      <c r="A1545" s="2">
        <v>45427</v>
      </c>
      <c r="B1545">
        <v>83</v>
      </c>
      <c r="C1545">
        <v>2114010</v>
      </c>
      <c r="D1545" t="s">
        <v>48</v>
      </c>
      <c r="E1545" t="s">
        <v>52</v>
      </c>
      <c r="F1545" s="3">
        <v>0</v>
      </c>
      <c r="G1545" s="3">
        <v>209.22</v>
      </c>
      <c r="H1545" s="3">
        <v>-209.22</v>
      </c>
      <c r="I1545" t="s">
        <v>662</v>
      </c>
    </row>
    <row r="1546" spans="1:9" x14ac:dyDescent="0.35">
      <c r="A1546" s="2">
        <v>45427</v>
      </c>
      <c r="B1546">
        <v>83</v>
      </c>
      <c r="C1546">
        <v>6121023</v>
      </c>
      <c r="D1546" t="s">
        <v>49</v>
      </c>
      <c r="E1546" t="s">
        <v>52</v>
      </c>
      <c r="F1546" s="3">
        <v>457.32</v>
      </c>
      <c r="G1546" s="3">
        <v>0</v>
      </c>
      <c r="H1546" s="3">
        <v>457.32</v>
      </c>
      <c r="I1546" t="s">
        <v>663</v>
      </c>
    </row>
    <row r="1547" spans="1:9" x14ac:dyDescent="0.35">
      <c r="A1547" s="2">
        <v>45427</v>
      </c>
      <c r="B1547">
        <v>83</v>
      </c>
      <c r="C1547">
        <v>2114010</v>
      </c>
      <c r="D1547" t="s">
        <v>48</v>
      </c>
      <c r="E1547" t="s">
        <v>52</v>
      </c>
      <c r="F1547" s="3">
        <v>0</v>
      </c>
      <c r="G1547" s="3">
        <v>457.32</v>
      </c>
      <c r="H1547" s="3">
        <v>-457.32</v>
      </c>
      <c r="I1547" t="s">
        <v>663</v>
      </c>
    </row>
    <row r="1548" spans="1:9" x14ac:dyDescent="0.35">
      <c r="A1548" s="2">
        <v>45427</v>
      </c>
      <c r="B1548">
        <v>83</v>
      </c>
      <c r="C1548">
        <v>6121023</v>
      </c>
      <c r="D1548" t="s">
        <v>49</v>
      </c>
      <c r="E1548" t="s">
        <v>166</v>
      </c>
      <c r="F1548" s="3">
        <v>737.65</v>
      </c>
      <c r="G1548" s="3">
        <v>0</v>
      </c>
      <c r="H1548" s="3">
        <v>737.65</v>
      </c>
      <c r="I1548" t="s">
        <v>664</v>
      </c>
    </row>
    <row r="1549" spans="1:9" x14ac:dyDescent="0.35">
      <c r="A1549" s="2">
        <v>45427</v>
      </c>
      <c r="B1549">
        <v>83</v>
      </c>
      <c r="C1549">
        <v>2114010</v>
      </c>
      <c r="D1549" t="s">
        <v>48</v>
      </c>
      <c r="E1549" t="s">
        <v>166</v>
      </c>
      <c r="F1549" s="3">
        <v>0</v>
      </c>
      <c r="G1549" s="3">
        <v>737.65</v>
      </c>
      <c r="H1549" s="3">
        <v>-737.65</v>
      </c>
      <c r="I1549" t="s">
        <v>664</v>
      </c>
    </row>
    <row r="1550" spans="1:9" x14ac:dyDescent="0.35">
      <c r="A1550" s="2">
        <v>45427</v>
      </c>
      <c r="B1550">
        <v>83</v>
      </c>
      <c r="C1550">
        <v>6121023</v>
      </c>
      <c r="D1550" t="s">
        <v>49</v>
      </c>
      <c r="E1550" t="s">
        <v>166</v>
      </c>
      <c r="F1550" s="3">
        <v>153.47999999999999</v>
      </c>
      <c r="G1550" s="3">
        <v>0</v>
      </c>
      <c r="H1550" s="3">
        <v>153.47999999999999</v>
      </c>
      <c r="I1550" t="s">
        <v>665</v>
      </c>
    </row>
    <row r="1551" spans="1:9" x14ac:dyDescent="0.35">
      <c r="A1551" s="2">
        <v>45427</v>
      </c>
      <c r="B1551">
        <v>83</v>
      </c>
      <c r="C1551">
        <v>2114010</v>
      </c>
      <c r="D1551" t="s">
        <v>48</v>
      </c>
      <c r="E1551" t="s">
        <v>166</v>
      </c>
      <c r="F1551" s="3">
        <v>0</v>
      </c>
      <c r="G1551" s="3">
        <v>153.47999999999999</v>
      </c>
      <c r="H1551" s="3">
        <v>-153.47999999999999</v>
      </c>
      <c r="I1551" t="s">
        <v>665</v>
      </c>
    </row>
    <row r="1552" spans="1:9" x14ac:dyDescent="0.35">
      <c r="A1552" s="2">
        <v>45427</v>
      </c>
      <c r="B1552">
        <v>83</v>
      </c>
      <c r="C1552">
        <v>6121023</v>
      </c>
      <c r="D1552" t="s">
        <v>49</v>
      </c>
      <c r="E1552" t="s">
        <v>52</v>
      </c>
      <c r="F1552" s="3">
        <v>557.98</v>
      </c>
      <c r="G1552" s="3">
        <v>0</v>
      </c>
      <c r="H1552" s="3">
        <v>557.98</v>
      </c>
      <c r="I1552" t="s">
        <v>666</v>
      </c>
    </row>
    <row r="1553" spans="1:9" x14ac:dyDescent="0.35">
      <c r="A1553" s="2">
        <v>45427</v>
      </c>
      <c r="B1553">
        <v>83</v>
      </c>
      <c r="C1553">
        <v>2114010</v>
      </c>
      <c r="D1553" t="s">
        <v>48</v>
      </c>
      <c r="E1553" t="s">
        <v>52</v>
      </c>
      <c r="F1553" s="3">
        <v>0</v>
      </c>
      <c r="G1553" s="3">
        <v>557.98</v>
      </c>
      <c r="H1553" s="3">
        <v>-557.98</v>
      </c>
      <c r="I1553" t="s">
        <v>666</v>
      </c>
    </row>
    <row r="1554" spans="1:9" x14ac:dyDescent="0.35">
      <c r="A1554" s="2">
        <v>45427</v>
      </c>
      <c r="B1554">
        <v>83</v>
      </c>
      <c r="C1554">
        <v>5132009</v>
      </c>
      <c r="D1554" t="s">
        <v>655</v>
      </c>
      <c r="E1554" t="s">
        <v>656</v>
      </c>
      <c r="F1554" s="3">
        <v>619.89</v>
      </c>
      <c r="G1554" s="3">
        <v>0</v>
      </c>
      <c r="H1554" s="3">
        <v>619.89</v>
      </c>
      <c r="I1554" t="s">
        <v>667</v>
      </c>
    </row>
    <row r="1555" spans="1:9" x14ac:dyDescent="0.35">
      <c r="A1555" s="2">
        <v>45427</v>
      </c>
      <c r="B1555">
        <v>83</v>
      </c>
      <c r="C1555">
        <v>2114010</v>
      </c>
      <c r="D1555" t="s">
        <v>48</v>
      </c>
      <c r="E1555" t="s">
        <v>656</v>
      </c>
      <c r="F1555" s="3">
        <v>0</v>
      </c>
      <c r="G1555" s="3">
        <v>619.89</v>
      </c>
      <c r="H1555" s="3">
        <v>-619.89</v>
      </c>
      <c r="I1555" t="s">
        <v>667</v>
      </c>
    </row>
    <row r="1556" spans="1:9" x14ac:dyDescent="0.35">
      <c r="A1556" s="2">
        <v>45427</v>
      </c>
      <c r="B1556">
        <v>83</v>
      </c>
      <c r="C1556">
        <v>6121023</v>
      </c>
      <c r="D1556" t="s">
        <v>49</v>
      </c>
      <c r="E1556" t="s">
        <v>660</v>
      </c>
      <c r="F1556" s="3">
        <v>874.26</v>
      </c>
      <c r="G1556" s="3">
        <v>0</v>
      </c>
      <c r="H1556" s="3">
        <v>874.26</v>
      </c>
      <c r="I1556" t="s">
        <v>668</v>
      </c>
    </row>
    <row r="1557" spans="1:9" x14ac:dyDescent="0.35">
      <c r="A1557" s="2">
        <v>45427</v>
      </c>
      <c r="B1557">
        <v>83</v>
      </c>
      <c r="C1557">
        <v>2114010</v>
      </c>
      <c r="D1557" t="s">
        <v>48</v>
      </c>
      <c r="E1557" t="s">
        <v>660</v>
      </c>
      <c r="F1557" s="3">
        <v>0</v>
      </c>
      <c r="G1557" s="3">
        <v>874.26</v>
      </c>
      <c r="H1557" s="3">
        <v>-874.26</v>
      </c>
      <c r="I1557" t="s">
        <v>668</v>
      </c>
    </row>
    <row r="1558" spans="1:9" x14ac:dyDescent="0.35">
      <c r="A1558" s="2">
        <v>45427</v>
      </c>
      <c r="B1558">
        <v>83</v>
      </c>
      <c r="C1558">
        <v>4112003</v>
      </c>
      <c r="D1558" t="s">
        <v>58</v>
      </c>
      <c r="E1558" t="s">
        <v>59</v>
      </c>
      <c r="F1558" s="3">
        <v>0</v>
      </c>
      <c r="G1558" s="3">
        <v>3966.04</v>
      </c>
      <c r="H1558" s="3">
        <v>-3966.04</v>
      </c>
      <c r="I1558" t="s">
        <v>669</v>
      </c>
    </row>
    <row r="1559" spans="1:9" x14ac:dyDescent="0.35">
      <c r="A1559" s="2">
        <v>45427</v>
      </c>
      <c r="B1559">
        <v>83</v>
      </c>
      <c r="C1559">
        <v>2121001</v>
      </c>
      <c r="D1559" t="s">
        <v>27</v>
      </c>
      <c r="E1559" t="s">
        <v>59</v>
      </c>
      <c r="F1559" s="3">
        <v>0</v>
      </c>
      <c r="G1559" s="3">
        <v>634.57000000000005</v>
      </c>
      <c r="H1559" s="3">
        <v>-634.57000000000005</v>
      </c>
      <c r="I1559" t="s">
        <v>669</v>
      </c>
    </row>
    <row r="1560" spans="1:9" x14ac:dyDescent="0.35">
      <c r="A1560" s="2">
        <v>45427</v>
      </c>
      <c r="B1560">
        <v>83</v>
      </c>
      <c r="C1560">
        <v>1111001</v>
      </c>
      <c r="D1560" t="s">
        <v>16</v>
      </c>
      <c r="E1560" t="s">
        <v>59</v>
      </c>
      <c r="F1560" s="3">
        <v>4600.6099999999997</v>
      </c>
      <c r="G1560" s="3">
        <v>0</v>
      </c>
      <c r="H1560" s="3">
        <v>4600.6099999999997</v>
      </c>
      <c r="I1560" t="s">
        <v>669</v>
      </c>
    </row>
    <row r="1561" spans="1:9" x14ac:dyDescent="0.35">
      <c r="A1561" s="2">
        <v>45427</v>
      </c>
      <c r="B1561">
        <v>83</v>
      </c>
      <c r="C1561">
        <v>4112003</v>
      </c>
      <c r="D1561" t="s">
        <v>58</v>
      </c>
      <c r="E1561" t="s">
        <v>59</v>
      </c>
      <c r="F1561" s="3">
        <v>0</v>
      </c>
      <c r="G1561" s="3">
        <v>4742.05</v>
      </c>
      <c r="H1561" s="3">
        <v>-4742.05</v>
      </c>
      <c r="I1561" t="s">
        <v>670</v>
      </c>
    </row>
    <row r="1562" spans="1:9" x14ac:dyDescent="0.35">
      <c r="A1562" s="2">
        <v>45427</v>
      </c>
      <c r="B1562">
        <v>83</v>
      </c>
      <c r="C1562">
        <v>2121001</v>
      </c>
      <c r="D1562" t="s">
        <v>27</v>
      </c>
      <c r="E1562" t="s">
        <v>59</v>
      </c>
      <c r="F1562" s="3">
        <v>0</v>
      </c>
      <c r="G1562" s="3">
        <v>758.73</v>
      </c>
      <c r="H1562" s="3">
        <v>-758.73</v>
      </c>
      <c r="I1562" t="s">
        <v>670</v>
      </c>
    </row>
    <row r="1563" spans="1:9" x14ac:dyDescent="0.35">
      <c r="A1563" s="2">
        <v>45427</v>
      </c>
      <c r="B1563">
        <v>83</v>
      </c>
      <c r="C1563">
        <v>1111001</v>
      </c>
      <c r="D1563" t="s">
        <v>16</v>
      </c>
      <c r="E1563" t="s">
        <v>59</v>
      </c>
      <c r="F1563" s="3">
        <v>5500.78</v>
      </c>
      <c r="G1563" s="3">
        <v>0</v>
      </c>
      <c r="H1563" s="3">
        <v>5500.78</v>
      </c>
      <c r="I1563" t="s">
        <v>670</v>
      </c>
    </row>
    <row r="1564" spans="1:9" x14ac:dyDescent="0.35">
      <c r="A1564" s="2">
        <v>45427</v>
      </c>
      <c r="B1564">
        <v>83</v>
      </c>
      <c r="C1564">
        <v>4112003</v>
      </c>
      <c r="D1564" t="s">
        <v>58</v>
      </c>
      <c r="E1564" t="s">
        <v>59</v>
      </c>
      <c r="F1564" s="3">
        <v>0</v>
      </c>
      <c r="G1564" s="3">
        <v>5086.8900000000003</v>
      </c>
      <c r="H1564" s="3">
        <v>-5086.8900000000003</v>
      </c>
      <c r="I1564" t="s">
        <v>671</v>
      </c>
    </row>
    <row r="1565" spans="1:9" x14ac:dyDescent="0.35">
      <c r="A1565" s="2">
        <v>45427</v>
      </c>
      <c r="B1565">
        <v>83</v>
      </c>
      <c r="C1565">
        <v>2121001</v>
      </c>
      <c r="D1565" t="s">
        <v>27</v>
      </c>
      <c r="E1565" t="s">
        <v>59</v>
      </c>
      <c r="F1565" s="3">
        <v>0</v>
      </c>
      <c r="G1565" s="3">
        <v>813.9</v>
      </c>
      <c r="H1565" s="3">
        <v>-813.9</v>
      </c>
      <c r="I1565" t="s">
        <v>671</v>
      </c>
    </row>
    <row r="1566" spans="1:9" x14ac:dyDescent="0.35">
      <c r="A1566" s="2">
        <v>45427</v>
      </c>
      <c r="B1566">
        <v>83</v>
      </c>
      <c r="C1566">
        <v>1111001</v>
      </c>
      <c r="D1566" t="s">
        <v>16</v>
      </c>
      <c r="E1566" t="s">
        <v>59</v>
      </c>
      <c r="F1566" s="3">
        <v>5900.79</v>
      </c>
      <c r="G1566" s="3">
        <v>0</v>
      </c>
      <c r="H1566" s="3">
        <v>5900.79</v>
      </c>
      <c r="I1566" t="s">
        <v>671</v>
      </c>
    </row>
    <row r="1567" spans="1:9" x14ac:dyDescent="0.35">
      <c r="A1567" s="2">
        <v>45427</v>
      </c>
      <c r="B1567">
        <v>83</v>
      </c>
      <c r="C1567">
        <v>4112003</v>
      </c>
      <c r="D1567" t="s">
        <v>58</v>
      </c>
      <c r="E1567" t="s">
        <v>59</v>
      </c>
      <c r="F1567" s="3">
        <v>0</v>
      </c>
      <c r="G1567" s="3">
        <v>4396.8599999999997</v>
      </c>
      <c r="H1567" s="3">
        <v>-4396.8599999999997</v>
      </c>
      <c r="I1567" t="s">
        <v>672</v>
      </c>
    </row>
    <row r="1568" spans="1:9" x14ac:dyDescent="0.35">
      <c r="A1568" s="2">
        <v>45427</v>
      </c>
      <c r="B1568">
        <v>83</v>
      </c>
      <c r="C1568">
        <v>2121001</v>
      </c>
      <c r="D1568" t="s">
        <v>27</v>
      </c>
      <c r="E1568" t="s">
        <v>59</v>
      </c>
      <c r="F1568" s="3">
        <v>0</v>
      </c>
      <c r="G1568" s="3">
        <v>703.5</v>
      </c>
      <c r="H1568" s="3">
        <v>-703.5</v>
      </c>
      <c r="I1568" t="s">
        <v>672</v>
      </c>
    </row>
    <row r="1569" spans="1:9" x14ac:dyDescent="0.35">
      <c r="A1569" s="2">
        <v>45427</v>
      </c>
      <c r="B1569">
        <v>83</v>
      </c>
      <c r="C1569">
        <v>1111001</v>
      </c>
      <c r="D1569" t="s">
        <v>16</v>
      </c>
      <c r="E1569" t="s">
        <v>59</v>
      </c>
      <c r="F1569" s="3">
        <v>5100.3599999999997</v>
      </c>
      <c r="G1569" s="3">
        <v>0</v>
      </c>
      <c r="H1569" s="3">
        <v>5100.3599999999997</v>
      </c>
      <c r="I1569" t="s">
        <v>672</v>
      </c>
    </row>
    <row r="1570" spans="1:9" x14ac:dyDescent="0.35">
      <c r="A1570" s="2">
        <v>45427</v>
      </c>
      <c r="B1570">
        <v>83</v>
      </c>
      <c r="C1570">
        <v>4112003</v>
      </c>
      <c r="D1570" t="s">
        <v>58</v>
      </c>
      <c r="E1570" t="s">
        <v>59</v>
      </c>
      <c r="F1570" s="3">
        <v>0</v>
      </c>
      <c r="G1570" s="3">
        <v>3103.58</v>
      </c>
      <c r="H1570" s="3">
        <v>-3103.58</v>
      </c>
      <c r="I1570" t="s">
        <v>673</v>
      </c>
    </row>
    <row r="1571" spans="1:9" x14ac:dyDescent="0.35">
      <c r="A1571" s="2">
        <v>45427</v>
      </c>
      <c r="B1571">
        <v>83</v>
      </c>
      <c r="C1571">
        <v>2121001</v>
      </c>
      <c r="D1571" t="s">
        <v>27</v>
      </c>
      <c r="E1571" t="s">
        <v>59</v>
      </c>
      <c r="F1571" s="3">
        <v>0</v>
      </c>
      <c r="G1571" s="3">
        <v>496.57</v>
      </c>
      <c r="H1571" s="3">
        <v>-496.57</v>
      </c>
      <c r="I1571" t="s">
        <v>673</v>
      </c>
    </row>
    <row r="1572" spans="1:9" x14ac:dyDescent="0.35">
      <c r="A1572" s="2">
        <v>45427</v>
      </c>
      <c r="B1572">
        <v>83</v>
      </c>
      <c r="C1572">
        <v>1111001</v>
      </c>
      <c r="D1572" t="s">
        <v>16</v>
      </c>
      <c r="E1572" t="s">
        <v>59</v>
      </c>
      <c r="F1572" s="3">
        <v>3600.15</v>
      </c>
      <c r="G1572" s="3">
        <v>0</v>
      </c>
      <c r="H1572" s="3">
        <v>3600.15</v>
      </c>
      <c r="I1572" t="s">
        <v>673</v>
      </c>
    </row>
    <row r="1573" spans="1:9" x14ac:dyDescent="0.35">
      <c r="A1573" s="2">
        <v>45427</v>
      </c>
      <c r="B1573">
        <v>83</v>
      </c>
      <c r="C1573">
        <v>4112003</v>
      </c>
      <c r="D1573" t="s">
        <v>58</v>
      </c>
      <c r="E1573" t="s">
        <v>59</v>
      </c>
      <c r="F1573" s="3">
        <v>0</v>
      </c>
      <c r="G1573" s="3">
        <v>5604.28</v>
      </c>
      <c r="H1573" s="3">
        <v>-5604.28</v>
      </c>
      <c r="I1573" t="s">
        <v>674</v>
      </c>
    </row>
    <row r="1574" spans="1:9" x14ac:dyDescent="0.35">
      <c r="A1574" s="2">
        <v>45427</v>
      </c>
      <c r="B1574">
        <v>83</v>
      </c>
      <c r="C1574">
        <v>2121001</v>
      </c>
      <c r="D1574" t="s">
        <v>27</v>
      </c>
      <c r="E1574" t="s">
        <v>59</v>
      </c>
      <c r="F1574" s="3">
        <v>0</v>
      </c>
      <c r="G1574" s="3">
        <v>896.68</v>
      </c>
      <c r="H1574" s="3">
        <v>-896.68</v>
      </c>
      <c r="I1574" t="s">
        <v>674</v>
      </c>
    </row>
    <row r="1575" spans="1:9" x14ac:dyDescent="0.35">
      <c r="A1575" s="2">
        <v>45427</v>
      </c>
      <c r="B1575">
        <v>83</v>
      </c>
      <c r="C1575">
        <v>1111001</v>
      </c>
      <c r="D1575" t="s">
        <v>16</v>
      </c>
      <c r="E1575" t="s">
        <v>59</v>
      </c>
      <c r="F1575" s="3">
        <v>6500.96</v>
      </c>
      <c r="G1575" s="3">
        <v>0</v>
      </c>
      <c r="H1575" s="3">
        <v>6500.96</v>
      </c>
      <c r="I1575" t="s">
        <v>674</v>
      </c>
    </row>
    <row r="1576" spans="1:9" x14ac:dyDescent="0.35">
      <c r="A1576" s="2">
        <v>45427</v>
      </c>
      <c r="B1576">
        <v>83</v>
      </c>
      <c r="C1576">
        <v>4112003</v>
      </c>
      <c r="D1576" t="s">
        <v>58</v>
      </c>
      <c r="E1576" t="s">
        <v>59</v>
      </c>
      <c r="F1576" s="3">
        <v>0</v>
      </c>
      <c r="G1576" s="3">
        <v>6380.12</v>
      </c>
      <c r="H1576" s="3">
        <v>-6380.12</v>
      </c>
      <c r="I1576" t="s">
        <v>675</v>
      </c>
    </row>
    <row r="1577" spans="1:9" x14ac:dyDescent="0.35">
      <c r="A1577" s="2">
        <v>45427</v>
      </c>
      <c r="B1577">
        <v>83</v>
      </c>
      <c r="C1577">
        <v>2121001</v>
      </c>
      <c r="D1577" t="s">
        <v>27</v>
      </c>
      <c r="E1577" t="s">
        <v>59</v>
      </c>
      <c r="F1577" s="3">
        <v>0</v>
      </c>
      <c r="G1577" s="3">
        <v>1020.82</v>
      </c>
      <c r="H1577" s="3">
        <v>-1020.82</v>
      </c>
      <c r="I1577" t="s">
        <v>675</v>
      </c>
    </row>
    <row r="1578" spans="1:9" x14ac:dyDescent="0.35">
      <c r="A1578" s="2">
        <v>45427</v>
      </c>
      <c r="B1578">
        <v>83</v>
      </c>
      <c r="C1578">
        <v>1111001</v>
      </c>
      <c r="D1578" t="s">
        <v>16</v>
      </c>
      <c r="E1578" t="s">
        <v>59</v>
      </c>
      <c r="F1578" s="3">
        <v>7400.94</v>
      </c>
      <c r="G1578" s="3">
        <v>0</v>
      </c>
      <c r="H1578" s="3">
        <v>7400.94</v>
      </c>
      <c r="I1578" t="s">
        <v>675</v>
      </c>
    </row>
    <row r="1579" spans="1:9" x14ac:dyDescent="0.35">
      <c r="A1579" s="2">
        <v>45427</v>
      </c>
      <c r="B1579">
        <v>83</v>
      </c>
      <c r="C1579">
        <v>4112003</v>
      </c>
      <c r="D1579" t="s">
        <v>58</v>
      </c>
      <c r="E1579" t="s">
        <v>59</v>
      </c>
      <c r="F1579" s="3">
        <v>0</v>
      </c>
      <c r="G1579" s="3">
        <v>6035.44</v>
      </c>
      <c r="H1579" s="3">
        <v>-6035.44</v>
      </c>
      <c r="I1579" t="s">
        <v>676</v>
      </c>
    </row>
    <row r="1580" spans="1:9" x14ac:dyDescent="0.35">
      <c r="A1580" s="2">
        <v>45427</v>
      </c>
      <c r="B1580">
        <v>83</v>
      </c>
      <c r="C1580">
        <v>2121001</v>
      </c>
      <c r="D1580" t="s">
        <v>27</v>
      </c>
      <c r="E1580" t="s">
        <v>59</v>
      </c>
      <c r="F1580" s="3">
        <v>0</v>
      </c>
      <c r="G1580" s="3">
        <v>965.67</v>
      </c>
      <c r="H1580" s="3">
        <v>-965.67</v>
      </c>
      <c r="I1580" t="s">
        <v>676</v>
      </c>
    </row>
    <row r="1581" spans="1:9" x14ac:dyDescent="0.35">
      <c r="A1581" s="2">
        <v>45427</v>
      </c>
      <c r="B1581">
        <v>83</v>
      </c>
      <c r="C1581">
        <v>1111001</v>
      </c>
      <c r="D1581" t="s">
        <v>16</v>
      </c>
      <c r="E1581" t="s">
        <v>59</v>
      </c>
      <c r="F1581" s="3">
        <v>7001.11</v>
      </c>
      <c r="G1581" s="3">
        <v>0</v>
      </c>
      <c r="H1581" s="3">
        <v>7001.11</v>
      </c>
      <c r="I1581" t="s">
        <v>676</v>
      </c>
    </row>
    <row r="1582" spans="1:9" x14ac:dyDescent="0.35">
      <c r="A1582" s="2">
        <v>45427</v>
      </c>
      <c r="B1582">
        <v>83</v>
      </c>
      <c r="C1582">
        <v>4112003</v>
      </c>
      <c r="D1582" t="s">
        <v>58</v>
      </c>
      <c r="E1582" t="s">
        <v>59</v>
      </c>
      <c r="F1582" s="3">
        <v>0</v>
      </c>
      <c r="G1582" s="3">
        <v>8276.75</v>
      </c>
      <c r="H1582" s="3">
        <v>-8276.75</v>
      </c>
      <c r="I1582" t="s">
        <v>677</v>
      </c>
    </row>
    <row r="1583" spans="1:9" x14ac:dyDescent="0.35">
      <c r="A1583" s="2">
        <v>45427</v>
      </c>
      <c r="B1583">
        <v>83</v>
      </c>
      <c r="C1583">
        <v>2121001</v>
      </c>
      <c r="D1583" t="s">
        <v>27</v>
      </c>
      <c r="E1583" t="s">
        <v>59</v>
      </c>
      <c r="F1583" s="3">
        <v>0</v>
      </c>
      <c r="G1583" s="3">
        <v>1324.28</v>
      </c>
      <c r="H1583" s="3">
        <v>-1324.28</v>
      </c>
      <c r="I1583" t="s">
        <v>677</v>
      </c>
    </row>
    <row r="1584" spans="1:9" x14ac:dyDescent="0.35">
      <c r="A1584" s="2">
        <v>45427</v>
      </c>
      <c r="B1584">
        <v>83</v>
      </c>
      <c r="C1584">
        <v>1111001</v>
      </c>
      <c r="D1584" t="s">
        <v>16</v>
      </c>
      <c r="E1584" t="s">
        <v>59</v>
      </c>
      <c r="F1584" s="3">
        <v>9601.0300000000007</v>
      </c>
      <c r="G1584" s="3">
        <v>0</v>
      </c>
      <c r="H1584" s="3">
        <v>9601.0300000000007</v>
      </c>
      <c r="I1584" t="s">
        <v>677</v>
      </c>
    </row>
    <row r="1585" spans="1:9" x14ac:dyDescent="0.35">
      <c r="A1585" s="2">
        <v>45427</v>
      </c>
      <c r="B1585">
        <v>83</v>
      </c>
      <c r="C1585">
        <v>4112003</v>
      </c>
      <c r="D1585" t="s">
        <v>58</v>
      </c>
      <c r="E1585" t="s">
        <v>59</v>
      </c>
      <c r="F1585" s="3">
        <v>0</v>
      </c>
      <c r="G1585" s="3">
        <v>7296.34</v>
      </c>
      <c r="H1585" s="3">
        <v>-7296.34</v>
      </c>
      <c r="I1585" t="s">
        <v>678</v>
      </c>
    </row>
    <row r="1586" spans="1:9" x14ac:dyDescent="0.35">
      <c r="A1586" s="2">
        <v>45427</v>
      </c>
      <c r="B1586">
        <v>83</v>
      </c>
      <c r="C1586">
        <v>2121001</v>
      </c>
      <c r="D1586" t="s">
        <v>27</v>
      </c>
      <c r="E1586" t="s">
        <v>59</v>
      </c>
      <c r="F1586" s="3">
        <v>0</v>
      </c>
      <c r="G1586" s="3">
        <v>1167.4100000000001</v>
      </c>
      <c r="H1586" s="3">
        <v>-1167.4100000000001</v>
      </c>
      <c r="I1586" t="s">
        <v>678</v>
      </c>
    </row>
    <row r="1587" spans="1:9" x14ac:dyDescent="0.35">
      <c r="A1587" s="2">
        <v>45427</v>
      </c>
      <c r="B1587">
        <v>83</v>
      </c>
      <c r="C1587">
        <v>1111001</v>
      </c>
      <c r="D1587" t="s">
        <v>16</v>
      </c>
      <c r="E1587" t="s">
        <v>59</v>
      </c>
      <c r="F1587" s="3">
        <v>8463.75</v>
      </c>
      <c r="G1587" s="3">
        <v>0</v>
      </c>
      <c r="H1587" s="3">
        <v>8463.75</v>
      </c>
      <c r="I1587" t="s">
        <v>678</v>
      </c>
    </row>
    <row r="1588" spans="1:9" x14ac:dyDescent="0.35">
      <c r="A1588" s="2">
        <v>45427</v>
      </c>
      <c r="B1588">
        <v>83</v>
      </c>
      <c r="C1588">
        <v>4112003</v>
      </c>
      <c r="D1588" t="s">
        <v>58</v>
      </c>
      <c r="E1588" t="s">
        <v>59</v>
      </c>
      <c r="F1588" s="3">
        <v>0</v>
      </c>
      <c r="G1588" s="3">
        <v>4741.66</v>
      </c>
      <c r="H1588" s="3">
        <v>-4741.66</v>
      </c>
      <c r="I1588" t="s">
        <v>679</v>
      </c>
    </row>
    <row r="1589" spans="1:9" x14ac:dyDescent="0.35">
      <c r="A1589" s="2">
        <v>45427</v>
      </c>
      <c r="B1589">
        <v>83</v>
      </c>
      <c r="C1589">
        <v>2121001</v>
      </c>
      <c r="D1589" t="s">
        <v>27</v>
      </c>
      <c r="E1589" t="s">
        <v>59</v>
      </c>
      <c r="F1589" s="3">
        <v>0</v>
      </c>
      <c r="G1589" s="3">
        <v>758.67</v>
      </c>
      <c r="H1589" s="3">
        <v>-758.67</v>
      </c>
      <c r="I1589" t="s">
        <v>679</v>
      </c>
    </row>
    <row r="1590" spans="1:9" x14ac:dyDescent="0.35">
      <c r="A1590" s="2">
        <v>45427</v>
      </c>
      <c r="B1590">
        <v>83</v>
      </c>
      <c r="C1590">
        <v>1111001</v>
      </c>
      <c r="D1590" t="s">
        <v>16</v>
      </c>
      <c r="E1590" t="s">
        <v>59</v>
      </c>
      <c r="F1590" s="3">
        <v>5500.33</v>
      </c>
      <c r="G1590" s="3">
        <v>0</v>
      </c>
      <c r="H1590" s="3">
        <v>5500.33</v>
      </c>
      <c r="I1590" t="s">
        <v>679</v>
      </c>
    </row>
    <row r="1591" spans="1:9" x14ac:dyDescent="0.35">
      <c r="A1591" s="2">
        <v>45427</v>
      </c>
      <c r="B1591">
        <v>83</v>
      </c>
      <c r="C1591">
        <v>4112003</v>
      </c>
      <c r="D1591" t="s">
        <v>58</v>
      </c>
      <c r="E1591" t="s">
        <v>59</v>
      </c>
      <c r="F1591" s="3">
        <v>0</v>
      </c>
      <c r="G1591" s="3">
        <v>3535.82</v>
      </c>
      <c r="H1591" s="3">
        <v>-3535.82</v>
      </c>
      <c r="I1591" t="s">
        <v>680</v>
      </c>
    </row>
    <row r="1592" spans="1:9" x14ac:dyDescent="0.35">
      <c r="A1592" s="2">
        <v>45427</v>
      </c>
      <c r="B1592">
        <v>83</v>
      </c>
      <c r="C1592">
        <v>2121001</v>
      </c>
      <c r="D1592" t="s">
        <v>27</v>
      </c>
      <c r="E1592" t="s">
        <v>59</v>
      </c>
      <c r="F1592" s="3">
        <v>0</v>
      </c>
      <c r="G1592" s="3">
        <v>565.73</v>
      </c>
      <c r="H1592" s="3">
        <v>-565.73</v>
      </c>
      <c r="I1592" t="s">
        <v>680</v>
      </c>
    </row>
    <row r="1593" spans="1:9" x14ac:dyDescent="0.35">
      <c r="A1593" s="2">
        <v>45427</v>
      </c>
      <c r="B1593">
        <v>83</v>
      </c>
      <c r="C1593">
        <v>1111001</v>
      </c>
      <c r="D1593" t="s">
        <v>16</v>
      </c>
      <c r="E1593" t="s">
        <v>59</v>
      </c>
      <c r="F1593" s="3">
        <v>4101.55</v>
      </c>
      <c r="G1593" s="3">
        <v>0</v>
      </c>
      <c r="H1593" s="3">
        <v>4101.55</v>
      </c>
      <c r="I1593" t="s">
        <v>680</v>
      </c>
    </row>
    <row r="1594" spans="1:9" x14ac:dyDescent="0.35">
      <c r="A1594" s="2">
        <v>45427</v>
      </c>
      <c r="B1594">
        <v>83</v>
      </c>
      <c r="C1594">
        <v>4112003</v>
      </c>
      <c r="D1594" t="s">
        <v>58</v>
      </c>
      <c r="E1594" t="s">
        <v>59</v>
      </c>
      <c r="F1594" s="3">
        <v>0</v>
      </c>
      <c r="G1594" s="3">
        <v>5173.13</v>
      </c>
      <c r="H1594" s="3">
        <v>-5173.13</v>
      </c>
      <c r="I1594" t="s">
        <v>681</v>
      </c>
    </row>
    <row r="1595" spans="1:9" x14ac:dyDescent="0.35">
      <c r="A1595" s="2">
        <v>45427</v>
      </c>
      <c r="B1595">
        <v>83</v>
      </c>
      <c r="C1595">
        <v>2121001</v>
      </c>
      <c r="D1595" t="s">
        <v>27</v>
      </c>
      <c r="E1595" t="s">
        <v>59</v>
      </c>
      <c r="F1595" s="3">
        <v>0</v>
      </c>
      <c r="G1595" s="3">
        <v>827.7</v>
      </c>
      <c r="H1595" s="3">
        <v>-827.7</v>
      </c>
      <c r="I1595" t="s">
        <v>681</v>
      </c>
    </row>
    <row r="1596" spans="1:9" x14ac:dyDescent="0.35">
      <c r="A1596" s="2">
        <v>45427</v>
      </c>
      <c r="B1596">
        <v>83</v>
      </c>
      <c r="C1596">
        <v>1111001</v>
      </c>
      <c r="D1596" t="s">
        <v>16</v>
      </c>
      <c r="E1596" t="s">
        <v>59</v>
      </c>
      <c r="F1596" s="3">
        <v>6000.83</v>
      </c>
      <c r="G1596" s="3">
        <v>0</v>
      </c>
      <c r="H1596" s="3">
        <v>6000.83</v>
      </c>
      <c r="I1596" t="s">
        <v>681</v>
      </c>
    </row>
    <row r="1597" spans="1:9" x14ac:dyDescent="0.35">
      <c r="A1597" s="2">
        <v>45427</v>
      </c>
      <c r="B1597">
        <v>83</v>
      </c>
      <c r="C1597">
        <v>4112003</v>
      </c>
      <c r="D1597" t="s">
        <v>58</v>
      </c>
      <c r="E1597" t="s">
        <v>59</v>
      </c>
      <c r="F1597" s="3">
        <v>0</v>
      </c>
      <c r="G1597" s="3">
        <v>6379.95</v>
      </c>
      <c r="H1597" s="3">
        <v>-6379.95</v>
      </c>
      <c r="I1597" t="s">
        <v>682</v>
      </c>
    </row>
    <row r="1598" spans="1:9" x14ac:dyDescent="0.35">
      <c r="A1598" s="2">
        <v>45427</v>
      </c>
      <c r="B1598">
        <v>83</v>
      </c>
      <c r="C1598">
        <v>2121001</v>
      </c>
      <c r="D1598" t="s">
        <v>27</v>
      </c>
      <c r="E1598" t="s">
        <v>59</v>
      </c>
      <c r="F1598" s="3">
        <v>0</v>
      </c>
      <c r="G1598" s="3">
        <v>1020.79</v>
      </c>
      <c r="H1598" s="3">
        <v>-1020.79</v>
      </c>
      <c r="I1598" t="s">
        <v>682</v>
      </c>
    </row>
    <row r="1599" spans="1:9" x14ac:dyDescent="0.35">
      <c r="A1599" s="2">
        <v>45427</v>
      </c>
      <c r="B1599">
        <v>83</v>
      </c>
      <c r="C1599">
        <v>1111001</v>
      </c>
      <c r="D1599" t="s">
        <v>16</v>
      </c>
      <c r="E1599" t="s">
        <v>59</v>
      </c>
      <c r="F1599" s="3">
        <v>7400.74</v>
      </c>
      <c r="G1599" s="3">
        <v>0</v>
      </c>
      <c r="H1599" s="3">
        <v>7400.74</v>
      </c>
      <c r="I1599" t="s">
        <v>682</v>
      </c>
    </row>
    <row r="1600" spans="1:9" x14ac:dyDescent="0.35">
      <c r="A1600" s="2">
        <v>45427</v>
      </c>
      <c r="B1600">
        <v>83</v>
      </c>
      <c r="C1600">
        <v>4112003</v>
      </c>
      <c r="D1600" t="s">
        <v>58</v>
      </c>
      <c r="E1600" t="s">
        <v>59</v>
      </c>
      <c r="F1600" s="3">
        <v>0</v>
      </c>
      <c r="G1600" s="3">
        <v>6380.11</v>
      </c>
      <c r="H1600" s="3">
        <v>-6380.11</v>
      </c>
      <c r="I1600" t="s">
        <v>683</v>
      </c>
    </row>
    <row r="1601" spans="1:9" x14ac:dyDescent="0.35">
      <c r="A1601" s="2">
        <v>45427</v>
      </c>
      <c r="B1601">
        <v>83</v>
      </c>
      <c r="C1601">
        <v>2121001</v>
      </c>
      <c r="D1601" t="s">
        <v>27</v>
      </c>
      <c r="E1601" t="s">
        <v>59</v>
      </c>
      <c r="F1601" s="3">
        <v>0</v>
      </c>
      <c r="G1601" s="3">
        <v>1020.82</v>
      </c>
      <c r="H1601" s="3">
        <v>-1020.82</v>
      </c>
      <c r="I1601" t="s">
        <v>683</v>
      </c>
    </row>
    <row r="1602" spans="1:9" x14ac:dyDescent="0.35">
      <c r="A1602" s="2">
        <v>45427</v>
      </c>
      <c r="B1602">
        <v>83</v>
      </c>
      <c r="C1602">
        <v>1111001</v>
      </c>
      <c r="D1602" t="s">
        <v>16</v>
      </c>
      <c r="E1602" t="s">
        <v>59</v>
      </c>
      <c r="F1602" s="3">
        <v>7400.93</v>
      </c>
      <c r="G1602" s="3">
        <v>0</v>
      </c>
      <c r="H1602" s="3">
        <v>7400.93</v>
      </c>
      <c r="I1602" t="s">
        <v>683</v>
      </c>
    </row>
    <row r="1603" spans="1:9" x14ac:dyDescent="0.35">
      <c r="A1603" s="2">
        <v>45427</v>
      </c>
      <c r="B1603">
        <v>83</v>
      </c>
      <c r="C1603">
        <v>4112004</v>
      </c>
      <c r="D1603" t="s">
        <v>74</v>
      </c>
      <c r="E1603" t="s">
        <v>197</v>
      </c>
      <c r="F1603" s="3">
        <v>0</v>
      </c>
      <c r="G1603" s="3">
        <v>29707.84</v>
      </c>
      <c r="H1603" s="3">
        <v>-29707.84</v>
      </c>
      <c r="I1603" t="s">
        <v>684</v>
      </c>
    </row>
    <row r="1604" spans="1:9" x14ac:dyDescent="0.35">
      <c r="A1604" s="2">
        <v>45427</v>
      </c>
      <c r="B1604">
        <v>83</v>
      </c>
      <c r="C1604">
        <v>2121001</v>
      </c>
      <c r="D1604" t="s">
        <v>27</v>
      </c>
      <c r="E1604" t="s">
        <v>197</v>
      </c>
      <c r="F1604" s="3">
        <v>0</v>
      </c>
      <c r="G1604" s="3">
        <v>4753.25</v>
      </c>
      <c r="H1604" s="3">
        <v>-4753.25</v>
      </c>
      <c r="I1604" t="s">
        <v>684</v>
      </c>
    </row>
    <row r="1605" spans="1:9" x14ac:dyDescent="0.35">
      <c r="A1605" s="2">
        <v>45427</v>
      </c>
      <c r="B1605">
        <v>83</v>
      </c>
      <c r="C1605">
        <v>1141002</v>
      </c>
      <c r="D1605" t="s">
        <v>23</v>
      </c>
      <c r="E1605" t="s">
        <v>197</v>
      </c>
      <c r="F1605" s="3">
        <v>3564.94</v>
      </c>
      <c r="G1605" s="3">
        <v>0</v>
      </c>
      <c r="H1605" s="3">
        <v>3564.94</v>
      </c>
      <c r="I1605" t="s">
        <v>1438</v>
      </c>
    </row>
    <row r="1606" spans="1:9" x14ac:dyDescent="0.35">
      <c r="A1606" s="2">
        <v>45427</v>
      </c>
      <c r="B1606">
        <v>83</v>
      </c>
      <c r="C1606">
        <v>1142001</v>
      </c>
      <c r="D1606" t="s">
        <v>199</v>
      </c>
      <c r="E1606" t="s">
        <v>197</v>
      </c>
      <c r="F1606" s="3">
        <v>594.16</v>
      </c>
      <c r="G1606" s="3">
        <v>0</v>
      </c>
      <c r="H1606" s="3">
        <v>594.16</v>
      </c>
      <c r="I1606" t="s">
        <v>1438</v>
      </c>
    </row>
    <row r="1607" spans="1:9" x14ac:dyDescent="0.35">
      <c r="A1607" s="2">
        <v>45427</v>
      </c>
      <c r="B1607">
        <v>83</v>
      </c>
      <c r="C1607">
        <v>6121040</v>
      </c>
      <c r="D1607" t="s">
        <v>98</v>
      </c>
      <c r="E1607" t="s">
        <v>197</v>
      </c>
      <c r="F1607" s="3">
        <v>689.22</v>
      </c>
      <c r="G1607" s="3">
        <v>0</v>
      </c>
      <c r="H1607" s="3">
        <v>689.22</v>
      </c>
      <c r="I1607" t="s">
        <v>684</v>
      </c>
    </row>
    <row r="1608" spans="1:9" x14ac:dyDescent="0.35">
      <c r="A1608" s="2">
        <v>45427</v>
      </c>
      <c r="B1608">
        <v>83</v>
      </c>
      <c r="C1608">
        <v>1111001</v>
      </c>
      <c r="D1608" t="s">
        <v>16</v>
      </c>
      <c r="E1608" t="s">
        <v>197</v>
      </c>
      <c r="F1608" s="3">
        <v>29612.77</v>
      </c>
      <c r="G1608" s="3">
        <v>0</v>
      </c>
      <c r="H1608" s="3">
        <v>29612.77</v>
      </c>
      <c r="I1608" t="s">
        <v>684</v>
      </c>
    </row>
    <row r="1609" spans="1:9" x14ac:dyDescent="0.35">
      <c r="A1609" s="2">
        <v>45427</v>
      </c>
      <c r="B1609">
        <v>83</v>
      </c>
      <c r="C1609">
        <v>1142004</v>
      </c>
      <c r="D1609" t="s">
        <v>83</v>
      </c>
      <c r="E1609" t="s">
        <v>502</v>
      </c>
      <c r="F1609" s="3">
        <v>1108.07</v>
      </c>
      <c r="G1609" s="3">
        <v>0</v>
      </c>
      <c r="H1609" s="3">
        <v>1108.07</v>
      </c>
      <c r="I1609" t="s">
        <v>503</v>
      </c>
    </row>
    <row r="1610" spans="1:9" x14ac:dyDescent="0.35">
      <c r="A1610" s="2">
        <v>45427</v>
      </c>
      <c r="B1610">
        <v>83</v>
      </c>
      <c r="C1610">
        <v>2124004</v>
      </c>
      <c r="D1610" t="s">
        <v>29</v>
      </c>
      <c r="E1610" t="s">
        <v>502</v>
      </c>
      <c r="F1610" s="3">
        <v>0</v>
      </c>
      <c r="G1610" s="3">
        <v>1108.07</v>
      </c>
      <c r="H1610" s="3">
        <v>-1108.07</v>
      </c>
      <c r="I1610" t="s">
        <v>503</v>
      </c>
    </row>
    <row r="1611" spans="1:9" x14ac:dyDescent="0.35">
      <c r="A1611" s="2">
        <v>45427</v>
      </c>
      <c r="B1611">
        <v>83</v>
      </c>
      <c r="C1611">
        <v>2121001</v>
      </c>
      <c r="D1611" t="s">
        <v>27</v>
      </c>
      <c r="E1611" t="s">
        <v>685</v>
      </c>
      <c r="F1611" s="3">
        <v>17729.099999999999</v>
      </c>
      <c r="G1611" s="3">
        <v>0</v>
      </c>
      <c r="H1611" s="3">
        <v>17729.099999999999</v>
      </c>
      <c r="I1611" t="s">
        <v>544</v>
      </c>
    </row>
    <row r="1612" spans="1:9" x14ac:dyDescent="0.35">
      <c r="A1612" s="2">
        <v>45427</v>
      </c>
      <c r="B1612">
        <v>83</v>
      </c>
      <c r="C1612">
        <v>1141001</v>
      </c>
      <c r="D1612" t="s">
        <v>153</v>
      </c>
      <c r="E1612" t="s">
        <v>685</v>
      </c>
      <c r="F1612" s="3">
        <v>0</v>
      </c>
      <c r="G1612" s="3">
        <v>1045.3900000000001</v>
      </c>
      <c r="H1612" s="3">
        <v>-1045.3900000000001</v>
      </c>
      <c r="I1612" t="s">
        <v>544</v>
      </c>
    </row>
    <row r="1613" spans="1:9" x14ac:dyDescent="0.35">
      <c r="A1613" s="2">
        <v>45427</v>
      </c>
      <c r="B1613">
        <v>83</v>
      </c>
      <c r="C1613">
        <v>1141002</v>
      </c>
      <c r="D1613" t="s">
        <v>23</v>
      </c>
      <c r="E1613" t="s">
        <v>685</v>
      </c>
      <c r="F1613" s="3">
        <v>0</v>
      </c>
      <c r="G1613" s="3">
        <v>3564.94</v>
      </c>
      <c r="H1613" s="3">
        <v>-3564.94</v>
      </c>
      <c r="I1613" t="s">
        <v>544</v>
      </c>
    </row>
    <row r="1614" spans="1:9" x14ac:dyDescent="0.35">
      <c r="A1614" s="2">
        <v>45427</v>
      </c>
      <c r="B1614">
        <v>83</v>
      </c>
      <c r="C1614">
        <v>2121003</v>
      </c>
      <c r="D1614" t="s">
        <v>28</v>
      </c>
      <c r="E1614" t="s">
        <v>685</v>
      </c>
      <c r="F1614" s="3">
        <v>0</v>
      </c>
      <c r="G1614" s="3">
        <v>13118.77</v>
      </c>
      <c r="H1614" s="3">
        <v>-13118.77</v>
      </c>
      <c r="I1614" t="s">
        <v>544</v>
      </c>
    </row>
    <row r="1615" spans="1:9" x14ac:dyDescent="0.35">
      <c r="A1615" s="2">
        <v>45427</v>
      </c>
      <c r="B1615">
        <v>83</v>
      </c>
      <c r="C1615">
        <v>5131001</v>
      </c>
      <c r="D1615" t="s">
        <v>86</v>
      </c>
      <c r="E1615" t="s">
        <v>686</v>
      </c>
      <c r="F1615" s="3">
        <v>390</v>
      </c>
      <c r="G1615" s="3">
        <v>0</v>
      </c>
      <c r="H1615" s="3">
        <v>390</v>
      </c>
      <c r="I1615" t="s">
        <v>574</v>
      </c>
    </row>
    <row r="1616" spans="1:9" x14ac:dyDescent="0.35">
      <c r="A1616" s="2">
        <v>45427</v>
      </c>
      <c r="B1616">
        <v>83</v>
      </c>
      <c r="C1616">
        <v>5131005</v>
      </c>
      <c r="D1616" t="s">
        <v>205</v>
      </c>
      <c r="E1616" t="s">
        <v>686</v>
      </c>
      <c r="F1616" s="3">
        <v>4393.2</v>
      </c>
      <c r="G1616" s="3">
        <v>0</v>
      </c>
      <c r="H1616" s="3">
        <v>4393.2</v>
      </c>
      <c r="I1616" t="s">
        <v>574</v>
      </c>
    </row>
    <row r="1617" spans="1:9" x14ac:dyDescent="0.35">
      <c r="A1617" s="2">
        <v>45427</v>
      </c>
      <c r="B1617">
        <v>83</v>
      </c>
      <c r="C1617">
        <v>5131008</v>
      </c>
      <c r="D1617" t="s">
        <v>89</v>
      </c>
      <c r="E1617" t="s">
        <v>686</v>
      </c>
      <c r="F1617" s="3">
        <v>81.900000000000006</v>
      </c>
      <c r="G1617" s="3">
        <v>0</v>
      </c>
      <c r="H1617" s="3">
        <v>81.900000000000006</v>
      </c>
      <c r="I1617" t="s">
        <v>574</v>
      </c>
    </row>
    <row r="1618" spans="1:9" x14ac:dyDescent="0.35">
      <c r="A1618" s="2">
        <v>45427</v>
      </c>
      <c r="B1618">
        <v>83</v>
      </c>
      <c r="C1618">
        <v>5131009</v>
      </c>
      <c r="D1618" t="s">
        <v>90</v>
      </c>
      <c r="E1618" t="s">
        <v>686</v>
      </c>
      <c r="F1618" s="3">
        <v>16.25</v>
      </c>
      <c r="G1618" s="3">
        <v>0</v>
      </c>
      <c r="H1618" s="3">
        <v>16.25</v>
      </c>
      <c r="I1618" t="s">
        <v>574</v>
      </c>
    </row>
    <row r="1619" spans="1:9" x14ac:dyDescent="0.35">
      <c r="A1619" s="2">
        <v>45427</v>
      </c>
      <c r="B1619">
        <v>83</v>
      </c>
      <c r="C1619">
        <v>5131010</v>
      </c>
      <c r="D1619" t="s">
        <v>91</v>
      </c>
      <c r="E1619" t="s">
        <v>686</v>
      </c>
      <c r="F1619" s="3">
        <v>32.5</v>
      </c>
      <c r="G1619" s="3">
        <v>0</v>
      </c>
      <c r="H1619" s="3">
        <v>32.5</v>
      </c>
      <c r="I1619" t="s">
        <v>574</v>
      </c>
    </row>
    <row r="1620" spans="1:9" x14ac:dyDescent="0.35">
      <c r="A1620" s="2">
        <v>45427</v>
      </c>
      <c r="B1620">
        <v>83</v>
      </c>
      <c r="C1620">
        <v>5131012</v>
      </c>
      <c r="D1620" t="s">
        <v>206</v>
      </c>
      <c r="E1620" t="s">
        <v>686</v>
      </c>
      <c r="F1620" s="3">
        <v>28.6</v>
      </c>
      <c r="G1620" s="3">
        <v>0</v>
      </c>
      <c r="H1620" s="3">
        <v>28.6</v>
      </c>
      <c r="I1620" t="s">
        <v>574</v>
      </c>
    </row>
    <row r="1621" spans="1:9" x14ac:dyDescent="0.35">
      <c r="A1621" s="2">
        <v>45427</v>
      </c>
      <c r="B1621">
        <v>83</v>
      </c>
      <c r="C1621">
        <v>5131013</v>
      </c>
      <c r="D1621" t="s">
        <v>92</v>
      </c>
      <c r="E1621" t="s">
        <v>686</v>
      </c>
      <c r="F1621" s="3">
        <v>7.8</v>
      </c>
      <c r="G1621" s="3">
        <v>0</v>
      </c>
      <c r="H1621" s="3">
        <v>7.8</v>
      </c>
      <c r="I1621" t="s">
        <v>574</v>
      </c>
    </row>
    <row r="1622" spans="1:9" x14ac:dyDescent="0.35">
      <c r="A1622" s="2">
        <v>45427</v>
      </c>
      <c r="B1622">
        <v>83</v>
      </c>
      <c r="C1622">
        <v>5131014</v>
      </c>
      <c r="D1622" t="s">
        <v>207</v>
      </c>
      <c r="E1622" t="s">
        <v>686</v>
      </c>
      <c r="F1622" s="3">
        <v>7.8</v>
      </c>
      <c r="G1622" s="3">
        <v>0</v>
      </c>
      <c r="H1622" s="3">
        <v>7.8</v>
      </c>
      <c r="I1622" t="s">
        <v>574</v>
      </c>
    </row>
    <row r="1623" spans="1:9" x14ac:dyDescent="0.35">
      <c r="A1623" s="2">
        <v>45427</v>
      </c>
      <c r="B1623">
        <v>83</v>
      </c>
      <c r="C1623">
        <v>2131002</v>
      </c>
      <c r="D1623" t="s">
        <v>31</v>
      </c>
      <c r="E1623" t="s">
        <v>686</v>
      </c>
      <c r="F1623" s="3">
        <v>0</v>
      </c>
      <c r="G1623" s="3">
        <v>18</v>
      </c>
      <c r="H1623" s="3">
        <v>-18</v>
      </c>
      <c r="I1623" t="s">
        <v>574</v>
      </c>
    </row>
    <row r="1624" spans="1:9" x14ac:dyDescent="0.35">
      <c r="A1624" s="2">
        <v>45427</v>
      </c>
      <c r="B1624">
        <v>83</v>
      </c>
      <c r="C1624">
        <v>2131003</v>
      </c>
      <c r="D1624" t="s">
        <v>32</v>
      </c>
      <c r="E1624" t="s">
        <v>686</v>
      </c>
      <c r="F1624" s="3">
        <v>0</v>
      </c>
      <c r="G1624" s="3">
        <v>2.25</v>
      </c>
      <c r="H1624" s="3">
        <v>-2.25</v>
      </c>
      <c r="I1624" t="s">
        <v>574</v>
      </c>
    </row>
    <row r="1625" spans="1:9" x14ac:dyDescent="0.35">
      <c r="A1625" s="2">
        <v>45427</v>
      </c>
      <c r="B1625">
        <v>83</v>
      </c>
      <c r="C1625">
        <v>2131004</v>
      </c>
      <c r="D1625" t="s">
        <v>33</v>
      </c>
      <c r="E1625" t="s">
        <v>686</v>
      </c>
      <c r="F1625" s="3">
        <v>0</v>
      </c>
      <c r="G1625" s="3">
        <v>6.25</v>
      </c>
      <c r="H1625" s="3">
        <v>-6.25</v>
      </c>
      <c r="I1625" t="s">
        <v>574</v>
      </c>
    </row>
    <row r="1626" spans="1:9" x14ac:dyDescent="0.35">
      <c r="A1626" s="2">
        <v>45427</v>
      </c>
      <c r="B1626">
        <v>83</v>
      </c>
      <c r="C1626">
        <v>2141001</v>
      </c>
      <c r="D1626" t="s">
        <v>35</v>
      </c>
      <c r="E1626" t="s">
        <v>686</v>
      </c>
      <c r="F1626" s="3">
        <v>0</v>
      </c>
      <c r="G1626" s="3">
        <v>28.6</v>
      </c>
      <c r="H1626" s="3">
        <v>-28.6</v>
      </c>
      <c r="I1626" t="s">
        <v>574</v>
      </c>
    </row>
    <row r="1627" spans="1:9" x14ac:dyDescent="0.35">
      <c r="A1627" s="2">
        <v>45427</v>
      </c>
      <c r="B1627">
        <v>83</v>
      </c>
      <c r="C1627">
        <v>2141002</v>
      </c>
      <c r="D1627" t="s">
        <v>36</v>
      </c>
      <c r="E1627" t="s">
        <v>686</v>
      </c>
      <c r="F1627" s="3">
        <v>0</v>
      </c>
      <c r="G1627" s="3">
        <v>7.8</v>
      </c>
      <c r="H1627" s="3">
        <v>-7.8</v>
      </c>
      <c r="I1627" t="s">
        <v>574</v>
      </c>
    </row>
    <row r="1628" spans="1:9" x14ac:dyDescent="0.35">
      <c r="A1628" s="2">
        <v>45427</v>
      </c>
      <c r="B1628">
        <v>83</v>
      </c>
      <c r="C1628">
        <v>2141003</v>
      </c>
      <c r="D1628" t="s">
        <v>37</v>
      </c>
      <c r="E1628" t="s">
        <v>686</v>
      </c>
      <c r="F1628" s="3">
        <v>0</v>
      </c>
      <c r="G1628" s="3">
        <v>7.8</v>
      </c>
      <c r="H1628" s="3">
        <v>-7.8</v>
      </c>
      <c r="I1628" t="s">
        <v>574</v>
      </c>
    </row>
    <row r="1629" spans="1:9" x14ac:dyDescent="0.35">
      <c r="A1629" s="2">
        <v>45427</v>
      </c>
      <c r="B1629">
        <v>83</v>
      </c>
      <c r="C1629">
        <v>2161004</v>
      </c>
      <c r="D1629" t="s">
        <v>38</v>
      </c>
      <c r="E1629" t="s">
        <v>686</v>
      </c>
      <c r="F1629" s="3">
        <v>0</v>
      </c>
      <c r="G1629" s="3">
        <v>16.25</v>
      </c>
      <c r="H1629" s="3">
        <v>-16.25</v>
      </c>
      <c r="I1629" t="s">
        <v>574</v>
      </c>
    </row>
    <row r="1630" spans="1:9" x14ac:dyDescent="0.35">
      <c r="A1630" s="2">
        <v>45427</v>
      </c>
      <c r="B1630">
        <v>83</v>
      </c>
      <c r="C1630">
        <v>2161005</v>
      </c>
      <c r="D1630" t="s">
        <v>39</v>
      </c>
      <c r="E1630" t="s">
        <v>686</v>
      </c>
      <c r="F1630" s="3">
        <v>0</v>
      </c>
      <c r="G1630" s="3">
        <v>32.5</v>
      </c>
      <c r="H1630" s="3">
        <v>-32.5</v>
      </c>
      <c r="I1630" t="s">
        <v>574</v>
      </c>
    </row>
    <row r="1631" spans="1:9" x14ac:dyDescent="0.35">
      <c r="A1631" s="2">
        <v>45427</v>
      </c>
      <c r="B1631">
        <v>83</v>
      </c>
      <c r="C1631">
        <v>2241001</v>
      </c>
      <c r="D1631" t="s">
        <v>40</v>
      </c>
      <c r="E1631" t="s">
        <v>686</v>
      </c>
      <c r="F1631" s="3">
        <v>0</v>
      </c>
      <c r="G1631" s="3">
        <v>81.900000000000006</v>
      </c>
      <c r="H1631" s="3">
        <v>-81.900000000000006</v>
      </c>
      <c r="I1631" t="s">
        <v>574</v>
      </c>
    </row>
    <row r="1632" spans="1:9" x14ac:dyDescent="0.35">
      <c r="A1632" s="2">
        <v>45427</v>
      </c>
      <c r="B1632">
        <v>83</v>
      </c>
      <c r="C1632">
        <v>2161001</v>
      </c>
      <c r="D1632" t="s">
        <v>93</v>
      </c>
      <c r="E1632" t="s">
        <v>686</v>
      </c>
      <c r="F1632" s="3">
        <v>0</v>
      </c>
      <c r="G1632" s="3">
        <v>4756.7</v>
      </c>
      <c r="H1632" s="3">
        <v>-4756.7</v>
      </c>
      <c r="I1632" t="s">
        <v>574</v>
      </c>
    </row>
    <row r="1633" spans="1:9" x14ac:dyDescent="0.35">
      <c r="A1633" s="2">
        <v>45427</v>
      </c>
      <c r="B1633">
        <v>83</v>
      </c>
      <c r="C1633">
        <v>6121046</v>
      </c>
      <c r="D1633" t="s">
        <v>94</v>
      </c>
      <c r="E1633" t="s">
        <v>95</v>
      </c>
      <c r="F1633" s="3">
        <v>329.76</v>
      </c>
      <c r="G1633" s="3">
        <v>0</v>
      </c>
      <c r="H1633" s="3">
        <v>329.76</v>
      </c>
      <c r="I1633" t="s">
        <v>472</v>
      </c>
    </row>
    <row r="1634" spans="1:9" x14ac:dyDescent="0.35">
      <c r="A1634" s="2">
        <v>45427</v>
      </c>
      <c r="B1634">
        <v>83</v>
      </c>
      <c r="C1634">
        <v>6121040</v>
      </c>
      <c r="D1634" t="s">
        <v>98</v>
      </c>
      <c r="E1634" t="s">
        <v>99</v>
      </c>
      <c r="F1634" s="3">
        <v>382.05</v>
      </c>
      <c r="G1634" s="3">
        <v>0</v>
      </c>
      <c r="H1634" s="3">
        <v>382.05</v>
      </c>
      <c r="I1634" t="s">
        <v>472</v>
      </c>
    </row>
    <row r="1635" spans="1:9" x14ac:dyDescent="0.35">
      <c r="A1635" s="2">
        <v>45427</v>
      </c>
      <c r="B1635">
        <v>83</v>
      </c>
      <c r="C1635">
        <v>2114001</v>
      </c>
      <c r="D1635" t="s">
        <v>97</v>
      </c>
      <c r="E1635" t="s">
        <v>1790</v>
      </c>
      <c r="F1635" s="3">
        <v>800</v>
      </c>
      <c r="G1635" s="3">
        <v>0</v>
      </c>
      <c r="H1635" s="3">
        <v>800</v>
      </c>
      <c r="I1635" t="s">
        <v>472</v>
      </c>
    </row>
    <row r="1636" spans="1:9" x14ac:dyDescent="0.35">
      <c r="A1636" s="2">
        <v>45427</v>
      </c>
      <c r="B1636">
        <v>83</v>
      </c>
      <c r="C1636">
        <v>2114001</v>
      </c>
      <c r="D1636" t="s">
        <v>97</v>
      </c>
      <c r="E1636" t="s">
        <v>1791</v>
      </c>
      <c r="F1636" s="3">
        <v>300</v>
      </c>
      <c r="G1636" s="3">
        <v>0</v>
      </c>
      <c r="H1636" s="3">
        <v>300</v>
      </c>
      <c r="I1636" t="s">
        <v>472</v>
      </c>
    </row>
    <row r="1637" spans="1:9" x14ac:dyDescent="0.35">
      <c r="A1637" s="2">
        <v>45427</v>
      </c>
      <c r="B1637">
        <v>83</v>
      </c>
      <c r="C1637">
        <v>1111001</v>
      </c>
      <c r="D1637" t="s">
        <v>16</v>
      </c>
      <c r="E1637" t="s">
        <v>687</v>
      </c>
      <c r="F1637" s="3">
        <v>4200</v>
      </c>
      <c r="G1637" s="3">
        <v>0</v>
      </c>
      <c r="H1637" s="3">
        <v>4200</v>
      </c>
      <c r="I1637" t="s">
        <v>472</v>
      </c>
    </row>
    <row r="1638" spans="1:9" x14ac:dyDescent="0.35">
      <c r="A1638" s="2">
        <v>45427</v>
      </c>
      <c r="B1638">
        <v>83</v>
      </c>
      <c r="C1638">
        <v>6121031</v>
      </c>
      <c r="D1638" t="s">
        <v>209</v>
      </c>
      <c r="E1638" t="s">
        <v>688</v>
      </c>
      <c r="F1638" s="3">
        <v>2220</v>
      </c>
      <c r="G1638" s="3">
        <v>0</v>
      </c>
      <c r="H1638" s="3">
        <v>2220</v>
      </c>
      <c r="I1638" t="s">
        <v>472</v>
      </c>
    </row>
    <row r="1639" spans="1:9" x14ac:dyDescent="0.35">
      <c r="A1639" s="2">
        <v>45427</v>
      </c>
      <c r="B1639">
        <v>83</v>
      </c>
      <c r="C1639">
        <v>2114010</v>
      </c>
      <c r="D1639" t="s">
        <v>48</v>
      </c>
      <c r="E1639" t="s">
        <v>1792</v>
      </c>
      <c r="F1639" s="3">
        <v>6000</v>
      </c>
      <c r="G1639" s="3">
        <v>0</v>
      </c>
      <c r="H1639" s="3">
        <v>6000</v>
      </c>
      <c r="I1639" t="s">
        <v>472</v>
      </c>
    </row>
    <row r="1640" spans="1:9" x14ac:dyDescent="0.35">
      <c r="A1640" s="2">
        <v>45427</v>
      </c>
      <c r="B1640">
        <v>83</v>
      </c>
      <c r="C1640">
        <v>2114010</v>
      </c>
      <c r="D1640" t="s">
        <v>48</v>
      </c>
      <c r="E1640" t="s">
        <v>105</v>
      </c>
      <c r="F1640" s="3">
        <v>6664.37</v>
      </c>
      <c r="G1640" s="3">
        <v>0</v>
      </c>
      <c r="H1640" s="3">
        <v>6664.37</v>
      </c>
      <c r="I1640" t="s">
        <v>472</v>
      </c>
    </row>
    <row r="1641" spans="1:9" x14ac:dyDescent="0.35">
      <c r="A1641" s="2">
        <v>45427</v>
      </c>
      <c r="B1641">
        <v>83</v>
      </c>
      <c r="C1641">
        <v>2141001</v>
      </c>
      <c r="D1641" t="s">
        <v>35</v>
      </c>
      <c r="E1641" t="s">
        <v>689</v>
      </c>
      <c r="F1641" s="3">
        <v>94.05</v>
      </c>
      <c r="G1641" s="3">
        <v>0</v>
      </c>
      <c r="H1641" s="3">
        <v>94.05</v>
      </c>
      <c r="I1641" t="s">
        <v>472</v>
      </c>
    </row>
    <row r="1642" spans="1:9" x14ac:dyDescent="0.35">
      <c r="A1642" s="2">
        <v>45427</v>
      </c>
      <c r="B1642">
        <v>83</v>
      </c>
      <c r="C1642">
        <v>2141002</v>
      </c>
      <c r="D1642" t="s">
        <v>36</v>
      </c>
      <c r="E1642" t="s">
        <v>690</v>
      </c>
      <c r="F1642" s="3">
        <v>27.3</v>
      </c>
      <c r="G1642" s="3">
        <v>0</v>
      </c>
      <c r="H1642" s="3">
        <v>27.3</v>
      </c>
      <c r="I1642" t="s">
        <v>472</v>
      </c>
    </row>
    <row r="1643" spans="1:9" x14ac:dyDescent="0.35">
      <c r="A1643" s="2">
        <v>45427</v>
      </c>
      <c r="B1643">
        <v>83</v>
      </c>
      <c r="C1643">
        <v>1112003</v>
      </c>
      <c r="D1643" t="s">
        <v>22</v>
      </c>
      <c r="E1643" t="s">
        <v>613</v>
      </c>
      <c r="F1643" s="3">
        <v>0</v>
      </c>
      <c r="G1643" s="3">
        <v>21017.53</v>
      </c>
      <c r="H1643" s="3">
        <v>-21017.53</v>
      </c>
      <c r="I1643" t="s">
        <v>472</v>
      </c>
    </row>
    <row r="1644" spans="1:9" x14ac:dyDescent="0.35">
      <c r="A1644" s="2">
        <v>45427</v>
      </c>
      <c r="B1644">
        <v>83</v>
      </c>
      <c r="C1644">
        <v>1112003</v>
      </c>
      <c r="D1644" t="s">
        <v>22</v>
      </c>
      <c r="E1644" t="s">
        <v>614</v>
      </c>
      <c r="F1644" s="3">
        <v>21400</v>
      </c>
      <c r="G1644" s="3">
        <v>0</v>
      </c>
      <c r="H1644" s="3">
        <v>21400</v>
      </c>
      <c r="I1644" t="s">
        <v>472</v>
      </c>
    </row>
    <row r="1645" spans="1:9" x14ac:dyDescent="0.35">
      <c r="A1645" s="2">
        <v>45427</v>
      </c>
      <c r="B1645">
        <v>83</v>
      </c>
      <c r="C1645">
        <v>1111001</v>
      </c>
      <c r="D1645" t="s">
        <v>16</v>
      </c>
      <c r="E1645" t="s">
        <v>111</v>
      </c>
      <c r="F1645" s="3">
        <v>0</v>
      </c>
      <c r="G1645" s="3">
        <v>21400</v>
      </c>
      <c r="H1645" s="3">
        <v>-21400</v>
      </c>
      <c r="I1645" t="s">
        <v>472</v>
      </c>
    </row>
    <row r="1646" spans="1:9" x14ac:dyDescent="0.35">
      <c r="A1646" s="2">
        <v>45427</v>
      </c>
      <c r="B1646">
        <v>83</v>
      </c>
      <c r="C1646">
        <v>6121046</v>
      </c>
      <c r="D1646" t="s">
        <v>94</v>
      </c>
      <c r="E1646" t="s">
        <v>95</v>
      </c>
      <c r="F1646" s="3">
        <v>177.07</v>
      </c>
      <c r="G1646" s="3">
        <v>0</v>
      </c>
      <c r="H1646" s="3">
        <v>177.07</v>
      </c>
      <c r="I1646" t="s">
        <v>480</v>
      </c>
    </row>
    <row r="1647" spans="1:9" x14ac:dyDescent="0.35">
      <c r="A1647" s="2">
        <v>45427</v>
      </c>
      <c r="B1647">
        <v>83</v>
      </c>
      <c r="C1647">
        <v>6121040</v>
      </c>
      <c r="D1647" t="s">
        <v>98</v>
      </c>
      <c r="E1647" t="s">
        <v>99</v>
      </c>
      <c r="F1647" s="3">
        <v>89.07</v>
      </c>
      <c r="G1647" s="3">
        <v>0</v>
      </c>
      <c r="H1647" s="3">
        <v>89.07</v>
      </c>
      <c r="I1647" t="s">
        <v>480</v>
      </c>
    </row>
    <row r="1648" spans="1:9" x14ac:dyDescent="0.35">
      <c r="A1648" s="2">
        <v>45427</v>
      </c>
      <c r="B1648">
        <v>83</v>
      </c>
      <c r="C1648">
        <v>2114001</v>
      </c>
      <c r="D1648" t="s">
        <v>97</v>
      </c>
      <c r="E1648" t="s">
        <v>1768</v>
      </c>
      <c r="F1648" s="3">
        <v>8720</v>
      </c>
      <c r="G1648" s="3">
        <v>0</v>
      </c>
      <c r="H1648" s="3">
        <v>8720</v>
      </c>
      <c r="I1648" t="s">
        <v>480</v>
      </c>
    </row>
    <row r="1649" spans="1:9" x14ac:dyDescent="0.35">
      <c r="A1649" s="2">
        <v>45427</v>
      </c>
      <c r="B1649">
        <v>83</v>
      </c>
      <c r="C1649">
        <v>6121019</v>
      </c>
      <c r="D1649" t="s">
        <v>100</v>
      </c>
      <c r="E1649" t="s">
        <v>691</v>
      </c>
      <c r="F1649" s="3">
        <v>45</v>
      </c>
      <c r="G1649" s="3">
        <v>0</v>
      </c>
      <c r="H1649" s="3">
        <v>45</v>
      </c>
      <c r="I1649" t="s">
        <v>480</v>
      </c>
    </row>
    <row r="1650" spans="1:9" x14ac:dyDescent="0.35">
      <c r="A1650" s="2">
        <v>45427</v>
      </c>
      <c r="B1650">
        <v>83</v>
      </c>
      <c r="C1650">
        <v>1112001</v>
      </c>
      <c r="D1650" t="s">
        <v>20</v>
      </c>
      <c r="E1650" t="s">
        <v>613</v>
      </c>
      <c r="F1650" s="3">
        <v>0</v>
      </c>
      <c r="G1650" s="3">
        <v>9031.14</v>
      </c>
      <c r="H1650" s="3">
        <v>-9031.14</v>
      </c>
      <c r="I1650" t="s">
        <v>480</v>
      </c>
    </row>
    <row r="1651" spans="1:9" x14ac:dyDescent="0.35">
      <c r="A1651" s="2">
        <v>45427</v>
      </c>
      <c r="B1651">
        <v>83</v>
      </c>
      <c r="C1651">
        <v>1112001</v>
      </c>
      <c r="D1651" t="s">
        <v>20</v>
      </c>
      <c r="E1651" t="s">
        <v>614</v>
      </c>
      <c r="F1651" s="3">
        <v>9932.0499999999993</v>
      </c>
      <c r="G1651" s="3">
        <v>0</v>
      </c>
      <c r="H1651" s="3">
        <v>9932.0499999999993</v>
      </c>
      <c r="I1651" t="s">
        <v>480</v>
      </c>
    </row>
    <row r="1652" spans="1:9" x14ac:dyDescent="0.35">
      <c r="A1652" s="2">
        <v>45427</v>
      </c>
      <c r="B1652">
        <v>83</v>
      </c>
      <c r="C1652">
        <v>1111001</v>
      </c>
      <c r="D1652" t="s">
        <v>16</v>
      </c>
      <c r="E1652" t="s">
        <v>692</v>
      </c>
      <c r="F1652" s="3">
        <v>0</v>
      </c>
      <c r="G1652" s="3">
        <v>914.75</v>
      </c>
      <c r="H1652" s="3">
        <v>-914.75</v>
      </c>
      <c r="I1652" t="s">
        <v>480</v>
      </c>
    </row>
    <row r="1653" spans="1:9" x14ac:dyDescent="0.35">
      <c r="A1653" s="2">
        <v>45427</v>
      </c>
      <c r="B1653">
        <v>83</v>
      </c>
      <c r="C1653">
        <v>1111001</v>
      </c>
      <c r="D1653" t="s">
        <v>16</v>
      </c>
      <c r="E1653" t="s">
        <v>112</v>
      </c>
      <c r="F1653" s="3">
        <v>0</v>
      </c>
      <c r="G1653" s="3">
        <v>9017.2999999999993</v>
      </c>
      <c r="H1653" s="3">
        <v>-9017.2999999999993</v>
      </c>
      <c r="I1653" t="s">
        <v>480</v>
      </c>
    </row>
    <row r="1654" spans="1:9" x14ac:dyDescent="0.35">
      <c r="A1654" s="2">
        <v>45427</v>
      </c>
      <c r="B1654">
        <v>83</v>
      </c>
      <c r="C1654">
        <v>6121040</v>
      </c>
      <c r="D1654" t="s">
        <v>98</v>
      </c>
      <c r="E1654" t="s">
        <v>99</v>
      </c>
      <c r="F1654" s="3">
        <v>3144.07</v>
      </c>
      <c r="G1654" s="3">
        <v>0</v>
      </c>
      <c r="H1654" s="3">
        <v>3144.07</v>
      </c>
      <c r="I1654" t="s">
        <v>507</v>
      </c>
    </row>
    <row r="1655" spans="1:9" x14ac:dyDescent="0.35">
      <c r="A1655" s="2">
        <v>45427</v>
      </c>
      <c r="B1655">
        <v>83</v>
      </c>
      <c r="C1655">
        <v>6121046</v>
      </c>
      <c r="D1655" t="s">
        <v>94</v>
      </c>
      <c r="E1655" t="s">
        <v>95</v>
      </c>
      <c r="F1655" s="3">
        <v>2114.29</v>
      </c>
      <c r="G1655" s="3">
        <v>0</v>
      </c>
      <c r="H1655" s="3">
        <v>2114.29</v>
      </c>
      <c r="I1655" t="s">
        <v>507</v>
      </c>
    </row>
    <row r="1656" spans="1:9" x14ac:dyDescent="0.35">
      <c r="A1656" s="2">
        <v>45427</v>
      </c>
      <c r="B1656">
        <v>83</v>
      </c>
      <c r="C1656">
        <v>2114001</v>
      </c>
      <c r="D1656" t="s">
        <v>97</v>
      </c>
      <c r="E1656" t="s">
        <v>1768</v>
      </c>
      <c r="F1656" s="3">
        <v>27753.200000000001</v>
      </c>
      <c r="G1656" s="3">
        <v>0</v>
      </c>
      <c r="H1656" s="3">
        <v>27753.200000000001</v>
      </c>
      <c r="I1656" t="s">
        <v>507</v>
      </c>
    </row>
    <row r="1657" spans="1:9" x14ac:dyDescent="0.35">
      <c r="A1657" s="2">
        <v>45427</v>
      </c>
      <c r="B1657">
        <v>83</v>
      </c>
      <c r="C1657">
        <v>1111001</v>
      </c>
      <c r="D1657" t="s">
        <v>16</v>
      </c>
      <c r="E1657" t="s">
        <v>213</v>
      </c>
      <c r="F1657" s="3">
        <v>21400</v>
      </c>
      <c r="G1657" s="3">
        <v>0</v>
      </c>
      <c r="H1657" s="3">
        <v>21400</v>
      </c>
      <c r="I1657" t="s">
        <v>507</v>
      </c>
    </row>
    <row r="1658" spans="1:9" x14ac:dyDescent="0.35">
      <c r="A1658" s="2">
        <v>45427</v>
      </c>
      <c r="B1658">
        <v>83</v>
      </c>
      <c r="C1658">
        <v>2114010</v>
      </c>
      <c r="D1658" t="s">
        <v>48</v>
      </c>
      <c r="E1658" t="s">
        <v>693</v>
      </c>
      <c r="F1658" s="3">
        <v>3900</v>
      </c>
      <c r="G1658" s="3">
        <v>0</v>
      </c>
      <c r="H1658" s="3">
        <v>3900</v>
      </c>
      <c r="I1658" t="s">
        <v>507</v>
      </c>
    </row>
    <row r="1659" spans="1:9" x14ac:dyDescent="0.35">
      <c r="A1659" s="2">
        <v>45427</v>
      </c>
      <c r="B1659">
        <v>83</v>
      </c>
      <c r="C1659">
        <v>5132007</v>
      </c>
      <c r="D1659" t="s">
        <v>355</v>
      </c>
      <c r="E1659" t="s">
        <v>694</v>
      </c>
      <c r="F1659" s="3">
        <v>684</v>
      </c>
      <c r="G1659" s="3">
        <v>0</v>
      </c>
      <c r="H1659" s="3">
        <v>684</v>
      </c>
      <c r="I1659" t="s">
        <v>507</v>
      </c>
    </row>
    <row r="1660" spans="1:9" x14ac:dyDescent="0.35">
      <c r="A1660" s="2">
        <v>45427</v>
      </c>
      <c r="B1660">
        <v>83</v>
      </c>
      <c r="C1660">
        <v>6121025</v>
      </c>
      <c r="D1660" t="s">
        <v>134</v>
      </c>
      <c r="E1660" t="s">
        <v>135</v>
      </c>
      <c r="F1660" s="3">
        <v>6078.94</v>
      </c>
      <c r="G1660" s="3">
        <v>0</v>
      </c>
      <c r="H1660" s="3">
        <v>6078.94</v>
      </c>
      <c r="I1660" t="s">
        <v>507</v>
      </c>
    </row>
    <row r="1661" spans="1:9" x14ac:dyDescent="0.35">
      <c r="A1661" s="2">
        <v>45427</v>
      </c>
      <c r="B1661">
        <v>83</v>
      </c>
      <c r="C1661">
        <v>5132022</v>
      </c>
      <c r="D1661" t="s">
        <v>695</v>
      </c>
      <c r="E1661" t="s">
        <v>1793</v>
      </c>
      <c r="F1661" s="3">
        <v>2660</v>
      </c>
      <c r="G1661" s="3">
        <v>0</v>
      </c>
      <c r="H1661" s="3">
        <v>2660</v>
      </c>
      <c r="I1661" t="s">
        <v>507</v>
      </c>
    </row>
    <row r="1662" spans="1:9" x14ac:dyDescent="0.35">
      <c r="A1662" s="2">
        <v>45427</v>
      </c>
      <c r="B1662">
        <v>83</v>
      </c>
      <c r="C1662">
        <v>5132022</v>
      </c>
      <c r="D1662" t="s">
        <v>695</v>
      </c>
      <c r="E1662" t="s">
        <v>1794</v>
      </c>
      <c r="F1662" s="3">
        <v>2535</v>
      </c>
      <c r="G1662" s="3">
        <v>0</v>
      </c>
      <c r="H1662" s="3">
        <v>2535</v>
      </c>
      <c r="I1662" t="s">
        <v>507</v>
      </c>
    </row>
    <row r="1663" spans="1:9" x14ac:dyDescent="0.35">
      <c r="A1663" s="2">
        <v>45427</v>
      </c>
      <c r="B1663">
        <v>83</v>
      </c>
      <c r="C1663">
        <v>2122003</v>
      </c>
      <c r="D1663" t="s">
        <v>308</v>
      </c>
      <c r="E1663" t="s">
        <v>548</v>
      </c>
      <c r="F1663" s="3">
        <v>129.58000000000001</v>
      </c>
      <c r="G1663" s="3">
        <v>0</v>
      </c>
      <c r="H1663" s="3">
        <v>129.58000000000001</v>
      </c>
      <c r="I1663" t="s">
        <v>507</v>
      </c>
    </row>
    <row r="1664" spans="1:9" x14ac:dyDescent="0.35">
      <c r="A1664" s="2">
        <v>45427</v>
      </c>
      <c r="B1664">
        <v>83</v>
      </c>
      <c r="C1664">
        <v>2124007</v>
      </c>
      <c r="D1664" t="s">
        <v>30</v>
      </c>
      <c r="E1664" t="s">
        <v>214</v>
      </c>
      <c r="F1664" s="3">
        <v>105.69</v>
      </c>
      <c r="G1664" s="3">
        <v>0</v>
      </c>
      <c r="H1664" s="3">
        <v>105.69</v>
      </c>
      <c r="I1664" t="s">
        <v>507</v>
      </c>
    </row>
    <row r="1665" spans="1:9" x14ac:dyDescent="0.35">
      <c r="A1665" s="2">
        <v>45427</v>
      </c>
      <c r="B1665">
        <v>83</v>
      </c>
      <c r="C1665">
        <v>2124004</v>
      </c>
      <c r="D1665" t="s">
        <v>29</v>
      </c>
      <c r="E1665" t="s">
        <v>119</v>
      </c>
      <c r="F1665" s="3">
        <v>1102.54</v>
      </c>
      <c r="G1665" s="3">
        <v>0</v>
      </c>
      <c r="H1665" s="3">
        <v>1102.54</v>
      </c>
      <c r="I1665" t="s">
        <v>507</v>
      </c>
    </row>
    <row r="1666" spans="1:9" x14ac:dyDescent="0.35">
      <c r="A1666" s="2">
        <v>45427</v>
      </c>
      <c r="B1666">
        <v>83</v>
      </c>
      <c r="C1666">
        <v>2114010</v>
      </c>
      <c r="D1666" t="s">
        <v>48</v>
      </c>
      <c r="E1666" t="s">
        <v>1771</v>
      </c>
      <c r="F1666" s="3">
        <v>4266.8</v>
      </c>
      <c r="G1666" s="3">
        <v>0</v>
      </c>
      <c r="H1666" s="3">
        <v>4266.8</v>
      </c>
      <c r="I1666" t="s">
        <v>507</v>
      </c>
    </row>
    <row r="1667" spans="1:9" x14ac:dyDescent="0.35">
      <c r="A1667" s="2">
        <v>45427</v>
      </c>
      <c r="B1667">
        <v>83</v>
      </c>
      <c r="C1667">
        <v>6121029</v>
      </c>
      <c r="D1667" t="s">
        <v>217</v>
      </c>
      <c r="E1667" t="s">
        <v>696</v>
      </c>
      <c r="F1667" s="3">
        <v>2535</v>
      </c>
      <c r="G1667" s="3">
        <v>0</v>
      </c>
      <c r="H1667" s="3">
        <v>2535</v>
      </c>
      <c r="I1667" t="s">
        <v>507</v>
      </c>
    </row>
    <row r="1668" spans="1:9" x14ac:dyDescent="0.35">
      <c r="A1668" s="2">
        <v>45427</v>
      </c>
      <c r="B1668">
        <v>83</v>
      </c>
      <c r="C1668">
        <v>5131016</v>
      </c>
      <c r="D1668" t="s">
        <v>238</v>
      </c>
      <c r="E1668" t="s">
        <v>697</v>
      </c>
      <c r="F1668" s="3">
        <v>877.92</v>
      </c>
      <c r="G1668" s="3">
        <v>0</v>
      </c>
      <c r="H1668" s="3">
        <v>877.92</v>
      </c>
      <c r="I1668" t="s">
        <v>507</v>
      </c>
    </row>
    <row r="1669" spans="1:9" x14ac:dyDescent="0.35">
      <c r="A1669" s="2">
        <v>45427</v>
      </c>
      <c r="B1669">
        <v>83</v>
      </c>
      <c r="C1669">
        <v>5132010</v>
      </c>
      <c r="D1669" t="s">
        <v>211</v>
      </c>
      <c r="E1669" t="s">
        <v>698</v>
      </c>
      <c r="F1669" s="3">
        <v>5850</v>
      </c>
      <c r="G1669" s="3">
        <v>0</v>
      </c>
      <c r="H1669" s="3">
        <v>5850</v>
      </c>
      <c r="I1669" t="s">
        <v>507</v>
      </c>
    </row>
    <row r="1670" spans="1:9" x14ac:dyDescent="0.35">
      <c r="A1670" s="2">
        <v>45427</v>
      </c>
      <c r="B1670">
        <v>83</v>
      </c>
      <c r="C1670">
        <v>2114010</v>
      </c>
      <c r="D1670" t="s">
        <v>48</v>
      </c>
      <c r="E1670" t="s">
        <v>1771</v>
      </c>
      <c r="F1670" s="3">
        <v>5066.8</v>
      </c>
      <c r="G1670" s="3">
        <v>0</v>
      </c>
      <c r="H1670" s="3">
        <v>5066.8</v>
      </c>
      <c r="I1670" t="s">
        <v>507</v>
      </c>
    </row>
    <row r="1671" spans="1:9" x14ac:dyDescent="0.35">
      <c r="A1671" s="2">
        <v>45427</v>
      </c>
      <c r="B1671">
        <v>83</v>
      </c>
      <c r="C1671">
        <v>2114010</v>
      </c>
      <c r="D1671" t="s">
        <v>48</v>
      </c>
      <c r="E1671" t="s">
        <v>1771</v>
      </c>
      <c r="F1671" s="3">
        <v>4000</v>
      </c>
      <c r="G1671" s="3">
        <v>0</v>
      </c>
      <c r="H1671" s="3">
        <v>4000</v>
      </c>
      <c r="I1671" t="s">
        <v>507</v>
      </c>
    </row>
    <row r="1672" spans="1:9" x14ac:dyDescent="0.35">
      <c r="A1672" s="2">
        <v>45427</v>
      </c>
      <c r="B1672">
        <v>83</v>
      </c>
      <c r="C1672">
        <v>1111001</v>
      </c>
      <c r="D1672" t="s">
        <v>16</v>
      </c>
      <c r="E1672" t="s">
        <v>699</v>
      </c>
      <c r="F1672" s="3">
        <v>2000</v>
      </c>
      <c r="G1672" s="3">
        <v>0</v>
      </c>
      <c r="H1672" s="3">
        <v>2000</v>
      </c>
      <c r="I1672" t="s">
        <v>507</v>
      </c>
    </row>
    <row r="1673" spans="1:9" x14ac:dyDescent="0.35">
      <c r="A1673" s="2">
        <v>45427</v>
      </c>
      <c r="B1673">
        <v>83</v>
      </c>
      <c r="C1673">
        <v>2114010</v>
      </c>
      <c r="D1673" t="s">
        <v>48</v>
      </c>
      <c r="E1673" t="s">
        <v>1771</v>
      </c>
      <c r="F1673" s="3">
        <v>4366.3999999999996</v>
      </c>
      <c r="G1673" s="3">
        <v>0</v>
      </c>
      <c r="H1673" s="3">
        <v>4366.3999999999996</v>
      </c>
      <c r="I1673" t="s">
        <v>507</v>
      </c>
    </row>
    <row r="1674" spans="1:9" x14ac:dyDescent="0.35">
      <c r="A1674" s="2">
        <v>45427</v>
      </c>
      <c r="B1674">
        <v>83</v>
      </c>
      <c r="C1674">
        <v>2111002</v>
      </c>
      <c r="D1674" t="s">
        <v>424</v>
      </c>
      <c r="E1674" t="s">
        <v>700</v>
      </c>
      <c r="F1674" s="3">
        <v>11503.77</v>
      </c>
      <c r="G1674" s="3">
        <v>0</v>
      </c>
      <c r="H1674" s="3">
        <v>11503.77</v>
      </c>
      <c r="I1674" t="s">
        <v>507</v>
      </c>
    </row>
    <row r="1675" spans="1:9" x14ac:dyDescent="0.35">
      <c r="A1675" s="2">
        <v>45427</v>
      </c>
      <c r="B1675">
        <v>83</v>
      </c>
      <c r="C1675">
        <v>2114010</v>
      </c>
      <c r="D1675" t="s">
        <v>48</v>
      </c>
      <c r="E1675" t="s">
        <v>1771</v>
      </c>
      <c r="F1675" s="3">
        <v>5066.8</v>
      </c>
      <c r="G1675" s="3">
        <v>0</v>
      </c>
      <c r="H1675" s="3">
        <v>5066.8</v>
      </c>
      <c r="I1675" t="s">
        <v>507</v>
      </c>
    </row>
    <row r="1676" spans="1:9" x14ac:dyDescent="0.35">
      <c r="A1676" s="2">
        <v>45427</v>
      </c>
      <c r="B1676">
        <v>83</v>
      </c>
      <c r="C1676">
        <v>1112002</v>
      </c>
      <c r="D1676" t="s">
        <v>21</v>
      </c>
      <c r="E1676" t="s">
        <v>613</v>
      </c>
      <c r="F1676" s="3">
        <v>0</v>
      </c>
      <c r="G1676" s="3">
        <v>117140.8</v>
      </c>
      <c r="H1676" s="3">
        <v>-117140.8</v>
      </c>
      <c r="I1676" t="s">
        <v>507</v>
      </c>
    </row>
    <row r="1677" spans="1:9" x14ac:dyDescent="0.35">
      <c r="A1677" s="2">
        <v>45427</v>
      </c>
      <c r="B1677">
        <v>83</v>
      </c>
      <c r="C1677">
        <v>1112002</v>
      </c>
      <c r="D1677" t="s">
        <v>21</v>
      </c>
      <c r="E1677" t="s">
        <v>614</v>
      </c>
      <c r="F1677" s="3">
        <v>117150.23</v>
      </c>
      <c r="G1677" s="3">
        <v>0</v>
      </c>
      <c r="H1677" s="3">
        <v>117150.23</v>
      </c>
      <c r="I1677" t="s">
        <v>507</v>
      </c>
    </row>
    <row r="1678" spans="1:9" x14ac:dyDescent="0.35">
      <c r="A1678" s="2">
        <v>45427</v>
      </c>
      <c r="B1678">
        <v>83</v>
      </c>
      <c r="C1678">
        <v>1111001</v>
      </c>
      <c r="D1678" t="s">
        <v>16</v>
      </c>
      <c r="E1678" t="s">
        <v>701</v>
      </c>
      <c r="F1678" s="3">
        <v>0</v>
      </c>
      <c r="G1678" s="3">
        <v>190</v>
      </c>
      <c r="H1678" s="3">
        <v>-190</v>
      </c>
      <c r="I1678" t="s">
        <v>507</v>
      </c>
    </row>
    <row r="1679" spans="1:9" x14ac:dyDescent="0.35">
      <c r="A1679" s="2">
        <v>45427</v>
      </c>
      <c r="B1679">
        <v>83</v>
      </c>
      <c r="C1679">
        <v>1111001</v>
      </c>
      <c r="D1679" t="s">
        <v>16</v>
      </c>
      <c r="E1679" t="s">
        <v>137</v>
      </c>
      <c r="F1679" s="3">
        <v>0</v>
      </c>
      <c r="G1679" s="3">
        <v>92248.59</v>
      </c>
      <c r="H1679" s="3">
        <v>-92248.59</v>
      </c>
      <c r="I1679" t="s">
        <v>507</v>
      </c>
    </row>
    <row r="1680" spans="1:9" x14ac:dyDescent="0.35">
      <c r="A1680" s="2">
        <v>45427</v>
      </c>
      <c r="B1680">
        <v>83</v>
      </c>
      <c r="C1680">
        <v>4141003</v>
      </c>
      <c r="D1680" t="s">
        <v>141</v>
      </c>
      <c r="E1680" t="s">
        <v>142</v>
      </c>
      <c r="F1680" s="3">
        <v>0</v>
      </c>
      <c r="G1680" s="3">
        <v>300.13</v>
      </c>
      <c r="H1680" s="3">
        <v>-300.13</v>
      </c>
      <c r="I1680" t="s">
        <v>507</v>
      </c>
    </row>
    <row r="1681" spans="1:9" x14ac:dyDescent="0.35">
      <c r="A1681" s="2">
        <v>45427</v>
      </c>
      <c r="B1681">
        <v>83</v>
      </c>
      <c r="C1681">
        <v>1111001</v>
      </c>
      <c r="D1681" t="s">
        <v>16</v>
      </c>
      <c r="E1681" t="s">
        <v>702</v>
      </c>
      <c r="F1681" s="3">
        <v>0</v>
      </c>
      <c r="G1681" s="3">
        <v>18211.509999999998</v>
      </c>
      <c r="H1681" s="3">
        <v>-18211.509999999998</v>
      </c>
      <c r="I1681" t="s">
        <v>507</v>
      </c>
    </row>
    <row r="1682" spans="1:9" x14ac:dyDescent="0.35">
      <c r="A1682" s="2">
        <v>45427</v>
      </c>
      <c r="B1682">
        <v>83</v>
      </c>
      <c r="C1682">
        <v>1111001</v>
      </c>
      <c r="D1682" t="s">
        <v>16</v>
      </c>
      <c r="E1682" t="s">
        <v>305</v>
      </c>
      <c r="F1682" s="3">
        <v>0</v>
      </c>
      <c r="G1682" s="3">
        <v>2000</v>
      </c>
      <c r="H1682" s="3">
        <v>-2000</v>
      </c>
      <c r="I1682" t="s">
        <v>507</v>
      </c>
    </row>
    <row r="1683" spans="1:9" x14ac:dyDescent="0.35">
      <c r="A1683" s="2">
        <v>45427</v>
      </c>
      <c r="B1683">
        <v>83</v>
      </c>
      <c r="C1683">
        <v>1111001</v>
      </c>
      <c r="D1683" t="s">
        <v>16</v>
      </c>
      <c r="E1683" t="s">
        <v>703</v>
      </c>
      <c r="F1683" s="3">
        <v>0</v>
      </c>
      <c r="G1683" s="3">
        <v>4200</v>
      </c>
      <c r="H1683" s="3">
        <v>-4200</v>
      </c>
      <c r="I1683" t="s">
        <v>507</v>
      </c>
    </row>
    <row r="1684" spans="1:9" x14ac:dyDescent="0.35">
      <c r="A1684" s="2">
        <v>45427</v>
      </c>
      <c r="B1684">
        <v>83</v>
      </c>
      <c r="C1684">
        <v>5131006</v>
      </c>
      <c r="D1684" t="s">
        <v>125</v>
      </c>
      <c r="E1684" t="s">
        <v>704</v>
      </c>
      <c r="F1684" s="3">
        <v>2160</v>
      </c>
      <c r="G1684" s="3">
        <v>0</v>
      </c>
      <c r="H1684" s="3">
        <v>2160</v>
      </c>
      <c r="I1684" t="s">
        <v>144</v>
      </c>
    </row>
    <row r="1685" spans="1:9" x14ac:dyDescent="0.35">
      <c r="A1685" s="2">
        <v>45427</v>
      </c>
      <c r="B1685">
        <v>83</v>
      </c>
      <c r="C1685">
        <v>2114001</v>
      </c>
      <c r="D1685" t="s">
        <v>97</v>
      </c>
      <c r="E1685" t="s">
        <v>704</v>
      </c>
      <c r="F1685" s="3">
        <v>0</v>
      </c>
      <c r="G1685" s="3">
        <v>2160</v>
      </c>
      <c r="H1685" s="3">
        <v>-2160</v>
      </c>
      <c r="I1685" t="s">
        <v>144</v>
      </c>
    </row>
    <row r="1686" spans="1:9" x14ac:dyDescent="0.35">
      <c r="A1686" s="2">
        <v>45427</v>
      </c>
      <c r="B1686">
        <v>83</v>
      </c>
      <c r="C1686">
        <v>5131006</v>
      </c>
      <c r="D1686" t="s">
        <v>125</v>
      </c>
      <c r="E1686" t="s">
        <v>705</v>
      </c>
      <c r="F1686" s="3">
        <v>24803.279999999999</v>
      </c>
      <c r="G1686" s="3">
        <v>0</v>
      </c>
      <c r="H1686" s="3">
        <v>24803.279999999999</v>
      </c>
      <c r="I1686" t="s">
        <v>438</v>
      </c>
    </row>
    <row r="1687" spans="1:9" x14ac:dyDescent="0.35">
      <c r="A1687" s="2">
        <v>45427</v>
      </c>
      <c r="B1687">
        <v>83</v>
      </c>
      <c r="C1687">
        <v>2161001</v>
      </c>
      <c r="D1687" t="s">
        <v>93</v>
      </c>
      <c r="E1687" t="s">
        <v>705</v>
      </c>
      <c r="F1687" s="3">
        <v>3963.52</v>
      </c>
      <c r="G1687" s="3">
        <v>0</v>
      </c>
      <c r="H1687" s="3">
        <v>3963.52</v>
      </c>
      <c r="I1687" t="s">
        <v>438</v>
      </c>
    </row>
    <row r="1688" spans="1:9" x14ac:dyDescent="0.35">
      <c r="A1688" s="2">
        <v>45427</v>
      </c>
      <c r="B1688">
        <v>83</v>
      </c>
      <c r="C1688">
        <v>2114010</v>
      </c>
      <c r="D1688" t="s">
        <v>48</v>
      </c>
      <c r="E1688" t="s">
        <v>705</v>
      </c>
      <c r="F1688" s="3">
        <v>0</v>
      </c>
      <c r="G1688" s="3">
        <v>28766.799999999999</v>
      </c>
      <c r="H1688" s="3">
        <v>-28766.799999999999</v>
      </c>
      <c r="I1688" t="s">
        <v>438</v>
      </c>
    </row>
    <row r="1689" spans="1:9" x14ac:dyDescent="0.35">
      <c r="A1689" s="2">
        <v>45427</v>
      </c>
      <c r="B1689">
        <v>83</v>
      </c>
      <c r="C1689">
        <v>2114010</v>
      </c>
      <c r="D1689" t="s">
        <v>48</v>
      </c>
      <c r="E1689" t="s">
        <v>706</v>
      </c>
      <c r="F1689" s="3">
        <v>6231.15</v>
      </c>
      <c r="G1689" s="3">
        <v>0</v>
      </c>
      <c r="H1689" s="3">
        <v>6231.15</v>
      </c>
      <c r="I1689" t="s">
        <v>144</v>
      </c>
    </row>
    <row r="1690" spans="1:9" x14ac:dyDescent="0.35">
      <c r="A1690" s="2">
        <v>45427</v>
      </c>
      <c r="B1690">
        <v>83</v>
      </c>
      <c r="C1690">
        <v>2114001</v>
      </c>
      <c r="D1690" t="s">
        <v>97</v>
      </c>
      <c r="E1690" t="s">
        <v>706</v>
      </c>
      <c r="F1690" s="3">
        <v>0</v>
      </c>
      <c r="G1690" s="3">
        <v>6231.15</v>
      </c>
      <c r="H1690" s="3">
        <v>-6231.15</v>
      </c>
      <c r="I1690" t="s">
        <v>144</v>
      </c>
    </row>
    <row r="1691" spans="1:9" x14ac:dyDescent="0.35">
      <c r="A1691" s="2">
        <v>45443</v>
      </c>
      <c r="B1691">
        <v>84</v>
      </c>
      <c r="C1691">
        <v>6121023</v>
      </c>
      <c r="D1691" t="s">
        <v>49</v>
      </c>
      <c r="E1691" t="s">
        <v>166</v>
      </c>
      <c r="F1691" s="3">
        <v>452.94</v>
      </c>
      <c r="G1691" s="3">
        <v>0</v>
      </c>
      <c r="H1691" s="3">
        <v>452.94</v>
      </c>
      <c r="I1691" t="s">
        <v>707</v>
      </c>
    </row>
    <row r="1692" spans="1:9" x14ac:dyDescent="0.35">
      <c r="A1692" s="2">
        <v>45443</v>
      </c>
      <c r="B1692">
        <v>84</v>
      </c>
      <c r="C1692">
        <v>6121046</v>
      </c>
      <c r="D1692" t="s">
        <v>94</v>
      </c>
      <c r="E1692" t="s">
        <v>166</v>
      </c>
      <c r="F1692" s="3">
        <v>10.95</v>
      </c>
      <c r="G1692" s="3">
        <v>0</v>
      </c>
      <c r="H1692" s="3">
        <v>10.95</v>
      </c>
      <c r="I1692" t="s">
        <v>707</v>
      </c>
    </row>
    <row r="1693" spans="1:9" x14ac:dyDescent="0.35">
      <c r="A1693" s="2">
        <v>45443</v>
      </c>
      <c r="B1693">
        <v>84</v>
      </c>
      <c r="C1693">
        <v>2114010</v>
      </c>
      <c r="D1693" t="s">
        <v>48</v>
      </c>
      <c r="E1693" t="s">
        <v>166</v>
      </c>
      <c r="F1693" s="3">
        <v>0</v>
      </c>
      <c r="G1693" s="3">
        <v>10.95</v>
      </c>
      <c r="H1693" s="3">
        <v>-10.95</v>
      </c>
      <c r="I1693" t="s">
        <v>707</v>
      </c>
    </row>
    <row r="1694" spans="1:9" x14ac:dyDescent="0.35">
      <c r="A1694" s="2">
        <v>45443</v>
      </c>
      <c r="B1694">
        <v>84</v>
      </c>
      <c r="C1694">
        <v>2114010</v>
      </c>
      <c r="D1694" t="s">
        <v>48</v>
      </c>
      <c r="E1694" t="s">
        <v>166</v>
      </c>
      <c r="F1694" s="3">
        <v>0</v>
      </c>
      <c r="G1694" s="3">
        <v>452.94</v>
      </c>
      <c r="H1694" s="3">
        <v>-452.94</v>
      </c>
      <c r="I1694" t="s">
        <v>707</v>
      </c>
    </row>
    <row r="1695" spans="1:9" x14ac:dyDescent="0.35">
      <c r="A1695" s="2">
        <v>45443</v>
      </c>
      <c r="B1695">
        <v>84</v>
      </c>
      <c r="C1695">
        <v>6121027</v>
      </c>
      <c r="D1695" t="s">
        <v>45</v>
      </c>
      <c r="E1695" t="s">
        <v>46</v>
      </c>
      <c r="F1695" s="3">
        <v>199.68</v>
      </c>
      <c r="G1695" s="3">
        <v>0</v>
      </c>
      <c r="H1695" s="3">
        <v>199.68</v>
      </c>
      <c r="I1695" t="s">
        <v>708</v>
      </c>
    </row>
    <row r="1696" spans="1:9" x14ac:dyDescent="0.35">
      <c r="A1696" s="2">
        <v>45443</v>
      </c>
      <c r="B1696">
        <v>84</v>
      </c>
      <c r="C1696">
        <v>2114010</v>
      </c>
      <c r="D1696" t="s">
        <v>48</v>
      </c>
      <c r="E1696" t="s">
        <v>46</v>
      </c>
      <c r="F1696" s="3">
        <v>0</v>
      </c>
      <c r="G1696" s="3">
        <v>199.68</v>
      </c>
      <c r="H1696" s="3">
        <v>-199.68</v>
      </c>
      <c r="I1696" t="s">
        <v>708</v>
      </c>
    </row>
    <row r="1697" spans="1:9" x14ac:dyDescent="0.35">
      <c r="A1697" s="2">
        <v>45443</v>
      </c>
      <c r="B1697">
        <v>84</v>
      </c>
      <c r="C1697">
        <v>6121027</v>
      </c>
      <c r="D1697" t="s">
        <v>45</v>
      </c>
      <c r="E1697" t="s">
        <v>257</v>
      </c>
      <c r="F1697" s="3">
        <v>413.09</v>
      </c>
      <c r="G1697" s="3">
        <v>0</v>
      </c>
      <c r="H1697" s="3">
        <v>413.09</v>
      </c>
      <c r="I1697" t="s">
        <v>709</v>
      </c>
    </row>
    <row r="1698" spans="1:9" x14ac:dyDescent="0.35">
      <c r="A1698" s="2">
        <v>45443</v>
      </c>
      <c r="B1698">
        <v>84</v>
      </c>
      <c r="C1698">
        <v>2114010</v>
      </c>
      <c r="D1698" t="s">
        <v>48</v>
      </c>
      <c r="E1698" t="s">
        <v>257</v>
      </c>
      <c r="F1698" s="3">
        <v>0</v>
      </c>
      <c r="G1698" s="3">
        <v>413.09</v>
      </c>
      <c r="H1698" s="3">
        <v>-413.09</v>
      </c>
      <c r="I1698" t="s">
        <v>709</v>
      </c>
    </row>
    <row r="1699" spans="1:9" x14ac:dyDescent="0.35">
      <c r="A1699" s="2">
        <v>45443</v>
      </c>
      <c r="B1699">
        <v>84</v>
      </c>
      <c r="C1699">
        <v>6121027</v>
      </c>
      <c r="D1699" t="s">
        <v>45</v>
      </c>
      <c r="E1699" t="s">
        <v>257</v>
      </c>
      <c r="F1699" s="3">
        <v>163.36000000000001</v>
      </c>
      <c r="G1699" s="3">
        <v>0</v>
      </c>
      <c r="H1699" s="3">
        <v>163.36000000000001</v>
      </c>
      <c r="I1699" t="s">
        <v>710</v>
      </c>
    </row>
    <row r="1700" spans="1:9" x14ac:dyDescent="0.35">
      <c r="A1700" s="2">
        <v>45443</v>
      </c>
      <c r="B1700">
        <v>84</v>
      </c>
      <c r="C1700">
        <v>2114010</v>
      </c>
      <c r="D1700" t="s">
        <v>48</v>
      </c>
      <c r="E1700" t="s">
        <v>257</v>
      </c>
      <c r="F1700" s="3">
        <v>0</v>
      </c>
      <c r="G1700" s="3">
        <v>163.36000000000001</v>
      </c>
      <c r="H1700" s="3">
        <v>-163.36000000000001</v>
      </c>
      <c r="I1700" t="s">
        <v>710</v>
      </c>
    </row>
    <row r="1701" spans="1:9" x14ac:dyDescent="0.35">
      <c r="A1701" s="2">
        <v>45443</v>
      </c>
      <c r="B1701">
        <v>84</v>
      </c>
      <c r="C1701">
        <v>6121023</v>
      </c>
      <c r="D1701" t="s">
        <v>49</v>
      </c>
      <c r="E1701" t="s">
        <v>52</v>
      </c>
      <c r="F1701" s="3">
        <v>185.54</v>
      </c>
      <c r="G1701" s="3">
        <v>0</v>
      </c>
      <c r="H1701" s="3">
        <v>185.54</v>
      </c>
      <c r="I1701" t="s">
        <v>711</v>
      </c>
    </row>
    <row r="1702" spans="1:9" x14ac:dyDescent="0.35">
      <c r="A1702" s="2">
        <v>45443</v>
      </c>
      <c r="B1702">
        <v>84</v>
      </c>
      <c r="C1702">
        <v>6121046</v>
      </c>
      <c r="D1702" t="s">
        <v>94</v>
      </c>
      <c r="E1702" t="s">
        <v>52</v>
      </c>
      <c r="F1702" s="3">
        <v>5.48</v>
      </c>
      <c r="G1702" s="3">
        <v>0</v>
      </c>
      <c r="H1702" s="3">
        <v>5.48</v>
      </c>
      <c r="I1702" t="s">
        <v>711</v>
      </c>
    </row>
    <row r="1703" spans="1:9" x14ac:dyDescent="0.35">
      <c r="A1703" s="2">
        <v>45443</v>
      </c>
      <c r="B1703">
        <v>84</v>
      </c>
      <c r="C1703">
        <v>2114010</v>
      </c>
      <c r="D1703" t="s">
        <v>48</v>
      </c>
      <c r="E1703" t="s">
        <v>52</v>
      </c>
      <c r="F1703" s="3">
        <v>0</v>
      </c>
      <c r="G1703" s="3">
        <v>5.48</v>
      </c>
      <c r="H1703" s="3">
        <v>-5.48</v>
      </c>
      <c r="I1703" t="s">
        <v>711</v>
      </c>
    </row>
    <row r="1704" spans="1:9" x14ac:dyDescent="0.35">
      <c r="A1704" s="2">
        <v>45443</v>
      </c>
      <c r="B1704">
        <v>84</v>
      </c>
      <c r="C1704">
        <v>2114010</v>
      </c>
      <c r="D1704" t="s">
        <v>48</v>
      </c>
      <c r="E1704" t="s">
        <v>52</v>
      </c>
      <c r="F1704" s="3">
        <v>0</v>
      </c>
      <c r="G1704" s="3">
        <v>185.54</v>
      </c>
      <c r="H1704" s="3">
        <v>-185.54</v>
      </c>
      <c r="I1704" t="s">
        <v>711</v>
      </c>
    </row>
    <row r="1705" spans="1:9" x14ac:dyDescent="0.35">
      <c r="A1705" s="2">
        <v>45443</v>
      </c>
      <c r="B1705">
        <v>84</v>
      </c>
      <c r="C1705">
        <v>6121023</v>
      </c>
      <c r="D1705" t="s">
        <v>49</v>
      </c>
      <c r="E1705" t="s">
        <v>166</v>
      </c>
      <c r="F1705" s="3">
        <v>891.48</v>
      </c>
      <c r="G1705" s="3">
        <v>0</v>
      </c>
      <c r="H1705" s="3">
        <v>891.48</v>
      </c>
      <c r="I1705" t="s">
        <v>712</v>
      </c>
    </row>
    <row r="1706" spans="1:9" x14ac:dyDescent="0.35">
      <c r="A1706" s="2">
        <v>45443</v>
      </c>
      <c r="B1706">
        <v>84</v>
      </c>
      <c r="C1706">
        <v>6121046</v>
      </c>
      <c r="D1706" t="s">
        <v>94</v>
      </c>
      <c r="E1706" t="s">
        <v>166</v>
      </c>
      <c r="F1706" s="3">
        <v>26.74</v>
      </c>
      <c r="G1706" s="3">
        <v>0</v>
      </c>
      <c r="H1706" s="3">
        <v>26.74</v>
      </c>
      <c r="I1706" t="s">
        <v>712</v>
      </c>
    </row>
    <row r="1707" spans="1:9" x14ac:dyDescent="0.35">
      <c r="A1707" s="2">
        <v>45443</v>
      </c>
      <c r="B1707">
        <v>84</v>
      </c>
      <c r="C1707">
        <v>2114010</v>
      </c>
      <c r="D1707" t="s">
        <v>48</v>
      </c>
      <c r="E1707" t="s">
        <v>166</v>
      </c>
      <c r="F1707" s="3">
        <v>0</v>
      </c>
      <c r="G1707" s="3">
        <v>26.74</v>
      </c>
      <c r="H1707" s="3">
        <v>-26.74</v>
      </c>
      <c r="I1707" t="s">
        <v>712</v>
      </c>
    </row>
    <row r="1708" spans="1:9" x14ac:dyDescent="0.35">
      <c r="A1708" s="2">
        <v>45443</v>
      </c>
      <c r="B1708">
        <v>84</v>
      </c>
      <c r="C1708">
        <v>2114010</v>
      </c>
      <c r="D1708" t="s">
        <v>48</v>
      </c>
      <c r="E1708" t="s">
        <v>166</v>
      </c>
      <c r="F1708" s="3">
        <v>0</v>
      </c>
      <c r="G1708" s="3">
        <v>891.48</v>
      </c>
      <c r="H1708" s="3">
        <v>-891.48</v>
      </c>
      <c r="I1708" t="s">
        <v>712</v>
      </c>
    </row>
    <row r="1709" spans="1:9" x14ac:dyDescent="0.35">
      <c r="A1709" s="2">
        <v>45443</v>
      </c>
      <c r="B1709">
        <v>84</v>
      </c>
      <c r="C1709">
        <v>6121023</v>
      </c>
      <c r="D1709" t="s">
        <v>49</v>
      </c>
      <c r="E1709" t="s">
        <v>159</v>
      </c>
      <c r="F1709" s="3">
        <v>246.51</v>
      </c>
      <c r="G1709" s="3">
        <v>0</v>
      </c>
      <c r="H1709" s="3">
        <v>246.51</v>
      </c>
      <c r="I1709" t="s">
        <v>713</v>
      </c>
    </row>
    <row r="1710" spans="1:9" x14ac:dyDescent="0.35">
      <c r="A1710" s="2">
        <v>45443</v>
      </c>
      <c r="B1710">
        <v>84</v>
      </c>
      <c r="C1710">
        <v>2114010</v>
      </c>
      <c r="D1710" t="s">
        <v>48</v>
      </c>
      <c r="E1710" t="s">
        <v>159</v>
      </c>
      <c r="F1710" s="3">
        <v>0</v>
      </c>
      <c r="G1710" s="3">
        <v>246.51</v>
      </c>
      <c r="H1710" s="3">
        <v>-246.51</v>
      </c>
      <c r="I1710" t="s">
        <v>713</v>
      </c>
    </row>
    <row r="1711" spans="1:9" x14ac:dyDescent="0.35">
      <c r="A1711" s="2">
        <v>45443</v>
      </c>
      <c r="B1711">
        <v>84</v>
      </c>
      <c r="C1711">
        <v>6121016</v>
      </c>
      <c r="D1711" t="s">
        <v>156</v>
      </c>
      <c r="E1711" t="s">
        <v>157</v>
      </c>
      <c r="F1711" s="3">
        <v>1271.5899999999999</v>
      </c>
      <c r="G1711" s="3">
        <v>0</v>
      </c>
      <c r="H1711" s="3">
        <v>1271.5899999999999</v>
      </c>
      <c r="I1711" t="s">
        <v>714</v>
      </c>
    </row>
    <row r="1712" spans="1:9" x14ac:dyDescent="0.35">
      <c r="A1712" s="2">
        <v>45443</v>
      </c>
      <c r="B1712">
        <v>84</v>
      </c>
      <c r="C1712">
        <v>2114010</v>
      </c>
      <c r="D1712" t="s">
        <v>48</v>
      </c>
      <c r="E1712" t="s">
        <v>157</v>
      </c>
      <c r="F1712" s="3">
        <v>0</v>
      </c>
      <c r="G1712" s="3">
        <v>1271.5899999999999</v>
      </c>
      <c r="H1712" s="3">
        <v>-1271.5899999999999</v>
      </c>
      <c r="I1712" t="s">
        <v>714</v>
      </c>
    </row>
    <row r="1713" spans="1:9" x14ac:dyDescent="0.35">
      <c r="A1713" s="2">
        <v>45443</v>
      </c>
      <c r="B1713">
        <v>84</v>
      </c>
      <c r="C1713">
        <v>6121027</v>
      </c>
      <c r="D1713" t="s">
        <v>45</v>
      </c>
      <c r="E1713" t="s">
        <v>46</v>
      </c>
      <c r="F1713" s="3">
        <v>159.69999999999999</v>
      </c>
      <c r="G1713" s="3">
        <v>0</v>
      </c>
      <c r="H1713" s="3">
        <v>159.69999999999999</v>
      </c>
      <c r="I1713" t="s">
        <v>715</v>
      </c>
    </row>
    <row r="1714" spans="1:9" x14ac:dyDescent="0.35">
      <c r="A1714" s="2">
        <v>45443</v>
      </c>
      <c r="B1714">
        <v>84</v>
      </c>
      <c r="C1714">
        <v>2114010</v>
      </c>
      <c r="D1714" t="s">
        <v>48</v>
      </c>
      <c r="E1714" t="s">
        <v>46</v>
      </c>
      <c r="F1714" s="3">
        <v>0</v>
      </c>
      <c r="G1714" s="3">
        <v>159.69999999999999</v>
      </c>
      <c r="H1714" s="3">
        <v>-159.69999999999999</v>
      </c>
      <c r="I1714" t="s">
        <v>715</v>
      </c>
    </row>
    <row r="1715" spans="1:9" x14ac:dyDescent="0.35">
      <c r="A1715" s="2">
        <v>45443</v>
      </c>
      <c r="B1715">
        <v>84</v>
      </c>
      <c r="C1715">
        <v>6121023</v>
      </c>
      <c r="D1715" t="s">
        <v>49</v>
      </c>
      <c r="E1715" t="s">
        <v>52</v>
      </c>
      <c r="F1715" s="3">
        <v>67.41</v>
      </c>
      <c r="G1715" s="3">
        <v>0</v>
      </c>
      <c r="H1715" s="3">
        <v>67.41</v>
      </c>
      <c r="I1715" t="s">
        <v>716</v>
      </c>
    </row>
    <row r="1716" spans="1:9" x14ac:dyDescent="0.35">
      <c r="A1716" s="2">
        <v>45443</v>
      </c>
      <c r="B1716">
        <v>84</v>
      </c>
      <c r="C1716">
        <v>2114010</v>
      </c>
      <c r="D1716" t="s">
        <v>48</v>
      </c>
      <c r="E1716" t="s">
        <v>52</v>
      </c>
      <c r="F1716" s="3">
        <v>0</v>
      </c>
      <c r="G1716" s="3">
        <v>67.41</v>
      </c>
      <c r="H1716" s="3">
        <v>-67.41</v>
      </c>
      <c r="I1716" t="s">
        <v>716</v>
      </c>
    </row>
    <row r="1717" spans="1:9" x14ac:dyDescent="0.35">
      <c r="A1717" s="2">
        <v>45443</v>
      </c>
      <c r="B1717">
        <v>84</v>
      </c>
      <c r="C1717">
        <v>6121023</v>
      </c>
      <c r="D1717" t="s">
        <v>49</v>
      </c>
      <c r="E1717" t="s">
        <v>166</v>
      </c>
      <c r="F1717" s="3">
        <v>410.13</v>
      </c>
      <c r="G1717" s="3">
        <v>0</v>
      </c>
      <c r="H1717" s="3">
        <v>410.13</v>
      </c>
      <c r="I1717" t="s">
        <v>717</v>
      </c>
    </row>
    <row r="1718" spans="1:9" x14ac:dyDescent="0.35">
      <c r="A1718" s="2">
        <v>45443</v>
      </c>
      <c r="B1718">
        <v>84</v>
      </c>
      <c r="C1718">
        <v>2114010</v>
      </c>
      <c r="D1718" t="s">
        <v>48</v>
      </c>
      <c r="E1718" t="s">
        <v>166</v>
      </c>
      <c r="F1718" s="3">
        <v>0</v>
      </c>
      <c r="G1718" s="3">
        <v>410.13</v>
      </c>
      <c r="H1718" s="3">
        <v>-410.13</v>
      </c>
      <c r="I1718" t="s">
        <v>717</v>
      </c>
    </row>
    <row r="1719" spans="1:9" x14ac:dyDescent="0.35">
      <c r="A1719" s="2">
        <v>45443</v>
      </c>
      <c r="B1719">
        <v>84</v>
      </c>
      <c r="C1719">
        <v>6121023</v>
      </c>
      <c r="D1719" t="s">
        <v>49</v>
      </c>
      <c r="E1719" t="s">
        <v>161</v>
      </c>
      <c r="F1719" s="3">
        <v>444.01</v>
      </c>
      <c r="G1719" s="3">
        <v>0</v>
      </c>
      <c r="H1719" s="3">
        <v>444.01</v>
      </c>
      <c r="I1719" t="s">
        <v>718</v>
      </c>
    </row>
    <row r="1720" spans="1:9" x14ac:dyDescent="0.35">
      <c r="A1720" s="2">
        <v>45443</v>
      </c>
      <c r="B1720">
        <v>84</v>
      </c>
      <c r="C1720">
        <v>6121046</v>
      </c>
      <c r="D1720" t="s">
        <v>94</v>
      </c>
      <c r="E1720" t="s">
        <v>161</v>
      </c>
      <c r="F1720" s="3">
        <v>10.99</v>
      </c>
      <c r="G1720" s="3">
        <v>0</v>
      </c>
      <c r="H1720" s="3">
        <v>10.99</v>
      </c>
      <c r="I1720" t="s">
        <v>718</v>
      </c>
    </row>
    <row r="1721" spans="1:9" x14ac:dyDescent="0.35">
      <c r="A1721" s="2">
        <v>45443</v>
      </c>
      <c r="B1721">
        <v>84</v>
      </c>
      <c r="C1721">
        <v>2114010</v>
      </c>
      <c r="D1721" t="s">
        <v>48</v>
      </c>
      <c r="E1721" t="s">
        <v>161</v>
      </c>
      <c r="F1721" s="3">
        <v>0</v>
      </c>
      <c r="G1721" s="3">
        <v>10.99</v>
      </c>
      <c r="H1721" s="3">
        <v>-10.99</v>
      </c>
      <c r="I1721" t="s">
        <v>718</v>
      </c>
    </row>
    <row r="1722" spans="1:9" x14ac:dyDescent="0.35">
      <c r="A1722" s="2">
        <v>45443</v>
      </c>
      <c r="B1722">
        <v>84</v>
      </c>
      <c r="C1722">
        <v>2114010</v>
      </c>
      <c r="D1722" t="s">
        <v>48</v>
      </c>
      <c r="E1722" t="s">
        <v>161</v>
      </c>
      <c r="F1722" s="3">
        <v>0</v>
      </c>
      <c r="G1722" s="3">
        <v>444.01</v>
      </c>
      <c r="H1722" s="3">
        <v>-444.01</v>
      </c>
      <c r="I1722" t="s">
        <v>718</v>
      </c>
    </row>
    <row r="1723" spans="1:9" x14ac:dyDescent="0.35">
      <c r="A1723" s="2">
        <v>45443</v>
      </c>
      <c r="B1723">
        <v>84</v>
      </c>
      <c r="C1723">
        <v>6121023</v>
      </c>
      <c r="D1723" t="s">
        <v>49</v>
      </c>
      <c r="E1723" t="s">
        <v>159</v>
      </c>
      <c r="F1723" s="3">
        <v>278.08999999999997</v>
      </c>
      <c r="G1723" s="3">
        <v>0</v>
      </c>
      <c r="H1723" s="3">
        <v>278.08999999999997</v>
      </c>
      <c r="I1723" t="s">
        <v>719</v>
      </c>
    </row>
    <row r="1724" spans="1:9" x14ac:dyDescent="0.35">
      <c r="A1724" s="2">
        <v>45443</v>
      </c>
      <c r="B1724">
        <v>84</v>
      </c>
      <c r="C1724">
        <v>2114010</v>
      </c>
      <c r="D1724" t="s">
        <v>48</v>
      </c>
      <c r="E1724" t="s">
        <v>159</v>
      </c>
      <c r="F1724" s="3">
        <v>0</v>
      </c>
      <c r="G1724" s="3">
        <v>278.08999999999997</v>
      </c>
      <c r="H1724" s="3">
        <v>-278.08999999999997</v>
      </c>
      <c r="I1724" t="s">
        <v>719</v>
      </c>
    </row>
    <row r="1725" spans="1:9" x14ac:dyDescent="0.35">
      <c r="A1725" s="2">
        <v>45443</v>
      </c>
      <c r="B1725">
        <v>84</v>
      </c>
      <c r="C1725">
        <v>4112003</v>
      </c>
      <c r="D1725" t="s">
        <v>58</v>
      </c>
      <c r="E1725" t="s">
        <v>59</v>
      </c>
      <c r="F1725" s="3">
        <v>0</v>
      </c>
      <c r="G1725" s="3">
        <v>5086.82</v>
      </c>
      <c r="H1725" s="3">
        <v>-5086.82</v>
      </c>
      <c r="I1725" t="s">
        <v>720</v>
      </c>
    </row>
    <row r="1726" spans="1:9" x14ac:dyDescent="0.35">
      <c r="A1726" s="2">
        <v>45443</v>
      </c>
      <c r="B1726">
        <v>84</v>
      </c>
      <c r="C1726">
        <v>2121001</v>
      </c>
      <c r="D1726" t="s">
        <v>27</v>
      </c>
      <c r="E1726" t="s">
        <v>59</v>
      </c>
      <c r="F1726" s="3">
        <v>0</v>
      </c>
      <c r="G1726" s="3">
        <v>813.89</v>
      </c>
      <c r="H1726" s="3">
        <v>-813.89</v>
      </c>
      <c r="I1726" t="s">
        <v>720</v>
      </c>
    </row>
    <row r="1727" spans="1:9" x14ac:dyDescent="0.35">
      <c r="A1727" s="2">
        <v>45443</v>
      </c>
      <c r="B1727">
        <v>84</v>
      </c>
      <c r="C1727">
        <v>1111001</v>
      </c>
      <c r="D1727" t="s">
        <v>16</v>
      </c>
      <c r="E1727" t="s">
        <v>59</v>
      </c>
      <c r="F1727" s="3">
        <v>5900.71</v>
      </c>
      <c r="G1727" s="3">
        <v>0</v>
      </c>
      <c r="H1727" s="3">
        <v>5900.71</v>
      </c>
      <c r="I1727" t="s">
        <v>720</v>
      </c>
    </row>
    <row r="1728" spans="1:9" x14ac:dyDescent="0.35">
      <c r="A1728" s="2">
        <v>45443</v>
      </c>
      <c r="B1728">
        <v>84</v>
      </c>
      <c r="C1728">
        <v>4112003</v>
      </c>
      <c r="D1728" t="s">
        <v>58</v>
      </c>
      <c r="E1728" t="s">
        <v>59</v>
      </c>
      <c r="F1728" s="3">
        <v>0</v>
      </c>
      <c r="G1728" s="3">
        <v>7069.55</v>
      </c>
      <c r="H1728" s="3">
        <v>-7069.55</v>
      </c>
      <c r="I1728" t="s">
        <v>721</v>
      </c>
    </row>
    <row r="1729" spans="1:9" x14ac:dyDescent="0.35">
      <c r="A1729" s="2">
        <v>45443</v>
      </c>
      <c r="B1729">
        <v>84</v>
      </c>
      <c r="C1729">
        <v>2121001</v>
      </c>
      <c r="D1729" t="s">
        <v>27</v>
      </c>
      <c r="E1729" t="s">
        <v>59</v>
      </c>
      <c r="F1729" s="3">
        <v>0</v>
      </c>
      <c r="G1729" s="3">
        <v>1131.1300000000001</v>
      </c>
      <c r="H1729" s="3">
        <v>-1131.1300000000001</v>
      </c>
      <c r="I1729" t="s">
        <v>721</v>
      </c>
    </row>
    <row r="1730" spans="1:9" x14ac:dyDescent="0.35">
      <c r="A1730" s="2">
        <v>45443</v>
      </c>
      <c r="B1730">
        <v>84</v>
      </c>
      <c r="C1730">
        <v>1111001</v>
      </c>
      <c r="D1730" t="s">
        <v>16</v>
      </c>
      <c r="E1730" t="s">
        <v>59</v>
      </c>
      <c r="F1730" s="3">
        <v>8200.68</v>
      </c>
      <c r="G1730" s="3">
        <v>0</v>
      </c>
      <c r="H1730" s="3">
        <v>8200.68</v>
      </c>
      <c r="I1730" t="s">
        <v>721</v>
      </c>
    </row>
    <row r="1731" spans="1:9" x14ac:dyDescent="0.35">
      <c r="A1731" s="2">
        <v>45443</v>
      </c>
      <c r="B1731">
        <v>84</v>
      </c>
      <c r="C1731">
        <v>4112003</v>
      </c>
      <c r="D1731" t="s">
        <v>58</v>
      </c>
      <c r="E1731" t="s">
        <v>59</v>
      </c>
      <c r="F1731" s="3">
        <v>0</v>
      </c>
      <c r="G1731" s="3">
        <v>4396.87</v>
      </c>
      <c r="H1731" s="3">
        <v>-4396.87</v>
      </c>
      <c r="I1731" t="s">
        <v>722</v>
      </c>
    </row>
    <row r="1732" spans="1:9" x14ac:dyDescent="0.35">
      <c r="A1732" s="2">
        <v>45443</v>
      </c>
      <c r="B1732">
        <v>84</v>
      </c>
      <c r="C1732">
        <v>2121001</v>
      </c>
      <c r="D1732" t="s">
        <v>27</v>
      </c>
      <c r="E1732" t="s">
        <v>59</v>
      </c>
      <c r="F1732" s="3">
        <v>0</v>
      </c>
      <c r="G1732" s="3">
        <v>703.5</v>
      </c>
      <c r="H1732" s="3">
        <v>-703.5</v>
      </c>
      <c r="I1732" t="s">
        <v>722</v>
      </c>
    </row>
    <row r="1733" spans="1:9" x14ac:dyDescent="0.35">
      <c r="A1733" s="2">
        <v>45443</v>
      </c>
      <c r="B1733">
        <v>84</v>
      </c>
      <c r="C1733">
        <v>1111001</v>
      </c>
      <c r="D1733" t="s">
        <v>16</v>
      </c>
      <c r="E1733" t="s">
        <v>59</v>
      </c>
      <c r="F1733" s="3">
        <v>5100.37</v>
      </c>
      <c r="G1733" s="3">
        <v>0</v>
      </c>
      <c r="H1733" s="3">
        <v>5100.37</v>
      </c>
      <c r="I1733" t="s">
        <v>722</v>
      </c>
    </row>
    <row r="1734" spans="1:9" x14ac:dyDescent="0.35">
      <c r="A1734" s="2">
        <v>45443</v>
      </c>
      <c r="B1734">
        <v>84</v>
      </c>
      <c r="C1734">
        <v>4112003</v>
      </c>
      <c r="D1734" t="s">
        <v>58</v>
      </c>
      <c r="E1734" t="s">
        <v>59</v>
      </c>
      <c r="F1734" s="3">
        <v>0</v>
      </c>
      <c r="G1734" s="3">
        <v>3017.42</v>
      </c>
      <c r="H1734" s="3">
        <v>-3017.42</v>
      </c>
      <c r="I1734" t="s">
        <v>723</v>
      </c>
    </row>
    <row r="1735" spans="1:9" x14ac:dyDescent="0.35">
      <c r="A1735" s="2">
        <v>45443</v>
      </c>
      <c r="B1735">
        <v>84</v>
      </c>
      <c r="C1735">
        <v>2121001</v>
      </c>
      <c r="D1735" t="s">
        <v>27</v>
      </c>
      <c r="E1735" t="s">
        <v>59</v>
      </c>
      <c r="F1735" s="3">
        <v>0</v>
      </c>
      <c r="G1735" s="3">
        <v>482.79</v>
      </c>
      <c r="H1735" s="3">
        <v>-482.79</v>
      </c>
      <c r="I1735" t="s">
        <v>723</v>
      </c>
    </row>
    <row r="1736" spans="1:9" x14ac:dyDescent="0.35">
      <c r="A1736" s="2">
        <v>45443</v>
      </c>
      <c r="B1736">
        <v>84</v>
      </c>
      <c r="C1736">
        <v>1111001</v>
      </c>
      <c r="D1736" t="s">
        <v>16</v>
      </c>
      <c r="E1736" t="s">
        <v>59</v>
      </c>
      <c r="F1736" s="3">
        <v>3500.21</v>
      </c>
      <c r="G1736" s="3">
        <v>0</v>
      </c>
      <c r="H1736" s="3">
        <v>3500.21</v>
      </c>
      <c r="I1736" t="s">
        <v>723</v>
      </c>
    </row>
    <row r="1737" spans="1:9" x14ac:dyDescent="0.35">
      <c r="A1737" s="2">
        <v>45443</v>
      </c>
      <c r="B1737">
        <v>84</v>
      </c>
      <c r="C1737">
        <v>4112003</v>
      </c>
      <c r="D1737" t="s">
        <v>58</v>
      </c>
      <c r="E1737" t="s">
        <v>59</v>
      </c>
      <c r="F1737" s="3">
        <v>0</v>
      </c>
      <c r="G1737" s="3">
        <v>4397.1099999999997</v>
      </c>
      <c r="H1737" s="3">
        <v>-4397.1099999999997</v>
      </c>
      <c r="I1737" t="s">
        <v>724</v>
      </c>
    </row>
    <row r="1738" spans="1:9" x14ac:dyDescent="0.35">
      <c r="A1738" s="2">
        <v>45443</v>
      </c>
      <c r="B1738">
        <v>84</v>
      </c>
      <c r="C1738">
        <v>2121001</v>
      </c>
      <c r="D1738" t="s">
        <v>27</v>
      </c>
      <c r="E1738" t="s">
        <v>59</v>
      </c>
      <c r="F1738" s="3">
        <v>0</v>
      </c>
      <c r="G1738" s="3">
        <v>703.54</v>
      </c>
      <c r="H1738" s="3">
        <v>-703.54</v>
      </c>
      <c r="I1738" t="s">
        <v>724</v>
      </c>
    </row>
    <row r="1739" spans="1:9" x14ac:dyDescent="0.35">
      <c r="A1739" s="2">
        <v>45443</v>
      </c>
      <c r="B1739">
        <v>84</v>
      </c>
      <c r="C1739">
        <v>1111001</v>
      </c>
      <c r="D1739" t="s">
        <v>16</v>
      </c>
      <c r="E1739" t="s">
        <v>59</v>
      </c>
      <c r="F1739" s="3">
        <v>5100.6499999999996</v>
      </c>
      <c r="G1739" s="3">
        <v>0</v>
      </c>
      <c r="H1739" s="3">
        <v>5100.6499999999996</v>
      </c>
      <c r="I1739" t="s">
        <v>724</v>
      </c>
    </row>
    <row r="1740" spans="1:9" x14ac:dyDescent="0.35">
      <c r="A1740" s="2">
        <v>45443</v>
      </c>
      <c r="B1740">
        <v>84</v>
      </c>
      <c r="C1740">
        <v>4112003</v>
      </c>
      <c r="D1740" t="s">
        <v>58</v>
      </c>
      <c r="E1740" t="s">
        <v>59</v>
      </c>
      <c r="F1740" s="3">
        <v>0</v>
      </c>
      <c r="G1740" s="3">
        <v>5259.29</v>
      </c>
      <c r="H1740" s="3">
        <v>-5259.29</v>
      </c>
      <c r="I1740" t="s">
        <v>725</v>
      </c>
    </row>
    <row r="1741" spans="1:9" x14ac:dyDescent="0.35">
      <c r="A1741" s="2">
        <v>45443</v>
      </c>
      <c r="B1741">
        <v>84</v>
      </c>
      <c r="C1741">
        <v>2121001</v>
      </c>
      <c r="D1741" t="s">
        <v>27</v>
      </c>
      <c r="E1741" t="s">
        <v>59</v>
      </c>
      <c r="F1741" s="3">
        <v>0</v>
      </c>
      <c r="G1741" s="3">
        <v>841.49</v>
      </c>
      <c r="H1741" s="3">
        <v>-841.49</v>
      </c>
      <c r="I1741" t="s">
        <v>725</v>
      </c>
    </row>
    <row r="1742" spans="1:9" x14ac:dyDescent="0.35">
      <c r="A1742" s="2">
        <v>45443</v>
      </c>
      <c r="B1742">
        <v>84</v>
      </c>
      <c r="C1742">
        <v>1111001</v>
      </c>
      <c r="D1742" t="s">
        <v>16</v>
      </c>
      <c r="E1742" t="s">
        <v>59</v>
      </c>
      <c r="F1742" s="3">
        <v>6100.78</v>
      </c>
      <c r="G1742" s="3">
        <v>0</v>
      </c>
      <c r="H1742" s="3">
        <v>6100.78</v>
      </c>
      <c r="I1742" t="s">
        <v>725</v>
      </c>
    </row>
    <row r="1743" spans="1:9" x14ac:dyDescent="0.35">
      <c r="A1743" s="2">
        <v>45443</v>
      </c>
      <c r="B1743">
        <v>84</v>
      </c>
      <c r="C1743">
        <v>4112003</v>
      </c>
      <c r="D1743" t="s">
        <v>58</v>
      </c>
      <c r="E1743" t="s">
        <v>59</v>
      </c>
      <c r="F1743" s="3">
        <v>0</v>
      </c>
      <c r="G1743" s="3">
        <v>4655.8</v>
      </c>
      <c r="H1743" s="3">
        <v>-4655.8</v>
      </c>
      <c r="I1743" t="s">
        <v>726</v>
      </c>
    </row>
    <row r="1744" spans="1:9" x14ac:dyDescent="0.35">
      <c r="A1744" s="2">
        <v>45443</v>
      </c>
      <c r="B1744">
        <v>84</v>
      </c>
      <c r="C1744">
        <v>2121001</v>
      </c>
      <c r="D1744" t="s">
        <v>27</v>
      </c>
      <c r="E1744" t="s">
        <v>59</v>
      </c>
      <c r="F1744" s="3">
        <v>0</v>
      </c>
      <c r="G1744" s="3">
        <v>744.93</v>
      </c>
      <c r="H1744" s="3">
        <v>-744.93</v>
      </c>
      <c r="I1744" t="s">
        <v>726</v>
      </c>
    </row>
    <row r="1745" spans="1:9" x14ac:dyDescent="0.35">
      <c r="A1745" s="2">
        <v>45443</v>
      </c>
      <c r="B1745">
        <v>84</v>
      </c>
      <c r="C1745">
        <v>1111001</v>
      </c>
      <c r="D1745" t="s">
        <v>16</v>
      </c>
      <c r="E1745" t="s">
        <v>59</v>
      </c>
      <c r="F1745" s="3">
        <v>5400.73</v>
      </c>
      <c r="G1745" s="3">
        <v>0</v>
      </c>
      <c r="H1745" s="3">
        <v>5400.73</v>
      </c>
      <c r="I1745" t="s">
        <v>726</v>
      </c>
    </row>
    <row r="1746" spans="1:9" x14ac:dyDescent="0.35">
      <c r="A1746" s="2">
        <v>45443</v>
      </c>
      <c r="B1746">
        <v>84</v>
      </c>
      <c r="C1746">
        <v>4112003</v>
      </c>
      <c r="D1746" t="s">
        <v>58</v>
      </c>
      <c r="E1746" t="s">
        <v>59</v>
      </c>
      <c r="F1746" s="3">
        <v>0</v>
      </c>
      <c r="G1746" s="3">
        <v>5690.25</v>
      </c>
      <c r="H1746" s="3">
        <v>-5690.25</v>
      </c>
      <c r="I1746" t="s">
        <v>727</v>
      </c>
    </row>
    <row r="1747" spans="1:9" x14ac:dyDescent="0.35">
      <c r="A1747" s="2">
        <v>45443</v>
      </c>
      <c r="B1747">
        <v>84</v>
      </c>
      <c r="C1747">
        <v>2121001</v>
      </c>
      <c r="D1747" t="s">
        <v>27</v>
      </c>
      <c r="E1747" t="s">
        <v>59</v>
      </c>
      <c r="F1747" s="3">
        <v>0</v>
      </c>
      <c r="G1747" s="3">
        <v>910.44</v>
      </c>
      <c r="H1747" s="3">
        <v>-910.44</v>
      </c>
      <c r="I1747" t="s">
        <v>727</v>
      </c>
    </row>
    <row r="1748" spans="1:9" x14ac:dyDescent="0.35">
      <c r="A1748" s="2">
        <v>45443</v>
      </c>
      <c r="B1748">
        <v>84</v>
      </c>
      <c r="C1748">
        <v>1111001</v>
      </c>
      <c r="D1748" t="s">
        <v>16</v>
      </c>
      <c r="E1748" t="s">
        <v>59</v>
      </c>
      <c r="F1748" s="3">
        <v>6600.69</v>
      </c>
      <c r="G1748" s="3">
        <v>0</v>
      </c>
      <c r="H1748" s="3">
        <v>6600.69</v>
      </c>
      <c r="I1748" t="s">
        <v>727</v>
      </c>
    </row>
    <row r="1749" spans="1:9" x14ac:dyDescent="0.35">
      <c r="A1749" s="2">
        <v>45443</v>
      </c>
      <c r="B1749">
        <v>84</v>
      </c>
      <c r="C1749">
        <v>4112003</v>
      </c>
      <c r="D1749" t="s">
        <v>58</v>
      </c>
      <c r="E1749" t="s">
        <v>59</v>
      </c>
      <c r="F1749" s="3">
        <v>0</v>
      </c>
      <c r="G1749" s="3">
        <v>6897.24</v>
      </c>
      <c r="H1749" s="3">
        <v>-6897.24</v>
      </c>
      <c r="I1749" t="s">
        <v>728</v>
      </c>
    </row>
    <row r="1750" spans="1:9" x14ac:dyDescent="0.35">
      <c r="A1750" s="2">
        <v>45443</v>
      </c>
      <c r="B1750">
        <v>84</v>
      </c>
      <c r="C1750">
        <v>2121001</v>
      </c>
      <c r="D1750" t="s">
        <v>27</v>
      </c>
      <c r="E1750" t="s">
        <v>59</v>
      </c>
      <c r="F1750" s="3">
        <v>0</v>
      </c>
      <c r="G1750" s="3">
        <v>1103.56</v>
      </c>
      <c r="H1750" s="3">
        <v>-1103.56</v>
      </c>
      <c r="I1750" t="s">
        <v>728</v>
      </c>
    </row>
    <row r="1751" spans="1:9" x14ac:dyDescent="0.35">
      <c r="A1751" s="2">
        <v>45443</v>
      </c>
      <c r="B1751">
        <v>84</v>
      </c>
      <c r="C1751">
        <v>1111001</v>
      </c>
      <c r="D1751" t="s">
        <v>16</v>
      </c>
      <c r="E1751" t="s">
        <v>59</v>
      </c>
      <c r="F1751" s="3">
        <v>8000.8</v>
      </c>
      <c r="G1751" s="3">
        <v>0</v>
      </c>
      <c r="H1751" s="3">
        <v>8000.8</v>
      </c>
      <c r="I1751" t="s">
        <v>728</v>
      </c>
    </row>
    <row r="1752" spans="1:9" x14ac:dyDescent="0.35">
      <c r="A1752" s="2">
        <v>45443</v>
      </c>
      <c r="B1752">
        <v>84</v>
      </c>
      <c r="C1752">
        <v>4112003</v>
      </c>
      <c r="D1752" t="s">
        <v>58</v>
      </c>
      <c r="E1752" t="s">
        <v>59</v>
      </c>
      <c r="F1752" s="3">
        <v>0</v>
      </c>
      <c r="G1752" s="3">
        <v>6121.06</v>
      </c>
      <c r="H1752" s="3">
        <v>-6121.06</v>
      </c>
      <c r="I1752" t="s">
        <v>729</v>
      </c>
    </row>
    <row r="1753" spans="1:9" x14ac:dyDescent="0.35">
      <c r="A1753" s="2">
        <v>45443</v>
      </c>
      <c r="B1753">
        <v>84</v>
      </c>
      <c r="C1753">
        <v>2121001</v>
      </c>
      <c r="D1753" t="s">
        <v>27</v>
      </c>
      <c r="E1753" t="s">
        <v>59</v>
      </c>
      <c r="F1753" s="3">
        <v>0</v>
      </c>
      <c r="G1753" s="3">
        <v>979.37</v>
      </c>
      <c r="H1753" s="3">
        <v>-979.37</v>
      </c>
      <c r="I1753" t="s">
        <v>729</v>
      </c>
    </row>
    <row r="1754" spans="1:9" x14ac:dyDescent="0.35">
      <c r="A1754" s="2">
        <v>45443</v>
      </c>
      <c r="B1754">
        <v>84</v>
      </c>
      <c r="C1754">
        <v>1111001</v>
      </c>
      <c r="D1754" t="s">
        <v>16</v>
      </c>
      <c r="E1754" t="s">
        <v>59</v>
      </c>
      <c r="F1754" s="3">
        <v>7100.43</v>
      </c>
      <c r="G1754" s="3">
        <v>0</v>
      </c>
      <c r="H1754" s="3">
        <v>7100.43</v>
      </c>
      <c r="I1754" t="s">
        <v>729</v>
      </c>
    </row>
    <row r="1755" spans="1:9" x14ac:dyDescent="0.35">
      <c r="A1755" s="2">
        <v>45443</v>
      </c>
      <c r="B1755">
        <v>84</v>
      </c>
      <c r="C1755">
        <v>4112003</v>
      </c>
      <c r="D1755" t="s">
        <v>58</v>
      </c>
      <c r="E1755" t="s">
        <v>59</v>
      </c>
      <c r="F1755" s="3">
        <v>0</v>
      </c>
      <c r="G1755" s="3">
        <v>1120.73</v>
      </c>
      <c r="H1755" s="3">
        <v>-1120.73</v>
      </c>
      <c r="I1755" t="s">
        <v>730</v>
      </c>
    </row>
    <row r="1756" spans="1:9" x14ac:dyDescent="0.35">
      <c r="A1756" s="2">
        <v>45443</v>
      </c>
      <c r="B1756">
        <v>84</v>
      </c>
      <c r="C1756">
        <v>2121001</v>
      </c>
      <c r="D1756" t="s">
        <v>27</v>
      </c>
      <c r="E1756" t="s">
        <v>59</v>
      </c>
      <c r="F1756" s="3">
        <v>0</v>
      </c>
      <c r="G1756" s="3">
        <v>179.32</v>
      </c>
      <c r="H1756" s="3">
        <v>-179.32</v>
      </c>
      <c r="I1756" t="s">
        <v>730</v>
      </c>
    </row>
    <row r="1757" spans="1:9" x14ac:dyDescent="0.35">
      <c r="A1757" s="2">
        <v>45443</v>
      </c>
      <c r="B1757">
        <v>84</v>
      </c>
      <c r="C1757">
        <v>1111001</v>
      </c>
      <c r="D1757" t="s">
        <v>16</v>
      </c>
      <c r="E1757" t="s">
        <v>59</v>
      </c>
      <c r="F1757" s="3">
        <v>1300.05</v>
      </c>
      <c r="G1757" s="3">
        <v>0</v>
      </c>
      <c r="H1757" s="3">
        <v>1300.05</v>
      </c>
      <c r="I1757" t="s">
        <v>730</v>
      </c>
    </row>
    <row r="1758" spans="1:9" x14ac:dyDescent="0.35">
      <c r="A1758" s="2">
        <v>45443</v>
      </c>
      <c r="B1758">
        <v>84</v>
      </c>
      <c r="C1758">
        <v>4112003</v>
      </c>
      <c r="D1758" t="s">
        <v>58</v>
      </c>
      <c r="E1758" t="s">
        <v>59</v>
      </c>
      <c r="F1758" s="3">
        <v>0</v>
      </c>
      <c r="G1758" s="3">
        <v>4828.22</v>
      </c>
      <c r="H1758" s="3">
        <v>-4828.22</v>
      </c>
      <c r="I1758" t="s">
        <v>731</v>
      </c>
    </row>
    <row r="1759" spans="1:9" x14ac:dyDescent="0.35">
      <c r="A1759" s="2">
        <v>45443</v>
      </c>
      <c r="B1759">
        <v>84</v>
      </c>
      <c r="C1759">
        <v>2121001</v>
      </c>
      <c r="D1759" t="s">
        <v>27</v>
      </c>
      <c r="E1759" t="s">
        <v>59</v>
      </c>
      <c r="F1759" s="3">
        <v>0</v>
      </c>
      <c r="G1759" s="3">
        <v>772.52</v>
      </c>
      <c r="H1759" s="3">
        <v>-772.52</v>
      </c>
      <c r="I1759" t="s">
        <v>731</v>
      </c>
    </row>
    <row r="1760" spans="1:9" x14ac:dyDescent="0.35">
      <c r="A1760" s="2">
        <v>45443</v>
      </c>
      <c r="B1760">
        <v>84</v>
      </c>
      <c r="C1760">
        <v>1111001</v>
      </c>
      <c r="D1760" t="s">
        <v>16</v>
      </c>
      <c r="E1760" t="s">
        <v>59</v>
      </c>
      <c r="F1760" s="3">
        <v>5600.74</v>
      </c>
      <c r="G1760" s="3">
        <v>0</v>
      </c>
      <c r="H1760" s="3">
        <v>5600.74</v>
      </c>
      <c r="I1760" t="s">
        <v>731</v>
      </c>
    </row>
    <row r="1761" spans="1:9" x14ac:dyDescent="0.35">
      <c r="A1761" s="2">
        <v>45443</v>
      </c>
      <c r="B1761">
        <v>84</v>
      </c>
      <c r="C1761">
        <v>4112003</v>
      </c>
      <c r="D1761" t="s">
        <v>58</v>
      </c>
      <c r="E1761" t="s">
        <v>59</v>
      </c>
      <c r="F1761" s="3">
        <v>0</v>
      </c>
      <c r="G1761" s="3">
        <v>4655.8500000000004</v>
      </c>
      <c r="H1761" s="3">
        <v>-4655.8500000000004</v>
      </c>
      <c r="I1761" t="s">
        <v>732</v>
      </c>
    </row>
    <row r="1762" spans="1:9" x14ac:dyDescent="0.35">
      <c r="A1762" s="2">
        <v>45443</v>
      </c>
      <c r="B1762">
        <v>84</v>
      </c>
      <c r="C1762">
        <v>2121001</v>
      </c>
      <c r="D1762" t="s">
        <v>27</v>
      </c>
      <c r="E1762" t="s">
        <v>59</v>
      </c>
      <c r="F1762" s="3">
        <v>0</v>
      </c>
      <c r="G1762" s="3">
        <v>744.94</v>
      </c>
      <c r="H1762" s="3">
        <v>-744.94</v>
      </c>
      <c r="I1762" t="s">
        <v>732</v>
      </c>
    </row>
    <row r="1763" spans="1:9" x14ac:dyDescent="0.35">
      <c r="A1763" s="2">
        <v>45443</v>
      </c>
      <c r="B1763">
        <v>84</v>
      </c>
      <c r="C1763">
        <v>1111001</v>
      </c>
      <c r="D1763" t="s">
        <v>16</v>
      </c>
      <c r="E1763" t="s">
        <v>59</v>
      </c>
      <c r="F1763" s="3">
        <v>5400.79</v>
      </c>
      <c r="G1763" s="3">
        <v>0</v>
      </c>
      <c r="H1763" s="3">
        <v>5400.79</v>
      </c>
      <c r="I1763" t="s">
        <v>732</v>
      </c>
    </row>
    <row r="1764" spans="1:9" x14ac:dyDescent="0.35">
      <c r="A1764" s="2">
        <v>45443</v>
      </c>
      <c r="B1764">
        <v>84</v>
      </c>
      <c r="C1764">
        <v>4112003</v>
      </c>
      <c r="D1764" t="s">
        <v>58</v>
      </c>
      <c r="E1764" t="s">
        <v>59</v>
      </c>
      <c r="F1764" s="3">
        <v>0</v>
      </c>
      <c r="G1764" s="3">
        <v>5518.18</v>
      </c>
      <c r="H1764" s="3">
        <v>-5518.18</v>
      </c>
      <c r="I1764" t="s">
        <v>733</v>
      </c>
    </row>
    <row r="1765" spans="1:9" x14ac:dyDescent="0.35">
      <c r="A1765" s="2">
        <v>45443</v>
      </c>
      <c r="B1765">
        <v>84</v>
      </c>
      <c r="C1765">
        <v>2121001</v>
      </c>
      <c r="D1765" t="s">
        <v>27</v>
      </c>
      <c r="E1765" t="s">
        <v>59</v>
      </c>
      <c r="F1765" s="3">
        <v>0</v>
      </c>
      <c r="G1765" s="3">
        <v>882.91</v>
      </c>
      <c r="H1765" s="3">
        <v>-882.91</v>
      </c>
      <c r="I1765" t="s">
        <v>733</v>
      </c>
    </row>
    <row r="1766" spans="1:9" x14ac:dyDescent="0.35">
      <c r="A1766" s="2">
        <v>45443</v>
      </c>
      <c r="B1766">
        <v>84</v>
      </c>
      <c r="C1766">
        <v>1111001</v>
      </c>
      <c r="D1766" t="s">
        <v>16</v>
      </c>
      <c r="E1766" t="s">
        <v>59</v>
      </c>
      <c r="F1766" s="3">
        <v>6401.09</v>
      </c>
      <c r="G1766" s="3">
        <v>0</v>
      </c>
      <c r="H1766" s="3">
        <v>6401.09</v>
      </c>
      <c r="I1766" t="s">
        <v>733</v>
      </c>
    </row>
    <row r="1767" spans="1:9" x14ac:dyDescent="0.35">
      <c r="A1767" s="2">
        <v>45443</v>
      </c>
      <c r="B1767">
        <v>84</v>
      </c>
      <c r="C1767">
        <v>4112003</v>
      </c>
      <c r="D1767" t="s">
        <v>58</v>
      </c>
      <c r="E1767" t="s">
        <v>59</v>
      </c>
      <c r="F1767" s="3">
        <v>0</v>
      </c>
      <c r="G1767" s="3">
        <v>5948.96</v>
      </c>
      <c r="H1767" s="3">
        <v>-5948.96</v>
      </c>
      <c r="I1767" t="s">
        <v>734</v>
      </c>
    </row>
    <row r="1768" spans="1:9" x14ac:dyDescent="0.35">
      <c r="A1768" s="2">
        <v>45443</v>
      </c>
      <c r="B1768">
        <v>84</v>
      </c>
      <c r="C1768">
        <v>2121001</v>
      </c>
      <c r="D1768" t="s">
        <v>27</v>
      </c>
      <c r="E1768" t="s">
        <v>59</v>
      </c>
      <c r="F1768" s="3">
        <v>0</v>
      </c>
      <c r="G1768" s="3">
        <v>951.83</v>
      </c>
      <c r="H1768" s="3">
        <v>-951.83</v>
      </c>
      <c r="I1768" t="s">
        <v>734</v>
      </c>
    </row>
    <row r="1769" spans="1:9" x14ac:dyDescent="0.35">
      <c r="A1769" s="2">
        <v>45443</v>
      </c>
      <c r="B1769">
        <v>84</v>
      </c>
      <c r="C1769">
        <v>1111001</v>
      </c>
      <c r="D1769" t="s">
        <v>16</v>
      </c>
      <c r="E1769" t="s">
        <v>59</v>
      </c>
      <c r="F1769" s="3">
        <v>6900.79</v>
      </c>
      <c r="G1769" s="3">
        <v>0</v>
      </c>
      <c r="H1769" s="3">
        <v>6900.79</v>
      </c>
      <c r="I1769" t="s">
        <v>734</v>
      </c>
    </row>
    <row r="1770" spans="1:9" x14ac:dyDescent="0.35">
      <c r="A1770" s="2">
        <v>45443</v>
      </c>
      <c r="B1770">
        <v>84</v>
      </c>
      <c r="C1770">
        <v>4112003</v>
      </c>
      <c r="D1770" t="s">
        <v>58</v>
      </c>
      <c r="E1770" t="s">
        <v>59</v>
      </c>
      <c r="F1770" s="3">
        <v>0</v>
      </c>
      <c r="G1770" s="3">
        <v>4569.5600000000004</v>
      </c>
      <c r="H1770" s="3">
        <v>-4569.5600000000004</v>
      </c>
      <c r="I1770" t="s">
        <v>735</v>
      </c>
    </row>
    <row r="1771" spans="1:9" x14ac:dyDescent="0.35">
      <c r="A1771" s="2">
        <v>45443</v>
      </c>
      <c r="B1771">
        <v>84</v>
      </c>
      <c r="C1771">
        <v>2121001</v>
      </c>
      <c r="D1771" t="s">
        <v>27</v>
      </c>
      <c r="E1771" t="s">
        <v>59</v>
      </c>
      <c r="F1771" s="3">
        <v>0</v>
      </c>
      <c r="G1771" s="3">
        <v>731.13</v>
      </c>
      <c r="H1771" s="3">
        <v>-731.13</v>
      </c>
      <c r="I1771" t="s">
        <v>735</v>
      </c>
    </row>
    <row r="1772" spans="1:9" x14ac:dyDescent="0.35">
      <c r="A1772" s="2">
        <v>45443</v>
      </c>
      <c r="B1772">
        <v>84</v>
      </c>
      <c r="C1772">
        <v>1111001</v>
      </c>
      <c r="D1772" t="s">
        <v>16</v>
      </c>
      <c r="E1772" t="s">
        <v>59</v>
      </c>
      <c r="F1772" s="3">
        <v>5300.69</v>
      </c>
      <c r="G1772" s="3">
        <v>0</v>
      </c>
      <c r="H1772" s="3">
        <v>5300.69</v>
      </c>
      <c r="I1772" t="s">
        <v>735</v>
      </c>
    </row>
    <row r="1773" spans="1:9" x14ac:dyDescent="0.35">
      <c r="A1773" s="2">
        <v>45443</v>
      </c>
      <c r="B1773">
        <v>84</v>
      </c>
      <c r="C1773">
        <v>4112004</v>
      </c>
      <c r="D1773" t="s">
        <v>74</v>
      </c>
      <c r="E1773" t="s">
        <v>79</v>
      </c>
      <c r="F1773" s="3">
        <v>0</v>
      </c>
      <c r="G1773" s="3">
        <v>2365.7399999999998</v>
      </c>
      <c r="H1773" s="3">
        <v>-2365.7399999999998</v>
      </c>
      <c r="I1773" t="s">
        <v>736</v>
      </c>
    </row>
    <row r="1774" spans="1:9" x14ac:dyDescent="0.35">
      <c r="A1774" s="2">
        <v>45443</v>
      </c>
      <c r="B1774">
        <v>84</v>
      </c>
      <c r="C1774">
        <v>2121001</v>
      </c>
      <c r="D1774" t="s">
        <v>27</v>
      </c>
      <c r="E1774" t="s">
        <v>79</v>
      </c>
      <c r="F1774" s="3">
        <v>0</v>
      </c>
      <c r="G1774" s="3">
        <v>378.52</v>
      </c>
      <c r="H1774" s="3">
        <v>-378.52</v>
      </c>
      <c r="I1774" t="s">
        <v>736</v>
      </c>
    </row>
    <row r="1775" spans="1:9" x14ac:dyDescent="0.35">
      <c r="A1775" s="2">
        <v>45443</v>
      </c>
      <c r="B1775">
        <v>84</v>
      </c>
      <c r="C1775">
        <v>1111001</v>
      </c>
      <c r="D1775" t="s">
        <v>16</v>
      </c>
      <c r="E1775" t="s">
        <v>79</v>
      </c>
      <c r="F1775" s="3">
        <v>2744.26</v>
      </c>
      <c r="G1775" s="3">
        <v>0</v>
      </c>
      <c r="H1775" s="3">
        <v>2744.26</v>
      </c>
      <c r="I1775" t="s">
        <v>736</v>
      </c>
    </row>
    <row r="1776" spans="1:9" x14ac:dyDescent="0.35">
      <c r="A1776" s="2">
        <v>45443</v>
      </c>
      <c r="B1776">
        <v>84</v>
      </c>
      <c r="C1776">
        <v>4112004</v>
      </c>
      <c r="D1776" t="s">
        <v>74</v>
      </c>
      <c r="E1776" t="s">
        <v>195</v>
      </c>
      <c r="F1776" s="3">
        <v>0</v>
      </c>
      <c r="G1776" s="3">
        <v>3054.64</v>
      </c>
      <c r="H1776" s="3">
        <v>-3054.64</v>
      </c>
      <c r="I1776" t="s">
        <v>737</v>
      </c>
    </row>
    <row r="1777" spans="1:9" x14ac:dyDescent="0.35">
      <c r="A1777" s="2">
        <v>45443</v>
      </c>
      <c r="B1777">
        <v>84</v>
      </c>
      <c r="C1777">
        <v>2121001</v>
      </c>
      <c r="D1777" t="s">
        <v>27</v>
      </c>
      <c r="E1777" t="s">
        <v>195</v>
      </c>
      <c r="F1777" s="3">
        <v>0</v>
      </c>
      <c r="G1777" s="3">
        <v>488.74</v>
      </c>
      <c r="H1777" s="3">
        <v>-488.74</v>
      </c>
      <c r="I1777" t="s">
        <v>737</v>
      </c>
    </row>
    <row r="1778" spans="1:9" x14ac:dyDescent="0.35">
      <c r="A1778" s="2">
        <v>45443</v>
      </c>
      <c r="B1778">
        <v>84</v>
      </c>
      <c r="C1778">
        <v>1141002</v>
      </c>
      <c r="D1778" t="s">
        <v>23</v>
      </c>
      <c r="E1778" t="s">
        <v>195</v>
      </c>
      <c r="F1778" s="3">
        <v>366.56</v>
      </c>
      <c r="G1778" s="3">
        <v>0</v>
      </c>
      <c r="H1778" s="3">
        <v>366.56</v>
      </c>
      <c r="I1778" t="s">
        <v>737</v>
      </c>
    </row>
    <row r="1779" spans="1:9" x14ac:dyDescent="0.35">
      <c r="A1779" s="2">
        <v>45443</v>
      </c>
      <c r="B1779">
        <v>84</v>
      </c>
      <c r="C1779">
        <v>1142001</v>
      </c>
      <c r="D1779" t="s">
        <v>199</v>
      </c>
      <c r="E1779" t="s">
        <v>195</v>
      </c>
      <c r="F1779" s="3">
        <v>61.09</v>
      </c>
      <c r="G1779" s="3">
        <v>0</v>
      </c>
      <c r="H1779" s="3">
        <v>61.09</v>
      </c>
      <c r="I1779" t="s">
        <v>737</v>
      </c>
    </row>
    <row r="1780" spans="1:9" x14ac:dyDescent="0.35">
      <c r="A1780" s="2">
        <v>45443</v>
      </c>
      <c r="B1780">
        <v>84</v>
      </c>
      <c r="C1780">
        <v>1111001</v>
      </c>
      <c r="D1780" t="s">
        <v>16</v>
      </c>
      <c r="E1780" t="s">
        <v>195</v>
      </c>
      <c r="F1780" s="3">
        <v>106.3</v>
      </c>
      <c r="G1780" s="3">
        <v>0</v>
      </c>
      <c r="H1780" s="3">
        <v>106.3</v>
      </c>
      <c r="I1780" t="s">
        <v>737</v>
      </c>
    </row>
    <row r="1781" spans="1:9" x14ac:dyDescent="0.35">
      <c r="A1781" s="2">
        <v>45443</v>
      </c>
      <c r="B1781">
        <v>84</v>
      </c>
      <c r="C1781">
        <v>2124007</v>
      </c>
      <c r="D1781" t="s">
        <v>30</v>
      </c>
      <c r="E1781" t="s">
        <v>195</v>
      </c>
      <c r="F1781" s="3">
        <v>0</v>
      </c>
      <c r="G1781" s="3">
        <v>106.3</v>
      </c>
      <c r="H1781" s="3">
        <v>-106.3</v>
      </c>
      <c r="I1781" t="s">
        <v>737</v>
      </c>
    </row>
    <row r="1782" spans="1:9" x14ac:dyDescent="0.35">
      <c r="A1782" s="2">
        <v>45443</v>
      </c>
      <c r="B1782">
        <v>84</v>
      </c>
      <c r="C1782">
        <v>1111001</v>
      </c>
      <c r="D1782" t="s">
        <v>16</v>
      </c>
      <c r="E1782" t="s">
        <v>195</v>
      </c>
      <c r="F1782" s="3">
        <v>3115.73</v>
      </c>
      <c r="G1782" s="3">
        <v>0</v>
      </c>
      <c r="H1782" s="3">
        <v>3115.73</v>
      </c>
      <c r="I1782" t="s">
        <v>737</v>
      </c>
    </row>
    <row r="1783" spans="1:9" x14ac:dyDescent="0.35">
      <c r="A1783" s="2">
        <v>45443</v>
      </c>
      <c r="B1783">
        <v>84</v>
      </c>
      <c r="C1783">
        <v>4112004</v>
      </c>
      <c r="D1783" t="s">
        <v>74</v>
      </c>
      <c r="E1783" t="s">
        <v>197</v>
      </c>
      <c r="F1783" s="3">
        <v>0</v>
      </c>
      <c r="G1783" s="3">
        <v>19073.28</v>
      </c>
      <c r="H1783" s="3">
        <v>-19073.28</v>
      </c>
      <c r="I1783" t="s">
        <v>738</v>
      </c>
    </row>
    <row r="1784" spans="1:9" x14ac:dyDescent="0.35">
      <c r="A1784" s="2">
        <v>45443</v>
      </c>
      <c r="B1784">
        <v>84</v>
      </c>
      <c r="C1784">
        <v>2121001</v>
      </c>
      <c r="D1784" t="s">
        <v>27</v>
      </c>
      <c r="E1784" t="s">
        <v>197</v>
      </c>
      <c r="F1784" s="3">
        <v>0</v>
      </c>
      <c r="G1784" s="3">
        <v>3051.72</v>
      </c>
      <c r="H1784" s="3">
        <v>-3051.72</v>
      </c>
      <c r="I1784" t="s">
        <v>738</v>
      </c>
    </row>
    <row r="1785" spans="1:9" x14ac:dyDescent="0.35">
      <c r="A1785" s="2">
        <v>45443</v>
      </c>
      <c r="B1785">
        <v>84</v>
      </c>
      <c r="C1785">
        <v>1141002</v>
      </c>
      <c r="D1785" t="s">
        <v>23</v>
      </c>
      <c r="E1785" t="s">
        <v>197</v>
      </c>
      <c r="F1785" s="3">
        <v>2288.79</v>
      </c>
      <c r="G1785" s="3">
        <v>0</v>
      </c>
      <c r="H1785" s="3">
        <v>2288.79</v>
      </c>
      <c r="I1785" t="s">
        <v>1438</v>
      </c>
    </row>
    <row r="1786" spans="1:9" x14ac:dyDescent="0.35">
      <c r="A1786" s="2">
        <v>45443</v>
      </c>
      <c r="B1786">
        <v>84</v>
      </c>
      <c r="C1786">
        <v>1142001</v>
      </c>
      <c r="D1786" t="s">
        <v>199</v>
      </c>
      <c r="E1786" t="s">
        <v>197</v>
      </c>
      <c r="F1786" s="3">
        <v>381.47</v>
      </c>
      <c r="G1786" s="3">
        <v>0</v>
      </c>
      <c r="H1786" s="3">
        <v>381.47</v>
      </c>
      <c r="I1786" t="s">
        <v>1438</v>
      </c>
    </row>
    <row r="1787" spans="1:9" x14ac:dyDescent="0.35">
      <c r="A1787" s="2">
        <v>45443</v>
      </c>
      <c r="B1787">
        <v>84</v>
      </c>
      <c r="C1787">
        <v>1111001</v>
      </c>
      <c r="D1787" t="s">
        <v>16</v>
      </c>
      <c r="E1787" t="s">
        <v>197</v>
      </c>
      <c r="F1787" s="3">
        <v>19454.740000000002</v>
      </c>
      <c r="G1787" s="3">
        <v>0</v>
      </c>
      <c r="H1787" s="3">
        <v>19454.740000000002</v>
      </c>
      <c r="I1787" t="s">
        <v>738</v>
      </c>
    </row>
    <row r="1788" spans="1:9" x14ac:dyDescent="0.35">
      <c r="A1788" s="2">
        <v>45443</v>
      </c>
      <c r="B1788">
        <v>84</v>
      </c>
      <c r="C1788">
        <v>4112004</v>
      </c>
      <c r="D1788" t="s">
        <v>74</v>
      </c>
      <c r="E1788" t="s">
        <v>200</v>
      </c>
      <c r="F1788" s="3">
        <v>0</v>
      </c>
      <c r="G1788" s="3">
        <v>1681.02</v>
      </c>
      <c r="H1788" s="3">
        <v>-1681.02</v>
      </c>
      <c r="I1788" t="s">
        <v>739</v>
      </c>
    </row>
    <row r="1789" spans="1:9" x14ac:dyDescent="0.35">
      <c r="A1789" s="2">
        <v>45443</v>
      </c>
      <c r="B1789">
        <v>84</v>
      </c>
      <c r="C1789">
        <v>2121001</v>
      </c>
      <c r="D1789" t="s">
        <v>27</v>
      </c>
      <c r="E1789" t="s">
        <v>200</v>
      </c>
      <c r="F1789" s="3">
        <v>0</v>
      </c>
      <c r="G1789" s="3">
        <v>268.95999999999998</v>
      </c>
      <c r="H1789" s="3">
        <v>-268.95999999999998</v>
      </c>
      <c r="I1789" t="s">
        <v>739</v>
      </c>
    </row>
    <row r="1790" spans="1:9" x14ac:dyDescent="0.35">
      <c r="A1790" s="2">
        <v>45443</v>
      </c>
      <c r="B1790">
        <v>84</v>
      </c>
      <c r="C1790">
        <v>1111001</v>
      </c>
      <c r="D1790" t="s">
        <v>16</v>
      </c>
      <c r="E1790" t="s">
        <v>200</v>
      </c>
      <c r="F1790" s="3">
        <v>1949.98</v>
      </c>
      <c r="G1790" s="3">
        <v>0</v>
      </c>
      <c r="H1790" s="3">
        <v>1949.98</v>
      </c>
      <c r="I1790" t="s">
        <v>739</v>
      </c>
    </row>
    <row r="1791" spans="1:9" x14ac:dyDescent="0.35">
      <c r="A1791" s="2">
        <v>45443</v>
      </c>
      <c r="B1791">
        <v>84</v>
      </c>
      <c r="C1791">
        <v>4112004</v>
      </c>
      <c r="D1791" t="s">
        <v>74</v>
      </c>
      <c r="E1791" t="s">
        <v>740</v>
      </c>
      <c r="F1791" s="3">
        <v>0</v>
      </c>
      <c r="G1791" s="3">
        <v>4276.5</v>
      </c>
      <c r="H1791" s="3">
        <v>-4276.5</v>
      </c>
      <c r="I1791" t="s">
        <v>741</v>
      </c>
    </row>
    <row r="1792" spans="1:9" x14ac:dyDescent="0.35">
      <c r="A1792" s="2">
        <v>45443</v>
      </c>
      <c r="B1792">
        <v>84</v>
      </c>
      <c r="C1792">
        <v>2121001</v>
      </c>
      <c r="D1792" t="s">
        <v>27</v>
      </c>
      <c r="E1792" t="s">
        <v>740</v>
      </c>
      <c r="F1792" s="3">
        <v>0</v>
      </c>
      <c r="G1792" s="3">
        <v>684.24</v>
      </c>
      <c r="H1792" s="3">
        <v>-684.24</v>
      </c>
      <c r="I1792" t="s">
        <v>741</v>
      </c>
    </row>
    <row r="1793" spans="1:9" x14ac:dyDescent="0.35">
      <c r="A1793" s="2">
        <v>45443</v>
      </c>
      <c r="B1793">
        <v>84</v>
      </c>
      <c r="C1793">
        <v>1111001</v>
      </c>
      <c r="D1793" t="s">
        <v>16</v>
      </c>
      <c r="E1793" t="s">
        <v>740</v>
      </c>
      <c r="F1793" s="3">
        <v>148.82</v>
      </c>
      <c r="G1793" s="3">
        <v>0</v>
      </c>
      <c r="H1793" s="3">
        <v>148.82</v>
      </c>
      <c r="I1793" t="s">
        <v>741</v>
      </c>
    </row>
    <row r="1794" spans="1:9" x14ac:dyDescent="0.35">
      <c r="A1794" s="2">
        <v>45443</v>
      </c>
      <c r="B1794">
        <v>84</v>
      </c>
      <c r="C1794">
        <v>2124007</v>
      </c>
      <c r="D1794" t="s">
        <v>30</v>
      </c>
      <c r="E1794" t="s">
        <v>740</v>
      </c>
      <c r="F1794" s="3">
        <v>0</v>
      </c>
      <c r="G1794" s="3">
        <v>148.82</v>
      </c>
      <c r="H1794" s="3">
        <v>-148.82</v>
      </c>
      <c r="I1794" t="s">
        <v>741</v>
      </c>
    </row>
    <row r="1795" spans="1:9" x14ac:dyDescent="0.35">
      <c r="A1795" s="2">
        <v>45443</v>
      </c>
      <c r="B1795">
        <v>84</v>
      </c>
      <c r="C1795">
        <v>1111001</v>
      </c>
      <c r="D1795" t="s">
        <v>16</v>
      </c>
      <c r="E1795" t="s">
        <v>740</v>
      </c>
      <c r="F1795" s="3">
        <v>4960.74</v>
      </c>
      <c r="G1795" s="3">
        <v>0</v>
      </c>
      <c r="H1795" s="3">
        <v>4960.74</v>
      </c>
      <c r="I1795" t="s">
        <v>741</v>
      </c>
    </row>
    <row r="1796" spans="1:9" x14ac:dyDescent="0.35">
      <c r="A1796" s="2">
        <v>45443</v>
      </c>
      <c r="B1796">
        <v>84</v>
      </c>
      <c r="C1796">
        <v>2121001</v>
      </c>
      <c r="D1796" t="s">
        <v>27</v>
      </c>
      <c r="E1796" t="s">
        <v>742</v>
      </c>
      <c r="F1796" s="3">
        <v>17549.45</v>
      </c>
      <c r="G1796" s="3">
        <v>0</v>
      </c>
      <c r="H1796" s="3">
        <v>17549.45</v>
      </c>
      <c r="I1796" t="s">
        <v>544</v>
      </c>
    </row>
    <row r="1797" spans="1:9" x14ac:dyDescent="0.35">
      <c r="A1797" s="2">
        <v>45443</v>
      </c>
      <c r="B1797">
        <v>84</v>
      </c>
      <c r="C1797">
        <v>1141002</v>
      </c>
      <c r="D1797" t="s">
        <v>23</v>
      </c>
      <c r="E1797" t="s">
        <v>742</v>
      </c>
      <c r="F1797" s="3">
        <v>0</v>
      </c>
      <c r="G1797" s="3">
        <v>2655.35</v>
      </c>
      <c r="H1797" s="3">
        <v>-2655.35</v>
      </c>
      <c r="I1797" t="s">
        <v>544</v>
      </c>
    </row>
    <row r="1798" spans="1:9" x14ac:dyDescent="0.35">
      <c r="A1798" s="2">
        <v>45443</v>
      </c>
      <c r="B1798">
        <v>84</v>
      </c>
      <c r="C1798">
        <v>2121003</v>
      </c>
      <c r="D1798" t="s">
        <v>28</v>
      </c>
      <c r="E1798" t="s">
        <v>742</v>
      </c>
      <c r="F1798" s="3">
        <v>0</v>
      </c>
      <c r="G1798" s="3">
        <v>14894.1</v>
      </c>
      <c r="H1798" s="3">
        <v>-14894.1</v>
      </c>
      <c r="I1798" t="s">
        <v>544</v>
      </c>
    </row>
    <row r="1799" spans="1:9" x14ac:dyDescent="0.35">
      <c r="A1799" s="2">
        <v>45443</v>
      </c>
      <c r="B1799">
        <v>84</v>
      </c>
      <c r="C1799">
        <v>1142004</v>
      </c>
      <c r="D1799" t="s">
        <v>83</v>
      </c>
      <c r="E1799" t="s">
        <v>502</v>
      </c>
      <c r="F1799" s="3">
        <v>1096.8399999999999</v>
      </c>
      <c r="G1799" s="3">
        <v>0</v>
      </c>
      <c r="H1799" s="3">
        <v>1096.8399999999999</v>
      </c>
      <c r="I1799" t="s">
        <v>503</v>
      </c>
    </row>
    <row r="1800" spans="1:9" x14ac:dyDescent="0.35">
      <c r="A1800" s="2">
        <v>45443</v>
      </c>
      <c r="B1800">
        <v>84</v>
      </c>
      <c r="C1800">
        <v>2124004</v>
      </c>
      <c r="D1800" t="s">
        <v>29</v>
      </c>
      <c r="E1800" t="s">
        <v>502</v>
      </c>
      <c r="F1800" s="3">
        <v>0</v>
      </c>
      <c r="G1800" s="3">
        <v>1096.8399999999999</v>
      </c>
      <c r="H1800" s="3">
        <v>-1096.8399999999999</v>
      </c>
      <c r="I1800" t="s">
        <v>503</v>
      </c>
    </row>
    <row r="1801" spans="1:9" x14ac:dyDescent="0.35">
      <c r="A1801" s="2">
        <v>45443</v>
      </c>
      <c r="B1801">
        <v>84</v>
      </c>
      <c r="C1801">
        <v>6121046</v>
      </c>
      <c r="D1801" t="s">
        <v>94</v>
      </c>
      <c r="E1801" t="s">
        <v>95</v>
      </c>
      <c r="F1801" s="3">
        <v>178.79</v>
      </c>
      <c r="G1801" s="3">
        <v>0</v>
      </c>
      <c r="H1801" s="3">
        <v>178.79</v>
      </c>
      <c r="I1801" t="s">
        <v>480</v>
      </c>
    </row>
    <row r="1802" spans="1:9" x14ac:dyDescent="0.35">
      <c r="A1802" s="2">
        <v>45443</v>
      </c>
      <c r="B1802">
        <v>84</v>
      </c>
      <c r="C1802">
        <v>6121040</v>
      </c>
      <c r="D1802" t="s">
        <v>98</v>
      </c>
      <c r="E1802" t="s">
        <v>99</v>
      </c>
      <c r="F1802" s="3">
        <v>105.6</v>
      </c>
      <c r="G1802" s="3">
        <v>0</v>
      </c>
      <c r="H1802" s="3">
        <v>105.6</v>
      </c>
      <c r="I1802" t="s">
        <v>480</v>
      </c>
    </row>
    <row r="1803" spans="1:9" x14ac:dyDescent="0.35">
      <c r="A1803" s="2">
        <v>45443</v>
      </c>
      <c r="B1803">
        <v>84</v>
      </c>
      <c r="C1803">
        <v>2114001</v>
      </c>
      <c r="D1803" t="s">
        <v>97</v>
      </c>
      <c r="E1803" t="s">
        <v>1768</v>
      </c>
      <c r="F1803" s="3">
        <v>7335</v>
      </c>
      <c r="G1803" s="3">
        <v>0</v>
      </c>
      <c r="H1803" s="3">
        <v>7335</v>
      </c>
      <c r="I1803" t="s">
        <v>480</v>
      </c>
    </row>
    <row r="1804" spans="1:9" x14ac:dyDescent="0.35">
      <c r="A1804" s="2">
        <v>45443</v>
      </c>
      <c r="B1804">
        <v>84</v>
      </c>
      <c r="C1804">
        <v>6121021</v>
      </c>
      <c r="D1804" t="s">
        <v>102</v>
      </c>
      <c r="E1804" t="s">
        <v>348</v>
      </c>
      <c r="F1804" s="3">
        <v>1148.33</v>
      </c>
      <c r="G1804" s="3">
        <v>0</v>
      </c>
      <c r="H1804" s="3">
        <v>1148.33</v>
      </c>
      <c r="I1804" t="s">
        <v>480</v>
      </c>
    </row>
    <row r="1805" spans="1:9" x14ac:dyDescent="0.35">
      <c r="A1805" s="2">
        <v>45443</v>
      </c>
      <c r="B1805">
        <v>84</v>
      </c>
      <c r="C1805">
        <v>1111001</v>
      </c>
      <c r="D1805" t="s">
        <v>16</v>
      </c>
      <c r="E1805" t="s">
        <v>743</v>
      </c>
      <c r="F1805" s="3">
        <v>373.82</v>
      </c>
      <c r="G1805" s="3">
        <v>0</v>
      </c>
      <c r="H1805" s="3">
        <v>373.82</v>
      </c>
      <c r="I1805" t="s">
        <v>480</v>
      </c>
    </row>
    <row r="1806" spans="1:9" x14ac:dyDescent="0.35">
      <c r="A1806" s="2">
        <v>45443</v>
      </c>
      <c r="B1806">
        <v>84</v>
      </c>
      <c r="C1806">
        <v>2114001</v>
      </c>
      <c r="D1806" t="s">
        <v>97</v>
      </c>
      <c r="E1806" t="s">
        <v>347</v>
      </c>
      <c r="F1806" s="3">
        <v>183.25</v>
      </c>
      <c r="G1806" s="3">
        <v>0</v>
      </c>
      <c r="H1806" s="3">
        <v>183.25</v>
      </c>
      <c r="I1806" t="s">
        <v>480</v>
      </c>
    </row>
    <row r="1807" spans="1:9" x14ac:dyDescent="0.35">
      <c r="A1807" s="2">
        <v>45443</v>
      </c>
      <c r="B1807">
        <v>84</v>
      </c>
      <c r="C1807">
        <v>6121019</v>
      </c>
      <c r="D1807" t="s">
        <v>100</v>
      </c>
      <c r="E1807" t="s">
        <v>104</v>
      </c>
      <c r="F1807" s="3">
        <v>90</v>
      </c>
      <c r="G1807" s="3">
        <v>0</v>
      </c>
      <c r="H1807" s="3">
        <v>90</v>
      </c>
      <c r="I1807" t="s">
        <v>480</v>
      </c>
    </row>
    <row r="1808" spans="1:9" x14ac:dyDescent="0.35">
      <c r="A1808" s="2">
        <v>45443</v>
      </c>
      <c r="B1808">
        <v>84</v>
      </c>
      <c r="C1808">
        <v>1112001</v>
      </c>
      <c r="D1808" t="s">
        <v>20</v>
      </c>
      <c r="E1808" t="s">
        <v>613</v>
      </c>
      <c r="F1808" s="3">
        <v>0</v>
      </c>
      <c r="G1808" s="3">
        <v>9414.7900000000009</v>
      </c>
      <c r="H1808" s="3">
        <v>-9414.7900000000009</v>
      </c>
      <c r="I1808" t="s">
        <v>480</v>
      </c>
    </row>
    <row r="1809" spans="1:9" x14ac:dyDescent="0.35">
      <c r="A1809" s="2">
        <v>45443</v>
      </c>
      <c r="B1809">
        <v>84</v>
      </c>
      <c r="C1809">
        <v>1112001</v>
      </c>
      <c r="D1809" t="s">
        <v>20</v>
      </c>
      <c r="E1809" t="s">
        <v>744</v>
      </c>
      <c r="F1809" s="3">
        <v>8806.82</v>
      </c>
      <c r="G1809" s="3">
        <v>0</v>
      </c>
      <c r="H1809" s="3">
        <v>8806.82</v>
      </c>
      <c r="I1809" t="s">
        <v>480</v>
      </c>
    </row>
    <row r="1810" spans="1:9" x14ac:dyDescent="0.35">
      <c r="A1810" s="2">
        <v>45443</v>
      </c>
      <c r="B1810">
        <v>84</v>
      </c>
      <c r="C1810">
        <v>1111001</v>
      </c>
      <c r="D1810" t="s">
        <v>16</v>
      </c>
      <c r="E1810" t="s">
        <v>112</v>
      </c>
      <c r="F1810" s="3">
        <v>0</v>
      </c>
      <c r="G1810" s="3">
        <v>7033</v>
      </c>
      <c r="H1810" s="3">
        <v>-7033</v>
      </c>
      <c r="I1810" t="s">
        <v>480</v>
      </c>
    </row>
    <row r="1811" spans="1:9" x14ac:dyDescent="0.35">
      <c r="A1811" s="2">
        <v>45443</v>
      </c>
      <c r="B1811">
        <v>84</v>
      </c>
      <c r="C1811">
        <v>1111001</v>
      </c>
      <c r="D1811" t="s">
        <v>16</v>
      </c>
      <c r="E1811" t="s">
        <v>111</v>
      </c>
      <c r="F1811" s="3">
        <v>0</v>
      </c>
      <c r="G1811" s="3">
        <v>1400</v>
      </c>
      <c r="H1811" s="3">
        <v>-1400</v>
      </c>
      <c r="I1811" t="s">
        <v>480</v>
      </c>
    </row>
    <row r="1812" spans="1:9" x14ac:dyDescent="0.35">
      <c r="A1812" s="2">
        <v>45443</v>
      </c>
      <c r="B1812">
        <v>84</v>
      </c>
      <c r="C1812">
        <v>1111001</v>
      </c>
      <c r="D1812" t="s">
        <v>16</v>
      </c>
      <c r="E1812" t="s">
        <v>745</v>
      </c>
      <c r="F1812" s="3">
        <v>0</v>
      </c>
      <c r="G1812" s="3">
        <v>373.82</v>
      </c>
      <c r="H1812" s="3">
        <v>-373.82</v>
      </c>
      <c r="I1812" t="s">
        <v>480</v>
      </c>
    </row>
    <row r="1813" spans="1:9" x14ac:dyDescent="0.35">
      <c r="A1813" s="2">
        <v>45443</v>
      </c>
      <c r="B1813">
        <v>84</v>
      </c>
      <c r="C1813">
        <v>6121040</v>
      </c>
      <c r="D1813" t="s">
        <v>98</v>
      </c>
      <c r="E1813" t="s">
        <v>99</v>
      </c>
      <c r="F1813" s="3">
        <v>2804.22</v>
      </c>
      <c r="G1813" s="3">
        <v>0</v>
      </c>
      <c r="H1813" s="3">
        <v>2804.22</v>
      </c>
      <c r="I1813" t="s">
        <v>507</v>
      </c>
    </row>
    <row r="1814" spans="1:9" x14ac:dyDescent="0.35">
      <c r="A1814" s="2">
        <v>45443</v>
      </c>
      <c r="B1814">
        <v>84</v>
      </c>
      <c r="C1814">
        <v>6121046</v>
      </c>
      <c r="D1814" t="s">
        <v>94</v>
      </c>
      <c r="E1814" t="s">
        <v>95</v>
      </c>
      <c r="F1814" s="3">
        <v>1999.62</v>
      </c>
      <c r="G1814" s="3">
        <v>0</v>
      </c>
      <c r="H1814" s="3">
        <v>1999.62</v>
      </c>
      <c r="I1814" t="s">
        <v>507</v>
      </c>
    </row>
    <row r="1815" spans="1:9" x14ac:dyDescent="0.35">
      <c r="A1815" s="2">
        <v>45443</v>
      </c>
      <c r="B1815">
        <v>84</v>
      </c>
      <c r="C1815">
        <v>2114001</v>
      </c>
      <c r="D1815" t="s">
        <v>97</v>
      </c>
      <c r="E1815" t="s">
        <v>1768</v>
      </c>
      <c r="F1815" s="3">
        <v>38071</v>
      </c>
      <c r="G1815" s="3">
        <v>0</v>
      </c>
      <c r="H1815" s="3">
        <v>38071</v>
      </c>
      <c r="I1815" t="s">
        <v>507</v>
      </c>
    </row>
    <row r="1816" spans="1:9" x14ac:dyDescent="0.35">
      <c r="A1816" s="2">
        <v>45443</v>
      </c>
      <c r="B1816">
        <v>84</v>
      </c>
      <c r="C1816">
        <v>5132012</v>
      </c>
      <c r="D1816" t="s">
        <v>303</v>
      </c>
      <c r="E1816" t="s">
        <v>746</v>
      </c>
      <c r="F1816" s="3">
        <v>1560</v>
      </c>
      <c r="G1816" s="3">
        <v>0</v>
      </c>
      <c r="H1816" s="3">
        <v>1560</v>
      </c>
      <c r="I1816" t="s">
        <v>507</v>
      </c>
    </row>
    <row r="1817" spans="1:9" x14ac:dyDescent="0.35">
      <c r="A1817" s="2">
        <v>45443</v>
      </c>
      <c r="B1817">
        <v>84</v>
      </c>
      <c r="C1817">
        <v>1111001</v>
      </c>
      <c r="D1817" t="s">
        <v>16</v>
      </c>
      <c r="E1817" t="s">
        <v>213</v>
      </c>
      <c r="F1817" s="3">
        <v>17950</v>
      </c>
      <c r="G1817" s="3">
        <v>0</v>
      </c>
      <c r="H1817" s="3">
        <v>17950</v>
      </c>
      <c r="I1817" t="s">
        <v>507</v>
      </c>
    </row>
    <row r="1818" spans="1:9" x14ac:dyDescent="0.35">
      <c r="A1818" s="2">
        <v>45443</v>
      </c>
      <c r="B1818">
        <v>84</v>
      </c>
      <c r="C1818">
        <v>1111001</v>
      </c>
      <c r="D1818" t="s">
        <v>16</v>
      </c>
      <c r="E1818" t="s">
        <v>132</v>
      </c>
      <c r="F1818" s="3">
        <v>8700</v>
      </c>
      <c r="G1818" s="3">
        <v>0</v>
      </c>
      <c r="H1818" s="3">
        <v>8700</v>
      </c>
      <c r="I1818" t="s">
        <v>507</v>
      </c>
    </row>
    <row r="1819" spans="1:9" x14ac:dyDescent="0.35">
      <c r="A1819" s="2">
        <v>45443</v>
      </c>
      <c r="B1819">
        <v>84</v>
      </c>
      <c r="C1819">
        <v>1111001</v>
      </c>
      <c r="D1819" t="s">
        <v>16</v>
      </c>
      <c r="E1819" t="s">
        <v>747</v>
      </c>
      <c r="F1819" s="3">
        <v>9000</v>
      </c>
      <c r="G1819" s="3">
        <v>0</v>
      </c>
      <c r="H1819" s="3">
        <v>9000</v>
      </c>
      <c r="I1819" t="s">
        <v>507</v>
      </c>
    </row>
    <row r="1820" spans="1:9" x14ac:dyDescent="0.35">
      <c r="A1820" s="2">
        <v>45443</v>
      </c>
      <c r="B1820">
        <v>84</v>
      </c>
      <c r="C1820">
        <v>1111001</v>
      </c>
      <c r="D1820" t="s">
        <v>16</v>
      </c>
      <c r="E1820" t="s">
        <v>359</v>
      </c>
      <c r="F1820" s="3">
        <v>1400</v>
      </c>
      <c r="G1820" s="3">
        <v>0</v>
      </c>
      <c r="H1820" s="3">
        <v>1400</v>
      </c>
      <c r="I1820" t="s">
        <v>507</v>
      </c>
    </row>
    <row r="1821" spans="1:9" x14ac:dyDescent="0.35">
      <c r="A1821" s="2">
        <v>45443</v>
      </c>
      <c r="B1821">
        <v>84</v>
      </c>
      <c r="C1821">
        <v>5132012</v>
      </c>
      <c r="D1821" t="s">
        <v>303</v>
      </c>
      <c r="E1821" t="s">
        <v>1795</v>
      </c>
      <c r="F1821" s="3">
        <v>1850</v>
      </c>
      <c r="G1821" s="3">
        <v>0</v>
      </c>
      <c r="H1821" s="3">
        <v>1850</v>
      </c>
      <c r="I1821" t="s">
        <v>507</v>
      </c>
    </row>
    <row r="1822" spans="1:9" x14ac:dyDescent="0.35">
      <c r="A1822" s="2">
        <v>45443</v>
      </c>
      <c r="B1822">
        <v>84</v>
      </c>
      <c r="C1822">
        <v>2114010</v>
      </c>
      <c r="D1822" t="s">
        <v>48</v>
      </c>
      <c r="E1822" t="s">
        <v>748</v>
      </c>
      <c r="F1822" s="3">
        <v>1300</v>
      </c>
      <c r="G1822" s="3">
        <v>0</v>
      </c>
      <c r="H1822" s="3">
        <v>1300</v>
      </c>
      <c r="I1822" t="s">
        <v>507</v>
      </c>
    </row>
    <row r="1823" spans="1:9" x14ac:dyDescent="0.35">
      <c r="A1823" s="2">
        <v>45443</v>
      </c>
      <c r="B1823">
        <v>84</v>
      </c>
      <c r="C1823">
        <v>2161001</v>
      </c>
      <c r="D1823" t="s">
        <v>93</v>
      </c>
      <c r="E1823" t="s">
        <v>1771</v>
      </c>
      <c r="F1823" s="3">
        <v>50</v>
      </c>
      <c r="G1823" s="3">
        <v>0</v>
      </c>
      <c r="H1823" s="3">
        <v>50</v>
      </c>
      <c r="I1823" t="s">
        <v>507</v>
      </c>
    </row>
    <row r="1824" spans="1:9" x14ac:dyDescent="0.35">
      <c r="A1824" s="2">
        <v>45443</v>
      </c>
      <c r="B1824">
        <v>84</v>
      </c>
      <c r="C1824">
        <v>1111001</v>
      </c>
      <c r="D1824" t="s">
        <v>16</v>
      </c>
      <c r="E1824" t="s">
        <v>703</v>
      </c>
      <c r="F1824" s="3">
        <v>1400</v>
      </c>
      <c r="G1824" s="3">
        <v>0</v>
      </c>
      <c r="H1824" s="3">
        <v>1400</v>
      </c>
      <c r="I1824" t="s">
        <v>507</v>
      </c>
    </row>
    <row r="1825" spans="1:9" x14ac:dyDescent="0.35">
      <c r="A1825" s="2">
        <v>45443</v>
      </c>
      <c r="B1825">
        <v>84</v>
      </c>
      <c r="C1825">
        <v>2161001</v>
      </c>
      <c r="D1825" t="s">
        <v>93</v>
      </c>
      <c r="E1825" t="s">
        <v>1771</v>
      </c>
      <c r="F1825" s="3">
        <v>4800</v>
      </c>
      <c r="G1825" s="3">
        <v>0</v>
      </c>
      <c r="H1825" s="3">
        <v>4800</v>
      </c>
      <c r="I1825" t="s">
        <v>507</v>
      </c>
    </row>
    <row r="1826" spans="1:9" x14ac:dyDescent="0.35">
      <c r="A1826" s="2">
        <v>45443</v>
      </c>
      <c r="B1826">
        <v>84</v>
      </c>
      <c r="C1826">
        <v>2161001</v>
      </c>
      <c r="D1826" t="s">
        <v>93</v>
      </c>
      <c r="E1826" t="s">
        <v>1796</v>
      </c>
      <c r="F1826" s="3">
        <v>4000</v>
      </c>
      <c r="G1826" s="3">
        <v>0</v>
      </c>
      <c r="H1826" s="3">
        <v>4000</v>
      </c>
      <c r="I1826" t="s">
        <v>507</v>
      </c>
    </row>
    <row r="1827" spans="1:9" x14ac:dyDescent="0.35">
      <c r="A1827" s="2">
        <v>45443</v>
      </c>
      <c r="B1827">
        <v>84</v>
      </c>
      <c r="C1827">
        <v>2161001</v>
      </c>
      <c r="D1827" t="s">
        <v>93</v>
      </c>
      <c r="E1827" t="s">
        <v>1771</v>
      </c>
      <c r="F1827" s="3">
        <v>4000</v>
      </c>
      <c r="G1827" s="3">
        <v>0</v>
      </c>
      <c r="H1827" s="3">
        <v>4000</v>
      </c>
      <c r="I1827" t="s">
        <v>507</v>
      </c>
    </row>
    <row r="1828" spans="1:9" x14ac:dyDescent="0.35">
      <c r="A1828" s="2">
        <v>45443</v>
      </c>
      <c r="B1828">
        <v>84</v>
      </c>
      <c r="C1828">
        <v>2161001</v>
      </c>
      <c r="D1828" t="s">
        <v>93</v>
      </c>
      <c r="E1828" t="s">
        <v>1771</v>
      </c>
      <c r="F1828" s="3">
        <v>4800</v>
      </c>
      <c r="G1828" s="3">
        <v>0</v>
      </c>
      <c r="H1828" s="3">
        <v>4800</v>
      </c>
      <c r="I1828" t="s">
        <v>507</v>
      </c>
    </row>
    <row r="1829" spans="1:9" x14ac:dyDescent="0.35">
      <c r="A1829" s="2">
        <v>45443</v>
      </c>
      <c r="B1829">
        <v>84</v>
      </c>
      <c r="C1829">
        <v>2161001</v>
      </c>
      <c r="D1829" t="s">
        <v>93</v>
      </c>
      <c r="E1829" t="s">
        <v>1771</v>
      </c>
      <c r="F1829" s="3">
        <v>900</v>
      </c>
      <c r="G1829" s="3">
        <v>0</v>
      </c>
      <c r="H1829" s="3">
        <v>900</v>
      </c>
      <c r="I1829" t="s">
        <v>507</v>
      </c>
    </row>
    <row r="1830" spans="1:9" x14ac:dyDescent="0.35">
      <c r="A1830" s="2">
        <v>45443</v>
      </c>
      <c r="B1830">
        <v>84</v>
      </c>
      <c r="C1830">
        <v>1112002</v>
      </c>
      <c r="D1830" t="s">
        <v>21</v>
      </c>
      <c r="E1830" t="s">
        <v>613</v>
      </c>
      <c r="F1830" s="3">
        <v>0</v>
      </c>
      <c r="G1830" s="3">
        <v>104584.84</v>
      </c>
      <c r="H1830" s="3">
        <v>-104584.84</v>
      </c>
      <c r="I1830" t="s">
        <v>507</v>
      </c>
    </row>
    <row r="1831" spans="1:9" x14ac:dyDescent="0.35">
      <c r="A1831" s="2">
        <v>45443</v>
      </c>
      <c r="B1831">
        <v>84</v>
      </c>
      <c r="C1831">
        <v>1112002</v>
      </c>
      <c r="D1831" t="s">
        <v>21</v>
      </c>
      <c r="E1831" t="s">
        <v>749</v>
      </c>
      <c r="F1831" s="3">
        <v>107592.96000000001</v>
      </c>
      <c r="G1831" s="3">
        <v>0</v>
      </c>
      <c r="H1831" s="3">
        <v>107592.96000000001</v>
      </c>
      <c r="I1831" t="s">
        <v>507</v>
      </c>
    </row>
    <row r="1832" spans="1:9" x14ac:dyDescent="0.35">
      <c r="A1832" s="2">
        <v>45443</v>
      </c>
      <c r="B1832">
        <v>84</v>
      </c>
      <c r="C1832">
        <v>1111001</v>
      </c>
      <c r="D1832" t="s">
        <v>16</v>
      </c>
      <c r="E1832" t="s">
        <v>750</v>
      </c>
      <c r="F1832" s="3">
        <v>0</v>
      </c>
      <c r="G1832" s="3">
        <v>730.2</v>
      </c>
      <c r="H1832" s="3">
        <v>-730.2</v>
      </c>
      <c r="I1832" t="s">
        <v>507</v>
      </c>
    </row>
    <row r="1833" spans="1:9" x14ac:dyDescent="0.35">
      <c r="A1833" s="2">
        <v>45443</v>
      </c>
      <c r="B1833">
        <v>84</v>
      </c>
      <c r="C1833">
        <v>1111001</v>
      </c>
      <c r="D1833" t="s">
        <v>16</v>
      </c>
      <c r="E1833" t="s">
        <v>427</v>
      </c>
      <c r="F1833" s="3">
        <v>0</v>
      </c>
      <c r="G1833" s="3">
        <v>1950</v>
      </c>
      <c r="H1833" s="3">
        <v>-1950</v>
      </c>
      <c r="I1833" t="s">
        <v>507</v>
      </c>
    </row>
    <row r="1834" spans="1:9" x14ac:dyDescent="0.35">
      <c r="A1834" s="2">
        <v>45443</v>
      </c>
      <c r="B1834">
        <v>84</v>
      </c>
      <c r="C1834">
        <v>1111001</v>
      </c>
      <c r="D1834" t="s">
        <v>16</v>
      </c>
      <c r="E1834" t="s">
        <v>702</v>
      </c>
      <c r="F1834" s="3">
        <v>0</v>
      </c>
      <c r="G1834" s="3">
        <v>19012.240000000002</v>
      </c>
      <c r="H1834" s="3">
        <v>-19012.240000000002</v>
      </c>
      <c r="I1834" t="s">
        <v>507</v>
      </c>
    </row>
    <row r="1835" spans="1:9" x14ac:dyDescent="0.35">
      <c r="A1835" s="2">
        <v>45443</v>
      </c>
      <c r="B1835">
        <v>84</v>
      </c>
      <c r="C1835">
        <v>1111001</v>
      </c>
      <c r="D1835" t="s">
        <v>16</v>
      </c>
      <c r="E1835" t="s">
        <v>305</v>
      </c>
      <c r="F1835" s="3">
        <v>0</v>
      </c>
      <c r="G1835" s="3">
        <v>1700</v>
      </c>
      <c r="H1835" s="3">
        <v>-1700</v>
      </c>
      <c r="I1835" t="s">
        <v>507</v>
      </c>
    </row>
    <row r="1836" spans="1:9" x14ac:dyDescent="0.35">
      <c r="A1836" s="2">
        <v>45443</v>
      </c>
      <c r="B1836">
        <v>84</v>
      </c>
      <c r="C1836">
        <v>4141003</v>
      </c>
      <c r="D1836" t="s">
        <v>141</v>
      </c>
      <c r="E1836" t="s">
        <v>142</v>
      </c>
      <c r="F1836" s="3">
        <v>0</v>
      </c>
      <c r="G1836" s="3">
        <v>184.04</v>
      </c>
      <c r="H1836" s="3">
        <v>-184.04</v>
      </c>
      <c r="I1836" t="s">
        <v>507</v>
      </c>
    </row>
    <row r="1837" spans="1:9" x14ac:dyDescent="0.35">
      <c r="A1837" s="2">
        <v>45443</v>
      </c>
      <c r="B1837">
        <v>84</v>
      </c>
      <c r="C1837">
        <v>1111001</v>
      </c>
      <c r="D1837" t="s">
        <v>16</v>
      </c>
      <c r="E1837" t="s">
        <v>137</v>
      </c>
      <c r="F1837" s="3">
        <v>0</v>
      </c>
      <c r="G1837" s="3">
        <v>84016.48</v>
      </c>
      <c r="H1837" s="3">
        <v>-84016.48</v>
      </c>
      <c r="I1837" t="s">
        <v>507</v>
      </c>
    </row>
    <row r="1838" spans="1:9" x14ac:dyDescent="0.35">
      <c r="A1838" s="2">
        <v>45443</v>
      </c>
      <c r="B1838">
        <v>84</v>
      </c>
      <c r="C1838">
        <v>6121040</v>
      </c>
      <c r="D1838" t="s">
        <v>98</v>
      </c>
      <c r="E1838" t="s">
        <v>99</v>
      </c>
      <c r="F1838" s="3">
        <v>629.85</v>
      </c>
      <c r="G1838" s="3">
        <v>0</v>
      </c>
      <c r="H1838" s="3">
        <v>629.85</v>
      </c>
      <c r="I1838" t="s">
        <v>472</v>
      </c>
    </row>
    <row r="1839" spans="1:9" x14ac:dyDescent="0.35">
      <c r="A1839" s="2">
        <v>45443</v>
      </c>
      <c r="B1839">
        <v>84</v>
      </c>
      <c r="C1839">
        <v>6121046</v>
      </c>
      <c r="D1839" t="s">
        <v>94</v>
      </c>
      <c r="E1839" t="s">
        <v>95</v>
      </c>
      <c r="F1839" s="3">
        <v>444.97</v>
      </c>
      <c r="G1839" s="3">
        <v>0</v>
      </c>
      <c r="H1839" s="3">
        <v>444.97</v>
      </c>
      <c r="I1839" t="s">
        <v>472</v>
      </c>
    </row>
    <row r="1840" spans="1:9" x14ac:dyDescent="0.35">
      <c r="A1840" s="2">
        <v>45443</v>
      </c>
      <c r="B1840">
        <v>84</v>
      </c>
      <c r="C1840">
        <v>5131016</v>
      </c>
      <c r="D1840" t="s">
        <v>238</v>
      </c>
      <c r="E1840" t="s">
        <v>292</v>
      </c>
      <c r="F1840" s="3">
        <v>1700</v>
      </c>
      <c r="G1840" s="3">
        <v>0</v>
      </c>
      <c r="H1840" s="3">
        <v>1700</v>
      </c>
      <c r="I1840" t="s">
        <v>472</v>
      </c>
    </row>
    <row r="1841" spans="1:9" x14ac:dyDescent="0.35">
      <c r="A1841" s="2">
        <v>45443</v>
      </c>
      <c r="B1841">
        <v>84</v>
      </c>
      <c r="C1841">
        <v>5132025</v>
      </c>
      <c r="D1841" t="s">
        <v>751</v>
      </c>
      <c r="E1841" t="s">
        <v>1797</v>
      </c>
      <c r="F1841" s="3">
        <v>2330.0500000000002</v>
      </c>
      <c r="G1841" s="3">
        <v>0</v>
      </c>
      <c r="H1841" s="3">
        <v>2330.0500000000002</v>
      </c>
      <c r="I1841" t="s">
        <v>472</v>
      </c>
    </row>
    <row r="1842" spans="1:9" x14ac:dyDescent="0.35">
      <c r="A1842" s="2">
        <v>45443</v>
      </c>
      <c r="B1842">
        <v>84</v>
      </c>
      <c r="C1842">
        <v>2114001</v>
      </c>
      <c r="D1842" t="s">
        <v>97</v>
      </c>
      <c r="E1842" t="s">
        <v>1768</v>
      </c>
      <c r="F1842" s="3">
        <v>800</v>
      </c>
      <c r="G1842" s="3">
        <v>0</v>
      </c>
      <c r="H1842" s="3">
        <v>800</v>
      </c>
      <c r="I1842" t="s">
        <v>472</v>
      </c>
    </row>
    <row r="1843" spans="1:9" x14ac:dyDescent="0.35">
      <c r="A1843" s="2">
        <v>45443</v>
      </c>
      <c r="B1843">
        <v>84</v>
      </c>
      <c r="C1843">
        <v>6121031</v>
      </c>
      <c r="D1843" t="s">
        <v>209</v>
      </c>
      <c r="E1843" t="s">
        <v>752</v>
      </c>
      <c r="F1843" s="3">
        <v>2400</v>
      </c>
      <c r="G1843" s="3">
        <v>0</v>
      </c>
      <c r="H1843" s="3">
        <v>2400</v>
      </c>
      <c r="I1843" t="s">
        <v>472</v>
      </c>
    </row>
    <row r="1844" spans="1:9" x14ac:dyDescent="0.35">
      <c r="A1844" s="2">
        <v>45443</v>
      </c>
      <c r="B1844">
        <v>84</v>
      </c>
      <c r="C1844">
        <v>2114001</v>
      </c>
      <c r="D1844" t="s">
        <v>97</v>
      </c>
      <c r="E1844" t="s">
        <v>753</v>
      </c>
      <c r="F1844" s="3">
        <v>5848</v>
      </c>
      <c r="G1844" s="3">
        <v>0</v>
      </c>
      <c r="H1844" s="3">
        <v>5848</v>
      </c>
      <c r="I1844" t="s">
        <v>472</v>
      </c>
    </row>
    <row r="1845" spans="1:9" x14ac:dyDescent="0.35">
      <c r="A1845" s="2">
        <v>45443</v>
      </c>
      <c r="B1845">
        <v>84</v>
      </c>
      <c r="C1845">
        <v>5131016</v>
      </c>
      <c r="D1845" t="s">
        <v>238</v>
      </c>
      <c r="E1845" t="s">
        <v>754</v>
      </c>
      <c r="F1845" s="3">
        <v>200</v>
      </c>
      <c r="G1845" s="3">
        <v>0</v>
      </c>
      <c r="H1845" s="3">
        <v>200</v>
      </c>
      <c r="I1845" t="s">
        <v>472</v>
      </c>
    </row>
    <row r="1846" spans="1:9" x14ac:dyDescent="0.35">
      <c r="A1846" s="2">
        <v>45443</v>
      </c>
      <c r="B1846">
        <v>84</v>
      </c>
      <c r="C1846">
        <v>2124004</v>
      </c>
      <c r="D1846" t="s">
        <v>29</v>
      </c>
      <c r="E1846" t="s">
        <v>755</v>
      </c>
      <c r="F1846" s="3">
        <v>1108.06</v>
      </c>
      <c r="G1846" s="3">
        <v>0</v>
      </c>
      <c r="H1846" s="3">
        <v>1108.06</v>
      </c>
      <c r="I1846" t="s">
        <v>472</v>
      </c>
    </row>
    <row r="1847" spans="1:9" x14ac:dyDescent="0.35">
      <c r="A1847" s="2">
        <v>45443</v>
      </c>
      <c r="B1847">
        <v>84</v>
      </c>
      <c r="C1847">
        <v>5131016</v>
      </c>
      <c r="D1847" t="s">
        <v>238</v>
      </c>
      <c r="E1847" t="s">
        <v>756</v>
      </c>
      <c r="F1847" s="3">
        <v>4045</v>
      </c>
      <c r="G1847" s="3">
        <v>0</v>
      </c>
      <c r="H1847" s="3">
        <v>4045</v>
      </c>
      <c r="I1847" t="s">
        <v>472</v>
      </c>
    </row>
    <row r="1848" spans="1:9" x14ac:dyDescent="0.35">
      <c r="A1848" s="2">
        <v>45443</v>
      </c>
      <c r="B1848">
        <v>84</v>
      </c>
      <c r="C1848">
        <v>2161001</v>
      </c>
      <c r="D1848" t="s">
        <v>93</v>
      </c>
      <c r="E1848" t="s">
        <v>1771</v>
      </c>
      <c r="F1848" s="3">
        <v>3100</v>
      </c>
      <c r="G1848" s="3">
        <v>0</v>
      </c>
      <c r="H1848" s="3">
        <v>3100</v>
      </c>
      <c r="I1848" t="s">
        <v>472</v>
      </c>
    </row>
    <row r="1849" spans="1:9" x14ac:dyDescent="0.35">
      <c r="A1849" s="2">
        <v>45443</v>
      </c>
      <c r="B1849">
        <v>84</v>
      </c>
      <c r="C1849">
        <v>6121019</v>
      </c>
      <c r="D1849" t="s">
        <v>100</v>
      </c>
      <c r="E1849" t="s">
        <v>101</v>
      </c>
      <c r="F1849" s="3">
        <v>507.09</v>
      </c>
      <c r="G1849" s="3">
        <v>0</v>
      </c>
      <c r="H1849" s="3">
        <v>507.09</v>
      </c>
      <c r="I1849" t="s">
        <v>472</v>
      </c>
    </row>
    <row r="1850" spans="1:9" x14ac:dyDescent="0.35">
      <c r="A1850" s="2">
        <v>45443</v>
      </c>
      <c r="B1850">
        <v>84</v>
      </c>
      <c r="C1850">
        <v>5131016</v>
      </c>
      <c r="D1850" t="s">
        <v>238</v>
      </c>
      <c r="E1850" t="s">
        <v>757</v>
      </c>
      <c r="F1850" s="3">
        <v>900</v>
      </c>
      <c r="G1850" s="3">
        <v>0</v>
      </c>
      <c r="H1850" s="3">
        <v>900</v>
      </c>
      <c r="I1850" t="s">
        <v>472</v>
      </c>
    </row>
    <row r="1851" spans="1:9" x14ac:dyDescent="0.35">
      <c r="A1851" s="2">
        <v>45443</v>
      </c>
      <c r="B1851">
        <v>84</v>
      </c>
      <c r="C1851">
        <v>2121003</v>
      </c>
      <c r="D1851" t="s">
        <v>28</v>
      </c>
      <c r="E1851" t="s">
        <v>297</v>
      </c>
      <c r="F1851" s="3">
        <v>11751.53</v>
      </c>
      <c r="G1851" s="3">
        <v>0</v>
      </c>
      <c r="H1851" s="3">
        <v>11751.53</v>
      </c>
      <c r="I1851" t="s">
        <v>472</v>
      </c>
    </row>
    <row r="1852" spans="1:9" x14ac:dyDescent="0.35">
      <c r="A1852" s="2">
        <v>45443</v>
      </c>
      <c r="B1852">
        <v>84</v>
      </c>
      <c r="C1852">
        <v>1112003</v>
      </c>
      <c r="D1852" t="s">
        <v>22</v>
      </c>
      <c r="E1852" t="s">
        <v>758</v>
      </c>
      <c r="F1852" s="3">
        <v>0</v>
      </c>
      <c r="G1852" s="3">
        <v>36548.589999999997</v>
      </c>
      <c r="H1852" s="3">
        <v>-36548.589999999997</v>
      </c>
      <c r="I1852" t="s">
        <v>472</v>
      </c>
    </row>
    <row r="1853" spans="1:9" x14ac:dyDescent="0.35">
      <c r="A1853" s="2">
        <v>45443</v>
      </c>
      <c r="B1853">
        <v>84</v>
      </c>
      <c r="C1853">
        <v>1112003</v>
      </c>
      <c r="D1853" t="s">
        <v>22</v>
      </c>
      <c r="E1853" t="s">
        <v>749</v>
      </c>
      <c r="F1853" s="3">
        <v>37450</v>
      </c>
      <c r="G1853" s="3">
        <v>0</v>
      </c>
      <c r="H1853" s="3">
        <v>37450</v>
      </c>
      <c r="I1853" t="s">
        <v>472</v>
      </c>
    </row>
    <row r="1854" spans="1:9" x14ac:dyDescent="0.35">
      <c r="A1854" s="2">
        <v>45443</v>
      </c>
      <c r="B1854">
        <v>84</v>
      </c>
      <c r="C1854">
        <v>1111001</v>
      </c>
      <c r="D1854" t="s">
        <v>16</v>
      </c>
      <c r="E1854" t="s">
        <v>111</v>
      </c>
      <c r="F1854" s="3">
        <v>0</v>
      </c>
      <c r="G1854" s="3">
        <v>22100</v>
      </c>
      <c r="H1854" s="3">
        <v>-22100</v>
      </c>
      <c r="I1854" t="s">
        <v>472</v>
      </c>
    </row>
    <row r="1855" spans="1:9" x14ac:dyDescent="0.35">
      <c r="A1855" s="2">
        <v>45443</v>
      </c>
      <c r="B1855">
        <v>84</v>
      </c>
      <c r="C1855">
        <v>1111001</v>
      </c>
      <c r="D1855" t="s">
        <v>16</v>
      </c>
      <c r="E1855" t="s">
        <v>759</v>
      </c>
      <c r="F1855" s="3">
        <v>0</v>
      </c>
      <c r="G1855" s="3">
        <v>400</v>
      </c>
      <c r="H1855" s="3">
        <v>-400</v>
      </c>
      <c r="I1855" t="s">
        <v>472</v>
      </c>
    </row>
    <row r="1856" spans="1:9" x14ac:dyDescent="0.35">
      <c r="A1856" s="2">
        <v>45443</v>
      </c>
      <c r="B1856">
        <v>84</v>
      </c>
      <c r="C1856">
        <v>1111001</v>
      </c>
      <c r="D1856" t="s">
        <v>16</v>
      </c>
      <c r="E1856" t="s">
        <v>300</v>
      </c>
      <c r="F1856" s="3">
        <v>0</v>
      </c>
      <c r="G1856" s="3">
        <v>14950</v>
      </c>
      <c r="H1856" s="3">
        <v>-14950</v>
      </c>
      <c r="I1856" t="s">
        <v>472</v>
      </c>
    </row>
    <row r="1857" spans="1:9" x14ac:dyDescent="0.35">
      <c r="A1857" s="2">
        <v>45443</v>
      </c>
      <c r="B1857">
        <v>84</v>
      </c>
      <c r="C1857">
        <v>5132012</v>
      </c>
      <c r="D1857" t="s">
        <v>303</v>
      </c>
      <c r="E1857" t="s">
        <v>760</v>
      </c>
      <c r="F1857" s="3">
        <v>1460</v>
      </c>
      <c r="G1857" s="3">
        <v>0</v>
      </c>
      <c r="H1857" s="3">
        <v>1460</v>
      </c>
      <c r="I1857" t="s">
        <v>438</v>
      </c>
    </row>
    <row r="1858" spans="1:9" x14ac:dyDescent="0.35">
      <c r="A1858" s="2">
        <v>45443</v>
      </c>
      <c r="B1858">
        <v>84</v>
      </c>
      <c r="C1858">
        <v>5131016</v>
      </c>
      <c r="D1858" t="s">
        <v>238</v>
      </c>
      <c r="E1858" t="s">
        <v>761</v>
      </c>
      <c r="F1858" s="3">
        <v>3285</v>
      </c>
      <c r="G1858" s="3">
        <v>0</v>
      </c>
      <c r="H1858" s="3">
        <v>3285</v>
      </c>
      <c r="I1858" t="s">
        <v>438</v>
      </c>
    </row>
    <row r="1859" spans="1:9" x14ac:dyDescent="0.35">
      <c r="A1859" s="2">
        <v>45443</v>
      </c>
      <c r="B1859">
        <v>84</v>
      </c>
      <c r="C1859">
        <v>6121023</v>
      </c>
      <c r="D1859" t="s">
        <v>49</v>
      </c>
      <c r="E1859" t="s">
        <v>762</v>
      </c>
      <c r="F1859" s="3">
        <v>1240</v>
      </c>
      <c r="G1859" s="3">
        <v>0</v>
      </c>
      <c r="H1859" s="3">
        <v>1240</v>
      </c>
      <c r="I1859" t="s">
        <v>438</v>
      </c>
    </row>
    <row r="1860" spans="1:9" x14ac:dyDescent="0.35">
      <c r="A1860" s="2">
        <v>45443</v>
      </c>
      <c r="B1860">
        <v>84</v>
      </c>
      <c r="C1860">
        <v>2114001</v>
      </c>
      <c r="D1860" t="s">
        <v>97</v>
      </c>
      <c r="E1860" t="s">
        <v>763</v>
      </c>
      <c r="F1860" s="3">
        <v>0</v>
      </c>
      <c r="G1860" s="3">
        <v>5985</v>
      </c>
      <c r="H1860" s="3">
        <v>-5985</v>
      </c>
      <c r="I1860" t="s">
        <v>438</v>
      </c>
    </row>
    <row r="1861" spans="1:9" x14ac:dyDescent="0.35">
      <c r="A1861" s="2">
        <v>45443</v>
      </c>
      <c r="B1861">
        <v>84</v>
      </c>
      <c r="C1861">
        <v>5131001</v>
      </c>
      <c r="D1861" t="s">
        <v>86</v>
      </c>
      <c r="E1861" t="s">
        <v>764</v>
      </c>
      <c r="F1861" s="3">
        <v>390</v>
      </c>
      <c r="G1861" s="3">
        <v>0</v>
      </c>
      <c r="H1861" s="3">
        <v>390</v>
      </c>
      <c r="I1861" t="s">
        <v>574</v>
      </c>
    </row>
    <row r="1862" spans="1:9" x14ac:dyDescent="0.35">
      <c r="A1862" s="2">
        <v>45443</v>
      </c>
      <c r="B1862">
        <v>84</v>
      </c>
      <c r="C1862">
        <v>5131005</v>
      </c>
      <c r="D1862" t="s">
        <v>205</v>
      </c>
      <c r="E1862" t="s">
        <v>764</v>
      </c>
      <c r="F1862" s="3">
        <v>4381.2</v>
      </c>
      <c r="G1862" s="3">
        <v>0</v>
      </c>
      <c r="H1862" s="3">
        <v>4381.2</v>
      </c>
      <c r="I1862" t="s">
        <v>574</v>
      </c>
    </row>
    <row r="1863" spans="1:9" x14ac:dyDescent="0.35">
      <c r="A1863" s="2">
        <v>45443</v>
      </c>
      <c r="B1863">
        <v>84</v>
      </c>
      <c r="C1863">
        <v>5131008</v>
      </c>
      <c r="D1863" t="s">
        <v>89</v>
      </c>
      <c r="E1863" t="s">
        <v>764</v>
      </c>
      <c r="F1863" s="3">
        <v>81.900000000000006</v>
      </c>
      <c r="G1863" s="3">
        <v>0</v>
      </c>
      <c r="H1863" s="3">
        <v>81.900000000000006</v>
      </c>
      <c r="I1863" t="s">
        <v>574</v>
      </c>
    </row>
    <row r="1864" spans="1:9" x14ac:dyDescent="0.35">
      <c r="A1864" s="2">
        <v>45443</v>
      </c>
      <c r="B1864">
        <v>84</v>
      </c>
      <c r="C1864">
        <v>5131009</v>
      </c>
      <c r="D1864" t="s">
        <v>90</v>
      </c>
      <c r="E1864" t="s">
        <v>764</v>
      </c>
      <c r="F1864" s="3">
        <v>16.25</v>
      </c>
      <c r="G1864" s="3">
        <v>0</v>
      </c>
      <c r="H1864" s="3">
        <v>16.25</v>
      </c>
      <c r="I1864" t="s">
        <v>574</v>
      </c>
    </row>
    <row r="1865" spans="1:9" x14ac:dyDescent="0.35">
      <c r="A1865" s="2">
        <v>45443</v>
      </c>
      <c r="B1865">
        <v>84</v>
      </c>
      <c r="C1865">
        <v>5131010</v>
      </c>
      <c r="D1865" t="s">
        <v>91</v>
      </c>
      <c r="E1865" t="s">
        <v>764</v>
      </c>
      <c r="F1865" s="3">
        <v>32.5</v>
      </c>
      <c r="G1865" s="3">
        <v>0</v>
      </c>
      <c r="H1865" s="3">
        <v>32.5</v>
      </c>
      <c r="I1865" t="s">
        <v>574</v>
      </c>
    </row>
    <row r="1866" spans="1:9" x14ac:dyDescent="0.35">
      <c r="A1866" s="2">
        <v>45443</v>
      </c>
      <c r="B1866">
        <v>84</v>
      </c>
      <c r="C1866">
        <v>5131012</v>
      </c>
      <c r="D1866" t="s">
        <v>206</v>
      </c>
      <c r="E1866" t="s">
        <v>764</v>
      </c>
      <c r="F1866" s="3">
        <v>28.6</v>
      </c>
      <c r="G1866" s="3">
        <v>0</v>
      </c>
      <c r="H1866" s="3">
        <v>28.6</v>
      </c>
      <c r="I1866" t="s">
        <v>574</v>
      </c>
    </row>
    <row r="1867" spans="1:9" x14ac:dyDescent="0.35">
      <c r="A1867" s="2">
        <v>45443</v>
      </c>
      <c r="B1867">
        <v>84</v>
      </c>
      <c r="C1867">
        <v>5131013</v>
      </c>
      <c r="D1867" t="s">
        <v>92</v>
      </c>
      <c r="E1867" t="s">
        <v>764</v>
      </c>
      <c r="F1867" s="3">
        <v>7.8</v>
      </c>
      <c r="G1867" s="3">
        <v>0</v>
      </c>
      <c r="H1867" s="3">
        <v>7.8</v>
      </c>
      <c r="I1867" t="s">
        <v>574</v>
      </c>
    </row>
    <row r="1868" spans="1:9" x14ac:dyDescent="0.35">
      <c r="A1868" s="2">
        <v>45443</v>
      </c>
      <c r="B1868">
        <v>84</v>
      </c>
      <c r="C1868">
        <v>5131014</v>
      </c>
      <c r="D1868" t="s">
        <v>207</v>
      </c>
      <c r="E1868" t="s">
        <v>764</v>
      </c>
      <c r="F1868" s="3">
        <v>7.8</v>
      </c>
      <c r="G1868" s="3">
        <v>0</v>
      </c>
      <c r="H1868" s="3">
        <v>7.8</v>
      </c>
      <c r="I1868" t="s">
        <v>574</v>
      </c>
    </row>
    <row r="1869" spans="1:9" x14ac:dyDescent="0.35">
      <c r="A1869" s="2">
        <v>45443</v>
      </c>
      <c r="B1869">
        <v>84</v>
      </c>
      <c r="C1869">
        <v>2131002</v>
      </c>
      <c r="D1869" t="s">
        <v>31</v>
      </c>
      <c r="E1869" t="s">
        <v>764</v>
      </c>
      <c r="F1869" s="3">
        <v>0</v>
      </c>
      <c r="G1869" s="3">
        <v>18</v>
      </c>
      <c r="H1869" s="3">
        <v>-18</v>
      </c>
      <c r="I1869" t="s">
        <v>574</v>
      </c>
    </row>
    <row r="1870" spans="1:9" x14ac:dyDescent="0.35">
      <c r="A1870" s="2">
        <v>45443</v>
      </c>
      <c r="B1870">
        <v>84</v>
      </c>
      <c r="C1870">
        <v>2131003</v>
      </c>
      <c r="D1870" t="s">
        <v>32</v>
      </c>
      <c r="E1870" t="s">
        <v>764</v>
      </c>
      <c r="F1870" s="3">
        <v>0</v>
      </c>
      <c r="G1870" s="3">
        <v>2.25</v>
      </c>
      <c r="H1870" s="3">
        <v>-2.25</v>
      </c>
      <c r="I1870" t="s">
        <v>574</v>
      </c>
    </row>
    <row r="1871" spans="1:9" x14ac:dyDescent="0.35">
      <c r="A1871" s="2">
        <v>45443</v>
      </c>
      <c r="B1871">
        <v>84</v>
      </c>
      <c r="C1871">
        <v>2131004</v>
      </c>
      <c r="D1871" t="s">
        <v>33</v>
      </c>
      <c r="E1871" t="s">
        <v>764</v>
      </c>
      <c r="F1871" s="3">
        <v>0</v>
      </c>
      <c r="G1871" s="3">
        <v>6.25</v>
      </c>
      <c r="H1871" s="3">
        <v>-6.25</v>
      </c>
      <c r="I1871" t="s">
        <v>574</v>
      </c>
    </row>
    <row r="1872" spans="1:9" x14ac:dyDescent="0.35">
      <c r="A1872" s="2">
        <v>45443</v>
      </c>
      <c r="B1872">
        <v>84</v>
      </c>
      <c r="C1872">
        <v>2141001</v>
      </c>
      <c r="D1872" t="s">
        <v>35</v>
      </c>
      <c r="E1872" t="s">
        <v>764</v>
      </c>
      <c r="F1872" s="3">
        <v>0</v>
      </c>
      <c r="G1872" s="3">
        <v>28.6</v>
      </c>
      <c r="H1872" s="3">
        <v>-28.6</v>
      </c>
      <c r="I1872" t="s">
        <v>574</v>
      </c>
    </row>
    <row r="1873" spans="1:9" x14ac:dyDescent="0.35">
      <c r="A1873" s="2">
        <v>45443</v>
      </c>
      <c r="B1873">
        <v>84</v>
      </c>
      <c r="C1873">
        <v>2141002</v>
      </c>
      <c r="D1873" t="s">
        <v>36</v>
      </c>
      <c r="E1873" t="s">
        <v>764</v>
      </c>
      <c r="F1873" s="3">
        <v>0</v>
      </c>
      <c r="G1873" s="3">
        <v>7.8</v>
      </c>
      <c r="H1873" s="3">
        <v>-7.8</v>
      </c>
      <c r="I1873" t="s">
        <v>574</v>
      </c>
    </row>
    <row r="1874" spans="1:9" x14ac:dyDescent="0.35">
      <c r="A1874" s="2">
        <v>45443</v>
      </c>
      <c r="B1874">
        <v>84</v>
      </c>
      <c r="C1874">
        <v>2141003</v>
      </c>
      <c r="D1874" t="s">
        <v>37</v>
      </c>
      <c r="E1874" t="s">
        <v>764</v>
      </c>
      <c r="F1874" s="3">
        <v>0</v>
      </c>
      <c r="G1874" s="3">
        <v>7.8</v>
      </c>
      <c r="H1874" s="3">
        <v>-7.8</v>
      </c>
      <c r="I1874" t="s">
        <v>574</v>
      </c>
    </row>
    <row r="1875" spans="1:9" x14ac:dyDescent="0.35">
      <c r="A1875" s="2">
        <v>45443</v>
      </c>
      <c r="B1875">
        <v>84</v>
      </c>
      <c r="C1875">
        <v>2161004</v>
      </c>
      <c r="D1875" t="s">
        <v>38</v>
      </c>
      <c r="E1875" t="s">
        <v>764</v>
      </c>
      <c r="F1875" s="3">
        <v>0</v>
      </c>
      <c r="G1875" s="3">
        <v>16.25</v>
      </c>
      <c r="H1875" s="3">
        <v>-16.25</v>
      </c>
      <c r="I1875" t="s">
        <v>574</v>
      </c>
    </row>
    <row r="1876" spans="1:9" x14ac:dyDescent="0.35">
      <c r="A1876" s="2">
        <v>45443</v>
      </c>
      <c r="B1876">
        <v>84</v>
      </c>
      <c r="C1876">
        <v>2161005</v>
      </c>
      <c r="D1876" t="s">
        <v>39</v>
      </c>
      <c r="E1876" t="s">
        <v>764</v>
      </c>
      <c r="F1876" s="3">
        <v>0</v>
      </c>
      <c r="G1876" s="3">
        <v>32.5</v>
      </c>
      <c r="H1876" s="3">
        <v>-32.5</v>
      </c>
      <c r="I1876" t="s">
        <v>574</v>
      </c>
    </row>
    <row r="1877" spans="1:9" x14ac:dyDescent="0.35">
      <c r="A1877" s="2">
        <v>45443</v>
      </c>
      <c r="B1877">
        <v>84</v>
      </c>
      <c r="C1877">
        <v>2241001</v>
      </c>
      <c r="D1877" t="s">
        <v>40</v>
      </c>
      <c r="E1877" t="s">
        <v>764</v>
      </c>
      <c r="F1877" s="3">
        <v>0</v>
      </c>
      <c r="G1877" s="3">
        <v>81.900000000000006</v>
      </c>
      <c r="H1877" s="3">
        <v>-81.900000000000006</v>
      </c>
      <c r="I1877" t="s">
        <v>574</v>
      </c>
    </row>
    <row r="1878" spans="1:9" x14ac:dyDescent="0.35">
      <c r="A1878" s="2">
        <v>45443</v>
      </c>
      <c r="B1878">
        <v>84</v>
      </c>
      <c r="C1878">
        <v>2161001</v>
      </c>
      <c r="D1878" t="s">
        <v>93</v>
      </c>
      <c r="E1878" t="s">
        <v>764</v>
      </c>
      <c r="F1878" s="3">
        <v>0</v>
      </c>
      <c r="G1878" s="3">
        <v>4744.7</v>
      </c>
      <c r="H1878" s="3">
        <v>-4744.7</v>
      </c>
      <c r="I1878" t="s">
        <v>574</v>
      </c>
    </row>
    <row r="1879" spans="1:9" x14ac:dyDescent="0.35">
      <c r="A1879" s="2">
        <v>45443</v>
      </c>
      <c r="B1879">
        <v>84</v>
      </c>
      <c r="C1879">
        <v>5131006</v>
      </c>
      <c r="D1879" t="s">
        <v>125</v>
      </c>
      <c r="E1879" t="s">
        <v>765</v>
      </c>
      <c r="F1879" s="3">
        <v>16905.3</v>
      </c>
      <c r="G1879" s="3">
        <v>0</v>
      </c>
      <c r="H1879" s="3">
        <v>16905.3</v>
      </c>
      <c r="I1879" t="s">
        <v>438</v>
      </c>
    </row>
    <row r="1880" spans="1:9" x14ac:dyDescent="0.35">
      <c r="A1880" s="2">
        <v>45443</v>
      </c>
      <c r="B1880">
        <v>84</v>
      </c>
      <c r="C1880">
        <v>2161001</v>
      </c>
      <c r="D1880" t="s">
        <v>93</v>
      </c>
      <c r="E1880" t="s">
        <v>765</v>
      </c>
      <c r="F1880" s="3">
        <v>0</v>
      </c>
      <c r="G1880" s="3">
        <v>16905.3</v>
      </c>
      <c r="H1880" s="3">
        <v>-16905.3</v>
      </c>
      <c r="I1880" t="s">
        <v>438</v>
      </c>
    </row>
    <row r="1881" spans="1:9" x14ac:dyDescent="0.35">
      <c r="A1881" s="2">
        <v>45443</v>
      </c>
      <c r="B1881">
        <v>84</v>
      </c>
      <c r="C1881">
        <v>5131015</v>
      </c>
      <c r="D1881" t="s">
        <v>766</v>
      </c>
      <c r="E1881" t="s">
        <v>767</v>
      </c>
      <c r="F1881" s="3">
        <v>2992.63</v>
      </c>
      <c r="G1881" s="3">
        <v>0</v>
      </c>
      <c r="H1881" s="3">
        <v>2992.63</v>
      </c>
      <c r="I1881" t="s">
        <v>768</v>
      </c>
    </row>
    <row r="1882" spans="1:9" x14ac:dyDescent="0.35">
      <c r="A1882" s="2">
        <v>45443</v>
      </c>
      <c r="B1882">
        <v>84</v>
      </c>
      <c r="C1882">
        <v>2124010</v>
      </c>
      <c r="D1882" t="s">
        <v>769</v>
      </c>
      <c r="E1882" t="s">
        <v>767</v>
      </c>
      <c r="F1882" s="3">
        <v>0</v>
      </c>
      <c r="G1882" s="3">
        <v>2992.63</v>
      </c>
      <c r="H1882" s="3">
        <v>-2992.63</v>
      </c>
      <c r="I1882" t="s">
        <v>768</v>
      </c>
    </row>
    <row r="1883" spans="1:9" x14ac:dyDescent="0.35">
      <c r="A1883" s="2">
        <v>45443</v>
      </c>
      <c r="B1883">
        <v>84</v>
      </c>
      <c r="C1883">
        <v>2114010</v>
      </c>
      <c r="D1883" t="s">
        <v>48</v>
      </c>
      <c r="E1883" t="s">
        <v>770</v>
      </c>
      <c r="F1883" s="3">
        <v>3937.69</v>
      </c>
      <c r="G1883" s="3">
        <v>0</v>
      </c>
      <c r="H1883" s="3">
        <v>3937.69</v>
      </c>
      <c r="I1883" t="s">
        <v>144</v>
      </c>
    </row>
    <row r="1884" spans="1:9" x14ac:dyDescent="0.35">
      <c r="A1884" s="2">
        <v>45443</v>
      </c>
      <c r="B1884">
        <v>84</v>
      </c>
      <c r="C1884">
        <v>2114001</v>
      </c>
      <c r="D1884" t="s">
        <v>97</v>
      </c>
      <c r="E1884" t="s">
        <v>770</v>
      </c>
      <c r="F1884" s="3">
        <v>0</v>
      </c>
      <c r="G1884" s="3">
        <v>3937.69</v>
      </c>
      <c r="H1884" s="3">
        <v>-3937.69</v>
      </c>
      <c r="I1884" t="s">
        <v>144</v>
      </c>
    </row>
    <row r="1885" spans="1:9" x14ac:dyDescent="0.35">
      <c r="A1885" s="2">
        <v>45443</v>
      </c>
      <c r="B1885">
        <v>84</v>
      </c>
      <c r="C1885">
        <v>2124009</v>
      </c>
      <c r="D1885" t="s">
        <v>154</v>
      </c>
      <c r="E1885" t="s">
        <v>755</v>
      </c>
      <c r="F1885" s="3">
        <v>784.04</v>
      </c>
      <c r="G1885" s="3">
        <v>0</v>
      </c>
      <c r="H1885" s="3">
        <v>784.04</v>
      </c>
      <c r="I1885" t="s">
        <v>114</v>
      </c>
    </row>
    <row r="1886" spans="1:9" x14ac:dyDescent="0.35">
      <c r="A1886" s="2">
        <v>45443</v>
      </c>
      <c r="B1886">
        <v>84</v>
      </c>
      <c r="C1886">
        <v>2161001</v>
      </c>
      <c r="D1886" t="s">
        <v>93</v>
      </c>
      <c r="E1886" t="s">
        <v>242</v>
      </c>
      <c r="F1886" s="3">
        <v>793.18</v>
      </c>
      <c r="G1886" s="3">
        <v>0</v>
      </c>
      <c r="H1886" s="3">
        <v>793.18</v>
      </c>
      <c r="I1886" t="s">
        <v>144</v>
      </c>
    </row>
    <row r="1887" spans="1:9" x14ac:dyDescent="0.35">
      <c r="A1887" s="2">
        <v>45443</v>
      </c>
      <c r="B1887">
        <v>84</v>
      </c>
      <c r="C1887">
        <v>2114001</v>
      </c>
      <c r="D1887" t="s">
        <v>97</v>
      </c>
      <c r="E1887" t="s">
        <v>242</v>
      </c>
      <c r="F1887" s="3">
        <v>0</v>
      </c>
      <c r="G1887" s="3">
        <v>793.18</v>
      </c>
      <c r="H1887" s="3">
        <v>-793.18</v>
      </c>
      <c r="I1887" t="s">
        <v>144</v>
      </c>
    </row>
    <row r="1888" spans="1:9" x14ac:dyDescent="0.35">
      <c r="A1888" s="2">
        <v>45458</v>
      </c>
      <c r="B1888">
        <v>85</v>
      </c>
      <c r="C1888">
        <v>6121023</v>
      </c>
      <c r="D1888" t="s">
        <v>49</v>
      </c>
      <c r="E1888" t="s">
        <v>166</v>
      </c>
      <c r="F1888" s="3">
        <v>162.11000000000001</v>
      </c>
      <c r="G1888" s="3">
        <v>0</v>
      </c>
      <c r="H1888" s="3">
        <v>162.11000000000001</v>
      </c>
      <c r="I1888" t="s">
        <v>771</v>
      </c>
    </row>
    <row r="1889" spans="1:9" x14ac:dyDescent="0.35">
      <c r="A1889" s="2">
        <v>45458</v>
      </c>
      <c r="B1889">
        <v>85</v>
      </c>
      <c r="C1889">
        <v>6121046</v>
      </c>
      <c r="D1889" t="s">
        <v>94</v>
      </c>
      <c r="E1889" t="s">
        <v>166</v>
      </c>
      <c r="F1889" s="3">
        <v>4.8600000000000003</v>
      </c>
      <c r="G1889" s="3">
        <v>0</v>
      </c>
      <c r="H1889" s="3">
        <v>4.8600000000000003</v>
      </c>
      <c r="I1889" t="s">
        <v>771</v>
      </c>
    </row>
    <row r="1890" spans="1:9" x14ac:dyDescent="0.35">
      <c r="A1890" s="2">
        <v>45458</v>
      </c>
      <c r="B1890">
        <v>85</v>
      </c>
      <c r="C1890">
        <v>2114010</v>
      </c>
      <c r="D1890" t="s">
        <v>48</v>
      </c>
      <c r="E1890" t="s">
        <v>166</v>
      </c>
      <c r="F1890" s="3">
        <v>0</v>
      </c>
      <c r="G1890" s="3">
        <v>4.8600000000000003</v>
      </c>
      <c r="H1890" s="3">
        <v>-4.8600000000000003</v>
      </c>
      <c r="I1890" t="s">
        <v>771</v>
      </c>
    </row>
    <row r="1891" spans="1:9" x14ac:dyDescent="0.35">
      <c r="A1891" s="2">
        <v>45458</v>
      </c>
      <c r="B1891">
        <v>85</v>
      </c>
      <c r="C1891">
        <v>2114010</v>
      </c>
      <c r="D1891" t="s">
        <v>48</v>
      </c>
      <c r="E1891" t="s">
        <v>166</v>
      </c>
      <c r="F1891" s="3">
        <v>0</v>
      </c>
      <c r="G1891" s="3">
        <v>162.11000000000001</v>
      </c>
      <c r="H1891" s="3">
        <v>-162.11000000000001</v>
      </c>
      <c r="I1891" t="s">
        <v>771</v>
      </c>
    </row>
    <row r="1892" spans="1:9" x14ac:dyDescent="0.35">
      <c r="A1892" s="2">
        <v>45458</v>
      </c>
      <c r="B1892">
        <v>85</v>
      </c>
      <c r="C1892">
        <v>6121023</v>
      </c>
      <c r="D1892" t="s">
        <v>49</v>
      </c>
      <c r="E1892" t="s">
        <v>166</v>
      </c>
      <c r="F1892" s="3">
        <v>461.63</v>
      </c>
      <c r="G1892" s="3">
        <v>0</v>
      </c>
      <c r="H1892" s="3">
        <v>461.63</v>
      </c>
      <c r="I1892" t="s">
        <v>772</v>
      </c>
    </row>
    <row r="1893" spans="1:9" x14ac:dyDescent="0.35">
      <c r="A1893" s="2">
        <v>45458</v>
      </c>
      <c r="B1893">
        <v>85</v>
      </c>
      <c r="C1893">
        <v>6121046</v>
      </c>
      <c r="D1893" t="s">
        <v>94</v>
      </c>
      <c r="E1893" t="s">
        <v>166</v>
      </c>
      <c r="F1893" s="3">
        <v>13.85</v>
      </c>
      <c r="G1893" s="3">
        <v>0</v>
      </c>
      <c r="H1893" s="3">
        <v>13.85</v>
      </c>
      <c r="I1893" t="s">
        <v>772</v>
      </c>
    </row>
    <row r="1894" spans="1:9" x14ac:dyDescent="0.35">
      <c r="A1894" s="2">
        <v>45458</v>
      </c>
      <c r="B1894">
        <v>85</v>
      </c>
      <c r="C1894">
        <v>2114010</v>
      </c>
      <c r="D1894" t="s">
        <v>48</v>
      </c>
      <c r="E1894" t="s">
        <v>166</v>
      </c>
      <c r="F1894" s="3">
        <v>0</v>
      </c>
      <c r="G1894" s="3">
        <v>13.85</v>
      </c>
      <c r="H1894" s="3">
        <v>-13.85</v>
      </c>
      <c r="I1894" t="s">
        <v>772</v>
      </c>
    </row>
    <row r="1895" spans="1:9" x14ac:dyDescent="0.35">
      <c r="A1895" s="2">
        <v>45458</v>
      </c>
      <c r="B1895">
        <v>85</v>
      </c>
      <c r="C1895">
        <v>2114010</v>
      </c>
      <c r="D1895" t="s">
        <v>48</v>
      </c>
      <c r="E1895" t="s">
        <v>166</v>
      </c>
      <c r="F1895" s="3">
        <v>0</v>
      </c>
      <c r="G1895" s="3">
        <v>461.63</v>
      </c>
      <c r="H1895" s="3">
        <v>-461.63</v>
      </c>
      <c r="I1895" t="s">
        <v>772</v>
      </c>
    </row>
    <row r="1896" spans="1:9" x14ac:dyDescent="0.35">
      <c r="A1896" s="2">
        <v>45458</v>
      </c>
      <c r="B1896">
        <v>85</v>
      </c>
      <c r="C1896">
        <v>6121027</v>
      </c>
      <c r="D1896" t="s">
        <v>45</v>
      </c>
      <c r="E1896" t="s">
        <v>257</v>
      </c>
      <c r="F1896" s="3">
        <v>92</v>
      </c>
      <c r="G1896" s="3">
        <v>0</v>
      </c>
      <c r="H1896" s="3">
        <v>92</v>
      </c>
      <c r="I1896" t="s">
        <v>773</v>
      </c>
    </row>
    <row r="1897" spans="1:9" x14ac:dyDescent="0.35">
      <c r="A1897" s="2">
        <v>45458</v>
      </c>
      <c r="B1897">
        <v>85</v>
      </c>
      <c r="C1897">
        <v>2114010</v>
      </c>
      <c r="D1897" t="s">
        <v>48</v>
      </c>
      <c r="E1897" t="s">
        <v>257</v>
      </c>
      <c r="F1897" s="3">
        <v>0</v>
      </c>
      <c r="G1897" s="3">
        <v>92</v>
      </c>
      <c r="H1897" s="3">
        <v>-92</v>
      </c>
      <c r="I1897" t="s">
        <v>773</v>
      </c>
    </row>
    <row r="1898" spans="1:9" x14ac:dyDescent="0.35">
      <c r="A1898" s="2">
        <v>45458</v>
      </c>
      <c r="B1898">
        <v>85</v>
      </c>
      <c r="C1898">
        <v>6121044</v>
      </c>
      <c r="D1898" t="s">
        <v>176</v>
      </c>
      <c r="E1898" t="s">
        <v>774</v>
      </c>
      <c r="F1898" s="3">
        <v>1915.21</v>
      </c>
      <c r="G1898" s="3">
        <v>0</v>
      </c>
      <c r="H1898" s="3">
        <v>1915.21</v>
      </c>
      <c r="I1898" t="s">
        <v>775</v>
      </c>
    </row>
    <row r="1899" spans="1:9" x14ac:dyDescent="0.35">
      <c r="A1899" s="2">
        <v>45458</v>
      </c>
      <c r="B1899">
        <v>85</v>
      </c>
      <c r="C1899">
        <v>2114010</v>
      </c>
      <c r="D1899" t="s">
        <v>48</v>
      </c>
      <c r="E1899" t="s">
        <v>774</v>
      </c>
      <c r="F1899" s="3">
        <v>0</v>
      </c>
      <c r="G1899" s="3">
        <v>1915.21</v>
      </c>
      <c r="H1899" s="3">
        <v>-1915.21</v>
      </c>
      <c r="I1899" t="s">
        <v>775</v>
      </c>
    </row>
    <row r="1900" spans="1:9" x14ac:dyDescent="0.35">
      <c r="A1900" s="2">
        <v>45458</v>
      </c>
      <c r="B1900">
        <v>85</v>
      </c>
      <c r="C1900">
        <v>6121023</v>
      </c>
      <c r="D1900" t="s">
        <v>49</v>
      </c>
      <c r="E1900" t="s">
        <v>52</v>
      </c>
      <c r="F1900" s="3">
        <v>120.18</v>
      </c>
      <c r="G1900" s="3">
        <v>0</v>
      </c>
      <c r="H1900" s="3">
        <v>120.18</v>
      </c>
      <c r="I1900" t="s">
        <v>776</v>
      </c>
    </row>
    <row r="1901" spans="1:9" x14ac:dyDescent="0.35">
      <c r="A1901" s="2">
        <v>45458</v>
      </c>
      <c r="B1901">
        <v>85</v>
      </c>
      <c r="C1901">
        <v>6121046</v>
      </c>
      <c r="D1901" t="s">
        <v>94</v>
      </c>
      <c r="E1901" t="s">
        <v>52</v>
      </c>
      <c r="F1901" s="3">
        <v>3.61</v>
      </c>
      <c r="G1901" s="3">
        <v>0</v>
      </c>
      <c r="H1901" s="3">
        <v>3.61</v>
      </c>
      <c r="I1901" t="s">
        <v>776</v>
      </c>
    </row>
    <row r="1902" spans="1:9" x14ac:dyDescent="0.35">
      <c r="A1902" s="2">
        <v>45458</v>
      </c>
      <c r="B1902">
        <v>85</v>
      </c>
      <c r="C1902">
        <v>2114010</v>
      </c>
      <c r="D1902" t="s">
        <v>48</v>
      </c>
      <c r="E1902" t="s">
        <v>52</v>
      </c>
      <c r="F1902" s="3">
        <v>0</v>
      </c>
      <c r="G1902" s="3">
        <v>3.61</v>
      </c>
      <c r="H1902" s="3">
        <v>-3.61</v>
      </c>
      <c r="I1902" t="s">
        <v>776</v>
      </c>
    </row>
    <row r="1903" spans="1:9" x14ac:dyDescent="0.35">
      <c r="A1903" s="2">
        <v>45458</v>
      </c>
      <c r="B1903">
        <v>85</v>
      </c>
      <c r="C1903">
        <v>2114010</v>
      </c>
      <c r="D1903" t="s">
        <v>48</v>
      </c>
      <c r="E1903" t="s">
        <v>52</v>
      </c>
      <c r="F1903" s="3">
        <v>0</v>
      </c>
      <c r="G1903" s="3">
        <v>120.18</v>
      </c>
      <c r="H1903" s="3">
        <v>-120.18</v>
      </c>
      <c r="I1903" t="s">
        <v>776</v>
      </c>
    </row>
    <row r="1904" spans="1:9" x14ac:dyDescent="0.35">
      <c r="A1904" s="2">
        <v>45458</v>
      </c>
      <c r="B1904">
        <v>85</v>
      </c>
      <c r="C1904">
        <v>6121023</v>
      </c>
      <c r="D1904" t="s">
        <v>49</v>
      </c>
      <c r="E1904" t="s">
        <v>52</v>
      </c>
      <c r="F1904" s="3">
        <v>226.46</v>
      </c>
      <c r="G1904" s="3">
        <v>0</v>
      </c>
      <c r="H1904" s="3">
        <v>226.46</v>
      </c>
      <c r="I1904" t="s">
        <v>777</v>
      </c>
    </row>
    <row r="1905" spans="1:9" x14ac:dyDescent="0.35">
      <c r="A1905" s="2">
        <v>45458</v>
      </c>
      <c r="B1905">
        <v>85</v>
      </c>
      <c r="C1905">
        <v>2114010</v>
      </c>
      <c r="D1905" t="s">
        <v>48</v>
      </c>
      <c r="E1905" t="s">
        <v>52</v>
      </c>
      <c r="F1905" s="3">
        <v>0</v>
      </c>
      <c r="G1905" s="3">
        <v>226.46</v>
      </c>
      <c r="H1905" s="3">
        <v>-226.46</v>
      </c>
      <c r="I1905" t="s">
        <v>777</v>
      </c>
    </row>
    <row r="1906" spans="1:9" x14ac:dyDescent="0.35">
      <c r="A1906" s="2">
        <v>45458</v>
      </c>
      <c r="B1906">
        <v>85</v>
      </c>
      <c r="C1906">
        <v>6121023</v>
      </c>
      <c r="D1906" t="s">
        <v>49</v>
      </c>
      <c r="E1906" t="s">
        <v>166</v>
      </c>
      <c r="F1906" s="3">
        <v>331.73</v>
      </c>
      <c r="G1906" s="3">
        <v>0</v>
      </c>
      <c r="H1906" s="3">
        <v>331.73</v>
      </c>
      <c r="I1906" t="s">
        <v>778</v>
      </c>
    </row>
    <row r="1907" spans="1:9" x14ac:dyDescent="0.35">
      <c r="A1907" s="2">
        <v>45458</v>
      </c>
      <c r="B1907">
        <v>85</v>
      </c>
      <c r="C1907">
        <v>2114010</v>
      </c>
      <c r="D1907" t="s">
        <v>48</v>
      </c>
      <c r="E1907" t="s">
        <v>166</v>
      </c>
      <c r="F1907" s="3">
        <v>0</v>
      </c>
      <c r="G1907" s="3">
        <v>331.73</v>
      </c>
      <c r="H1907" s="3">
        <v>-331.73</v>
      </c>
      <c r="I1907" t="s">
        <v>778</v>
      </c>
    </row>
    <row r="1908" spans="1:9" x14ac:dyDescent="0.35">
      <c r="A1908" s="2">
        <v>45458</v>
      </c>
      <c r="B1908">
        <v>85</v>
      </c>
      <c r="C1908">
        <v>6121023</v>
      </c>
      <c r="D1908" t="s">
        <v>49</v>
      </c>
      <c r="E1908" t="s">
        <v>166</v>
      </c>
      <c r="F1908" s="3">
        <v>693.39</v>
      </c>
      <c r="G1908" s="3">
        <v>0</v>
      </c>
      <c r="H1908" s="3">
        <v>693.39</v>
      </c>
      <c r="I1908" t="s">
        <v>779</v>
      </c>
    </row>
    <row r="1909" spans="1:9" x14ac:dyDescent="0.35">
      <c r="A1909" s="2">
        <v>45458</v>
      </c>
      <c r="B1909">
        <v>85</v>
      </c>
      <c r="C1909">
        <v>2114010</v>
      </c>
      <c r="D1909" t="s">
        <v>48</v>
      </c>
      <c r="E1909" t="s">
        <v>166</v>
      </c>
      <c r="F1909" s="3">
        <v>0</v>
      </c>
      <c r="G1909" s="3">
        <v>693.39</v>
      </c>
      <c r="H1909" s="3">
        <v>-693.39</v>
      </c>
      <c r="I1909" t="s">
        <v>779</v>
      </c>
    </row>
    <row r="1910" spans="1:9" x14ac:dyDescent="0.35">
      <c r="A1910" s="2">
        <v>45458</v>
      </c>
      <c r="B1910">
        <v>85</v>
      </c>
      <c r="C1910">
        <v>6121023</v>
      </c>
      <c r="D1910" t="s">
        <v>49</v>
      </c>
      <c r="E1910" t="s">
        <v>52</v>
      </c>
      <c r="F1910" s="3">
        <v>116.4</v>
      </c>
      <c r="G1910" s="3">
        <v>0</v>
      </c>
      <c r="H1910" s="3">
        <v>116.4</v>
      </c>
      <c r="I1910" t="s">
        <v>780</v>
      </c>
    </row>
    <row r="1911" spans="1:9" x14ac:dyDescent="0.35">
      <c r="A1911" s="2">
        <v>45458</v>
      </c>
      <c r="B1911">
        <v>85</v>
      </c>
      <c r="C1911">
        <v>2114010</v>
      </c>
      <c r="D1911" t="s">
        <v>48</v>
      </c>
      <c r="E1911" t="s">
        <v>52</v>
      </c>
      <c r="F1911" s="3">
        <v>0</v>
      </c>
      <c r="G1911" s="3">
        <v>116.4</v>
      </c>
      <c r="H1911" s="3">
        <v>-116.4</v>
      </c>
      <c r="I1911" t="s">
        <v>780</v>
      </c>
    </row>
    <row r="1912" spans="1:9" x14ac:dyDescent="0.35">
      <c r="A1912" s="2">
        <v>45458</v>
      </c>
      <c r="B1912">
        <v>85</v>
      </c>
      <c r="C1912">
        <v>6121027</v>
      </c>
      <c r="D1912" t="s">
        <v>45</v>
      </c>
      <c r="E1912" t="s">
        <v>46</v>
      </c>
      <c r="F1912" s="3">
        <v>358.22</v>
      </c>
      <c r="G1912" s="3">
        <v>0</v>
      </c>
      <c r="H1912" s="3">
        <v>358.22</v>
      </c>
      <c r="I1912" t="s">
        <v>781</v>
      </c>
    </row>
    <row r="1913" spans="1:9" x14ac:dyDescent="0.35">
      <c r="A1913" s="2">
        <v>45458</v>
      </c>
      <c r="B1913">
        <v>85</v>
      </c>
      <c r="C1913">
        <v>2114010</v>
      </c>
      <c r="D1913" t="s">
        <v>48</v>
      </c>
      <c r="E1913" t="s">
        <v>46</v>
      </c>
      <c r="F1913" s="3">
        <v>0</v>
      </c>
      <c r="G1913" s="3">
        <v>358.22</v>
      </c>
      <c r="H1913" s="3">
        <v>-358.22</v>
      </c>
      <c r="I1913" t="s">
        <v>781</v>
      </c>
    </row>
    <row r="1914" spans="1:9" x14ac:dyDescent="0.35">
      <c r="A1914" s="2">
        <v>45458</v>
      </c>
      <c r="B1914">
        <v>85</v>
      </c>
      <c r="C1914">
        <v>6121023</v>
      </c>
      <c r="D1914" t="s">
        <v>49</v>
      </c>
      <c r="E1914" t="s">
        <v>52</v>
      </c>
      <c r="F1914" s="3">
        <v>120.05</v>
      </c>
      <c r="G1914" s="3">
        <v>0</v>
      </c>
      <c r="H1914" s="3">
        <v>120.05</v>
      </c>
      <c r="I1914" t="s">
        <v>782</v>
      </c>
    </row>
    <row r="1915" spans="1:9" x14ac:dyDescent="0.35">
      <c r="A1915" s="2">
        <v>45458</v>
      </c>
      <c r="B1915">
        <v>85</v>
      </c>
      <c r="C1915">
        <v>2114010</v>
      </c>
      <c r="D1915" t="s">
        <v>48</v>
      </c>
      <c r="E1915" t="s">
        <v>52</v>
      </c>
      <c r="F1915" s="3">
        <v>0</v>
      </c>
      <c r="G1915" s="3">
        <v>120.05</v>
      </c>
      <c r="H1915" s="3">
        <v>-120.05</v>
      </c>
      <c r="I1915" t="s">
        <v>782</v>
      </c>
    </row>
    <row r="1916" spans="1:9" x14ac:dyDescent="0.35">
      <c r="A1916" s="2">
        <v>45458</v>
      </c>
      <c r="B1916">
        <v>85</v>
      </c>
      <c r="C1916">
        <v>6121023</v>
      </c>
      <c r="D1916" t="s">
        <v>49</v>
      </c>
      <c r="E1916" t="s">
        <v>783</v>
      </c>
      <c r="F1916" s="3">
        <v>230.2</v>
      </c>
      <c r="G1916" s="3">
        <v>0</v>
      </c>
      <c r="H1916" s="3">
        <v>230.2</v>
      </c>
      <c r="I1916" t="s">
        <v>784</v>
      </c>
    </row>
    <row r="1917" spans="1:9" x14ac:dyDescent="0.35">
      <c r="A1917" s="2">
        <v>45458</v>
      </c>
      <c r="B1917">
        <v>85</v>
      </c>
      <c r="C1917">
        <v>6121046</v>
      </c>
      <c r="D1917" t="s">
        <v>94</v>
      </c>
      <c r="E1917" t="s">
        <v>783</v>
      </c>
      <c r="F1917" s="3">
        <v>5.48</v>
      </c>
      <c r="G1917" s="3">
        <v>0</v>
      </c>
      <c r="H1917" s="3">
        <v>5.48</v>
      </c>
      <c r="I1917" t="s">
        <v>784</v>
      </c>
    </row>
    <row r="1918" spans="1:9" x14ac:dyDescent="0.35">
      <c r="A1918" s="2">
        <v>45458</v>
      </c>
      <c r="B1918">
        <v>85</v>
      </c>
      <c r="C1918">
        <v>2114010</v>
      </c>
      <c r="D1918" t="s">
        <v>48</v>
      </c>
      <c r="E1918" t="s">
        <v>783</v>
      </c>
      <c r="F1918" s="3">
        <v>0</v>
      </c>
      <c r="G1918" s="3">
        <v>5.48</v>
      </c>
      <c r="H1918" s="3">
        <v>-5.48</v>
      </c>
      <c r="I1918" t="s">
        <v>784</v>
      </c>
    </row>
    <row r="1919" spans="1:9" x14ac:dyDescent="0.35">
      <c r="A1919" s="2">
        <v>45458</v>
      </c>
      <c r="B1919">
        <v>85</v>
      </c>
      <c r="C1919">
        <v>2114010</v>
      </c>
      <c r="D1919" t="s">
        <v>48</v>
      </c>
      <c r="E1919" t="s">
        <v>783</v>
      </c>
      <c r="F1919" s="3">
        <v>0</v>
      </c>
      <c r="G1919" s="3">
        <v>230.2</v>
      </c>
      <c r="H1919" s="3">
        <v>-230.2</v>
      </c>
      <c r="I1919" t="s">
        <v>784</v>
      </c>
    </row>
    <row r="1920" spans="1:9" x14ac:dyDescent="0.35">
      <c r="A1920" s="2">
        <v>45458</v>
      </c>
      <c r="B1920">
        <v>85</v>
      </c>
      <c r="C1920">
        <v>6121023</v>
      </c>
      <c r="D1920" t="s">
        <v>49</v>
      </c>
      <c r="E1920" t="s">
        <v>159</v>
      </c>
      <c r="F1920" s="3">
        <v>301.37</v>
      </c>
      <c r="G1920" s="3">
        <v>0</v>
      </c>
      <c r="H1920" s="3">
        <v>301.37</v>
      </c>
      <c r="I1920" t="s">
        <v>785</v>
      </c>
    </row>
    <row r="1921" spans="1:9" x14ac:dyDescent="0.35">
      <c r="A1921" s="2">
        <v>45458</v>
      </c>
      <c r="B1921">
        <v>85</v>
      </c>
      <c r="C1921">
        <v>2114010</v>
      </c>
      <c r="D1921" t="s">
        <v>48</v>
      </c>
      <c r="E1921" t="s">
        <v>159</v>
      </c>
      <c r="F1921" s="3">
        <v>0</v>
      </c>
      <c r="G1921" s="3">
        <v>301.37</v>
      </c>
      <c r="H1921" s="3">
        <v>-301.37</v>
      </c>
      <c r="I1921" t="s">
        <v>785</v>
      </c>
    </row>
    <row r="1922" spans="1:9" x14ac:dyDescent="0.35">
      <c r="A1922" s="2">
        <v>45458</v>
      </c>
      <c r="B1922">
        <v>85</v>
      </c>
      <c r="C1922">
        <v>6121018</v>
      </c>
      <c r="D1922" t="s">
        <v>150</v>
      </c>
      <c r="E1922" t="s">
        <v>151</v>
      </c>
      <c r="F1922" s="3">
        <v>6503.86</v>
      </c>
      <c r="G1922" s="3">
        <v>0</v>
      </c>
      <c r="H1922" s="3">
        <v>6503.86</v>
      </c>
      <c r="I1922" t="s">
        <v>786</v>
      </c>
    </row>
    <row r="1923" spans="1:9" x14ac:dyDescent="0.35">
      <c r="A1923" s="2">
        <v>45458</v>
      </c>
      <c r="B1923">
        <v>85</v>
      </c>
      <c r="C1923">
        <v>1141001</v>
      </c>
      <c r="D1923" t="s">
        <v>153</v>
      </c>
      <c r="E1923" t="s">
        <v>151</v>
      </c>
      <c r="F1923" s="3">
        <v>1040.6199999999999</v>
      </c>
      <c r="G1923" s="3">
        <v>0</v>
      </c>
      <c r="H1923" s="3">
        <v>1040.6199999999999</v>
      </c>
      <c r="I1923" t="s">
        <v>786</v>
      </c>
    </row>
    <row r="1924" spans="1:9" x14ac:dyDescent="0.35">
      <c r="A1924" s="2">
        <v>45458</v>
      </c>
      <c r="B1924">
        <v>85</v>
      </c>
      <c r="C1924">
        <v>2124009</v>
      </c>
      <c r="D1924" t="s">
        <v>154</v>
      </c>
      <c r="E1924" t="s">
        <v>151</v>
      </c>
      <c r="F1924" s="3">
        <v>0</v>
      </c>
      <c r="G1924" s="3">
        <v>780.47</v>
      </c>
      <c r="H1924" s="3">
        <v>-780.47</v>
      </c>
      <c r="I1924" t="s">
        <v>1438</v>
      </c>
    </row>
    <row r="1925" spans="1:9" x14ac:dyDescent="0.35">
      <c r="A1925" s="2">
        <v>45458</v>
      </c>
      <c r="B1925">
        <v>85</v>
      </c>
      <c r="C1925">
        <v>2122003</v>
      </c>
      <c r="D1925" t="s">
        <v>308</v>
      </c>
      <c r="E1925" t="s">
        <v>151</v>
      </c>
      <c r="F1925" s="3">
        <v>0</v>
      </c>
      <c r="G1925" s="3">
        <v>130.08000000000001</v>
      </c>
      <c r="H1925" s="3">
        <v>-130.08000000000001</v>
      </c>
      <c r="I1925" t="s">
        <v>786</v>
      </c>
    </row>
    <row r="1926" spans="1:9" x14ac:dyDescent="0.35">
      <c r="A1926" s="2">
        <v>45458</v>
      </c>
      <c r="B1926">
        <v>85</v>
      </c>
      <c r="C1926">
        <v>2114010</v>
      </c>
      <c r="D1926" t="s">
        <v>48</v>
      </c>
      <c r="E1926" t="s">
        <v>151</v>
      </c>
      <c r="F1926" s="3">
        <v>0</v>
      </c>
      <c r="G1926" s="3">
        <v>6633.93</v>
      </c>
      <c r="H1926" s="3">
        <v>-6633.93</v>
      </c>
      <c r="I1926" t="s">
        <v>786</v>
      </c>
    </row>
    <row r="1927" spans="1:9" x14ac:dyDescent="0.35">
      <c r="A1927" s="2">
        <v>45458</v>
      </c>
      <c r="B1927">
        <v>85</v>
      </c>
      <c r="C1927">
        <v>4112003</v>
      </c>
      <c r="D1927" t="s">
        <v>58</v>
      </c>
      <c r="E1927" t="s">
        <v>59</v>
      </c>
      <c r="F1927" s="3">
        <v>0</v>
      </c>
      <c r="G1927" s="3">
        <v>10603.9</v>
      </c>
      <c r="H1927" s="3">
        <v>-10603.9</v>
      </c>
      <c r="I1927" t="s">
        <v>787</v>
      </c>
    </row>
    <row r="1928" spans="1:9" x14ac:dyDescent="0.35">
      <c r="A1928" s="2">
        <v>45458</v>
      </c>
      <c r="B1928">
        <v>85</v>
      </c>
      <c r="C1928">
        <v>2121001</v>
      </c>
      <c r="D1928" t="s">
        <v>27</v>
      </c>
      <c r="E1928" t="s">
        <v>59</v>
      </c>
      <c r="F1928" s="3">
        <v>0</v>
      </c>
      <c r="G1928" s="3">
        <v>1696.62</v>
      </c>
      <c r="H1928" s="3">
        <v>-1696.62</v>
      </c>
      <c r="I1928" t="s">
        <v>787</v>
      </c>
    </row>
    <row r="1929" spans="1:9" x14ac:dyDescent="0.35">
      <c r="A1929" s="2">
        <v>45458</v>
      </c>
      <c r="B1929">
        <v>85</v>
      </c>
      <c r="C1929">
        <v>1111001</v>
      </c>
      <c r="D1929" t="s">
        <v>16</v>
      </c>
      <c r="E1929" t="s">
        <v>59</v>
      </c>
      <c r="F1929" s="3">
        <v>12300.52</v>
      </c>
      <c r="G1929" s="3">
        <v>0</v>
      </c>
      <c r="H1929" s="3">
        <v>12300.52</v>
      </c>
      <c r="I1929" t="s">
        <v>787</v>
      </c>
    </row>
    <row r="1930" spans="1:9" x14ac:dyDescent="0.35">
      <c r="A1930" s="2">
        <v>45458</v>
      </c>
      <c r="B1930">
        <v>85</v>
      </c>
      <c r="C1930">
        <v>4112003</v>
      </c>
      <c r="D1930" t="s">
        <v>58</v>
      </c>
      <c r="E1930" t="s">
        <v>59</v>
      </c>
      <c r="F1930" s="3">
        <v>0</v>
      </c>
      <c r="G1930" s="3">
        <v>2586.31</v>
      </c>
      <c r="H1930" s="3">
        <v>-2586.31</v>
      </c>
      <c r="I1930" t="s">
        <v>788</v>
      </c>
    </row>
    <row r="1931" spans="1:9" x14ac:dyDescent="0.35">
      <c r="A1931" s="2">
        <v>45458</v>
      </c>
      <c r="B1931">
        <v>85</v>
      </c>
      <c r="C1931">
        <v>2121001</v>
      </c>
      <c r="D1931" t="s">
        <v>27</v>
      </c>
      <c r="E1931" t="s">
        <v>59</v>
      </c>
      <c r="F1931" s="3">
        <v>0</v>
      </c>
      <c r="G1931" s="3">
        <v>413.81</v>
      </c>
      <c r="H1931" s="3">
        <v>-413.81</v>
      </c>
      <c r="I1931" t="s">
        <v>788</v>
      </c>
    </row>
    <row r="1932" spans="1:9" x14ac:dyDescent="0.35">
      <c r="A1932" s="2">
        <v>45458</v>
      </c>
      <c r="B1932">
        <v>85</v>
      </c>
      <c r="C1932">
        <v>1111001</v>
      </c>
      <c r="D1932" t="s">
        <v>16</v>
      </c>
      <c r="E1932" t="s">
        <v>59</v>
      </c>
      <c r="F1932" s="3">
        <v>3000.12</v>
      </c>
      <c r="G1932" s="3">
        <v>0</v>
      </c>
      <c r="H1932" s="3">
        <v>3000.12</v>
      </c>
      <c r="I1932" t="s">
        <v>788</v>
      </c>
    </row>
    <row r="1933" spans="1:9" x14ac:dyDescent="0.35">
      <c r="A1933" s="2">
        <v>45458</v>
      </c>
      <c r="B1933">
        <v>85</v>
      </c>
      <c r="C1933">
        <v>4112003</v>
      </c>
      <c r="D1933" t="s">
        <v>58</v>
      </c>
      <c r="E1933" t="s">
        <v>59</v>
      </c>
      <c r="F1933" s="3">
        <v>0</v>
      </c>
      <c r="G1933" s="3">
        <v>3026.12</v>
      </c>
      <c r="H1933" s="3">
        <v>-3026.12</v>
      </c>
      <c r="I1933" t="s">
        <v>789</v>
      </c>
    </row>
    <row r="1934" spans="1:9" x14ac:dyDescent="0.35">
      <c r="A1934" s="2">
        <v>45458</v>
      </c>
      <c r="B1934">
        <v>85</v>
      </c>
      <c r="C1934">
        <v>2121001</v>
      </c>
      <c r="D1934" t="s">
        <v>27</v>
      </c>
      <c r="E1934" t="s">
        <v>59</v>
      </c>
      <c r="F1934" s="3">
        <v>0</v>
      </c>
      <c r="G1934" s="3">
        <v>484.18</v>
      </c>
      <c r="H1934" s="3">
        <v>-484.18</v>
      </c>
      <c r="I1934" t="s">
        <v>789</v>
      </c>
    </row>
    <row r="1935" spans="1:9" x14ac:dyDescent="0.35">
      <c r="A1935" s="2">
        <v>45458</v>
      </c>
      <c r="B1935">
        <v>85</v>
      </c>
      <c r="C1935">
        <v>1111001</v>
      </c>
      <c r="D1935" t="s">
        <v>16</v>
      </c>
      <c r="E1935" t="s">
        <v>59</v>
      </c>
      <c r="F1935" s="3">
        <v>3510.3</v>
      </c>
      <c r="G1935" s="3">
        <v>0</v>
      </c>
      <c r="H1935" s="3">
        <v>3510.3</v>
      </c>
      <c r="I1935" t="s">
        <v>789</v>
      </c>
    </row>
    <row r="1936" spans="1:9" x14ac:dyDescent="0.35">
      <c r="A1936" s="2">
        <v>45458</v>
      </c>
      <c r="B1936">
        <v>85</v>
      </c>
      <c r="C1936">
        <v>4112003</v>
      </c>
      <c r="D1936" t="s">
        <v>58</v>
      </c>
      <c r="E1936" t="s">
        <v>59</v>
      </c>
      <c r="F1936" s="3">
        <v>0</v>
      </c>
      <c r="G1936" s="3">
        <v>5039.28</v>
      </c>
      <c r="H1936" s="3">
        <v>-5039.28</v>
      </c>
      <c r="I1936" t="s">
        <v>790</v>
      </c>
    </row>
    <row r="1937" spans="1:9" x14ac:dyDescent="0.35">
      <c r="A1937" s="2">
        <v>45458</v>
      </c>
      <c r="B1937">
        <v>85</v>
      </c>
      <c r="C1937">
        <v>2121001</v>
      </c>
      <c r="D1937" t="s">
        <v>27</v>
      </c>
      <c r="E1937" t="s">
        <v>59</v>
      </c>
      <c r="F1937" s="3">
        <v>0</v>
      </c>
      <c r="G1937" s="3">
        <v>806.28</v>
      </c>
      <c r="H1937" s="3">
        <v>-806.28</v>
      </c>
      <c r="I1937" t="s">
        <v>790</v>
      </c>
    </row>
    <row r="1938" spans="1:9" x14ac:dyDescent="0.35">
      <c r="A1938" s="2">
        <v>45458</v>
      </c>
      <c r="B1938">
        <v>85</v>
      </c>
      <c r="C1938">
        <v>1111001</v>
      </c>
      <c r="D1938" t="s">
        <v>16</v>
      </c>
      <c r="E1938" t="s">
        <v>59</v>
      </c>
      <c r="F1938" s="3">
        <v>5845.56</v>
      </c>
      <c r="G1938" s="3">
        <v>0</v>
      </c>
      <c r="H1938" s="3">
        <v>5845.56</v>
      </c>
      <c r="I1938" t="s">
        <v>790</v>
      </c>
    </row>
    <row r="1939" spans="1:9" x14ac:dyDescent="0.35">
      <c r="A1939" s="2">
        <v>45458</v>
      </c>
      <c r="B1939">
        <v>85</v>
      </c>
      <c r="C1939">
        <v>4112003</v>
      </c>
      <c r="D1939" t="s">
        <v>58</v>
      </c>
      <c r="E1939" t="s">
        <v>59</v>
      </c>
      <c r="F1939" s="3">
        <v>0</v>
      </c>
      <c r="G1939" s="3">
        <v>6449.01</v>
      </c>
      <c r="H1939" s="3">
        <v>-6449.01</v>
      </c>
      <c r="I1939" t="s">
        <v>791</v>
      </c>
    </row>
    <row r="1940" spans="1:9" x14ac:dyDescent="0.35">
      <c r="A1940" s="2">
        <v>45458</v>
      </c>
      <c r="B1940">
        <v>85</v>
      </c>
      <c r="C1940">
        <v>2121001</v>
      </c>
      <c r="D1940" t="s">
        <v>27</v>
      </c>
      <c r="E1940" t="s">
        <v>59</v>
      </c>
      <c r="F1940" s="3">
        <v>0</v>
      </c>
      <c r="G1940" s="3">
        <v>1031.8399999999999</v>
      </c>
      <c r="H1940" s="3">
        <v>-1031.8399999999999</v>
      </c>
      <c r="I1940" t="s">
        <v>791</v>
      </c>
    </row>
    <row r="1941" spans="1:9" x14ac:dyDescent="0.35">
      <c r="A1941" s="2">
        <v>45458</v>
      </c>
      <c r="B1941">
        <v>85</v>
      </c>
      <c r="C1941">
        <v>1111001</v>
      </c>
      <c r="D1941" t="s">
        <v>16</v>
      </c>
      <c r="E1941" t="s">
        <v>59</v>
      </c>
      <c r="F1941" s="3">
        <v>7480.85</v>
      </c>
      <c r="G1941" s="3">
        <v>0</v>
      </c>
      <c r="H1941" s="3">
        <v>7480.85</v>
      </c>
      <c r="I1941" t="s">
        <v>791</v>
      </c>
    </row>
    <row r="1942" spans="1:9" x14ac:dyDescent="0.35">
      <c r="A1942" s="2">
        <v>45458</v>
      </c>
      <c r="B1942">
        <v>85</v>
      </c>
      <c r="C1942">
        <v>4112003</v>
      </c>
      <c r="D1942" t="s">
        <v>58</v>
      </c>
      <c r="E1942" t="s">
        <v>59</v>
      </c>
      <c r="F1942" s="3">
        <v>0</v>
      </c>
      <c r="G1942" s="3">
        <v>7112.68</v>
      </c>
      <c r="H1942" s="3">
        <v>-7112.68</v>
      </c>
      <c r="I1942" t="s">
        <v>792</v>
      </c>
    </row>
    <row r="1943" spans="1:9" x14ac:dyDescent="0.35">
      <c r="A1943" s="2">
        <v>45458</v>
      </c>
      <c r="B1943">
        <v>85</v>
      </c>
      <c r="C1943">
        <v>2121001</v>
      </c>
      <c r="D1943" t="s">
        <v>27</v>
      </c>
      <c r="E1943" t="s">
        <v>59</v>
      </c>
      <c r="F1943" s="3">
        <v>0</v>
      </c>
      <c r="G1943" s="3">
        <v>1138.03</v>
      </c>
      <c r="H1943" s="3">
        <v>-1138.03</v>
      </c>
      <c r="I1943" t="s">
        <v>792</v>
      </c>
    </row>
    <row r="1944" spans="1:9" x14ac:dyDescent="0.35">
      <c r="A1944" s="2">
        <v>45458</v>
      </c>
      <c r="B1944">
        <v>85</v>
      </c>
      <c r="C1944">
        <v>1111001</v>
      </c>
      <c r="D1944" t="s">
        <v>16</v>
      </c>
      <c r="E1944" t="s">
        <v>59</v>
      </c>
      <c r="F1944" s="3">
        <v>8250.7099999999991</v>
      </c>
      <c r="G1944" s="3">
        <v>0</v>
      </c>
      <c r="H1944" s="3">
        <v>8250.7099999999991</v>
      </c>
      <c r="I1944" t="s">
        <v>792</v>
      </c>
    </row>
    <row r="1945" spans="1:9" x14ac:dyDescent="0.35">
      <c r="A1945" s="2">
        <v>45458</v>
      </c>
      <c r="B1945">
        <v>85</v>
      </c>
      <c r="C1945">
        <v>4112003</v>
      </c>
      <c r="D1945" t="s">
        <v>58</v>
      </c>
      <c r="E1945" t="s">
        <v>59</v>
      </c>
      <c r="F1945" s="3">
        <v>0</v>
      </c>
      <c r="G1945" s="3">
        <v>5595.44</v>
      </c>
      <c r="H1945" s="3">
        <v>-5595.44</v>
      </c>
      <c r="I1945" t="s">
        <v>793</v>
      </c>
    </row>
    <row r="1946" spans="1:9" x14ac:dyDescent="0.35">
      <c r="A1946" s="2">
        <v>45458</v>
      </c>
      <c r="B1946">
        <v>85</v>
      </c>
      <c r="C1946">
        <v>2121001</v>
      </c>
      <c r="D1946" t="s">
        <v>27</v>
      </c>
      <c r="E1946" t="s">
        <v>59</v>
      </c>
      <c r="F1946" s="3">
        <v>0</v>
      </c>
      <c r="G1946" s="3">
        <v>895.27</v>
      </c>
      <c r="H1946" s="3">
        <v>-895.27</v>
      </c>
      <c r="I1946" t="s">
        <v>793</v>
      </c>
    </row>
    <row r="1947" spans="1:9" x14ac:dyDescent="0.35">
      <c r="A1947" s="2">
        <v>45458</v>
      </c>
      <c r="B1947">
        <v>85</v>
      </c>
      <c r="C1947">
        <v>1111001</v>
      </c>
      <c r="D1947" t="s">
        <v>16</v>
      </c>
      <c r="E1947" t="s">
        <v>59</v>
      </c>
      <c r="F1947" s="3">
        <v>6490.71</v>
      </c>
      <c r="G1947" s="3">
        <v>0</v>
      </c>
      <c r="H1947" s="3">
        <v>6490.71</v>
      </c>
      <c r="I1947" t="s">
        <v>793</v>
      </c>
    </row>
    <row r="1948" spans="1:9" x14ac:dyDescent="0.35">
      <c r="A1948" s="2">
        <v>45458</v>
      </c>
      <c r="B1948">
        <v>85</v>
      </c>
      <c r="C1948">
        <v>4112003</v>
      </c>
      <c r="D1948" t="s">
        <v>58</v>
      </c>
      <c r="E1948" t="s">
        <v>59</v>
      </c>
      <c r="F1948" s="3">
        <v>0</v>
      </c>
      <c r="G1948" s="3">
        <v>3129.57</v>
      </c>
      <c r="H1948" s="3">
        <v>-3129.57</v>
      </c>
      <c r="I1948" t="s">
        <v>794</v>
      </c>
    </row>
    <row r="1949" spans="1:9" x14ac:dyDescent="0.35">
      <c r="A1949" s="2">
        <v>45458</v>
      </c>
      <c r="B1949">
        <v>85</v>
      </c>
      <c r="C1949">
        <v>2121001</v>
      </c>
      <c r="D1949" t="s">
        <v>27</v>
      </c>
      <c r="E1949" t="s">
        <v>59</v>
      </c>
      <c r="F1949" s="3">
        <v>0</v>
      </c>
      <c r="G1949" s="3">
        <v>500.73</v>
      </c>
      <c r="H1949" s="3">
        <v>-500.73</v>
      </c>
      <c r="I1949" t="s">
        <v>794</v>
      </c>
    </row>
    <row r="1950" spans="1:9" x14ac:dyDescent="0.35">
      <c r="A1950" s="2">
        <v>45458</v>
      </c>
      <c r="B1950">
        <v>85</v>
      </c>
      <c r="C1950">
        <v>1111001</v>
      </c>
      <c r="D1950" t="s">
        <v>16</v>
      </c>
      <c r="E1950" t="s">
        <v>59</v>
      </c>
      <c r="F1950" s="3">
        <v>3630.3</v>
      </c>
      <c r="G1950" s="3">
        <v>0</v>
      </c>
      <c r="H1950" s="3">
        <v>3630.3</v>
      </c>
      <c r="I1950" t="s">
        <v>794</v>
      </c>
    </row>
    <row r="1951" spans="1:9" x14ac:dyDescent="0.35">
      <c r="A1951" s="2">
        <v>45458</v>
      </c>
      <c r="B1951">
        <v>85</v>
      </c>
      <c r="C1951">
        <v>4112003</v>
      </c>
      <c r="D1951" t="s">
        <v>58</v>
      </c>
      <c r="E1951" t="s">
        <v>59</v>
      </c>
      <c r="F1951" s="3">
        <v>0</v>
      </c>
      <c r="G1951" s="3">
        <v>2086.35</v>
      </c>
      <c r="H1951" s="3">
        <v>-2086.35</v>
      </c>
      <c r="I1951" t="s">
        <v>795</v>
      </c>
    </row>
    <row r="1952" spans="1:9" x14ac:dyDescent="0.35">
      <c r="A1952" s="2">
        <v>45458</v>
      </c>
      <c r="B1952">
        <v>85</v>
      </c>
      <c r="C1952">
        <v>2121001</v>
      </c>
      <c r="D1952" t="s">
        <v>27</v>
      </c>
      <c r="E1952" t="s">
        <v>59</v>
      </c>
      <c r="F1952" s="3">
        <v>0</v>
      </c>
      <c r="G1952" s="3">
        <v>333.82</v>
      </c>
      <c r="H1952" s="3">
        <v>-333.82</v>
      </c>
      <c r="I1952" t="s">
        <v>795</v>
      </c>
    </row>
    <row r="1953" spans="1:9" x14ac:dyDescent="0.35">
      <c r="A1953" s="2">
        <v>45458</v>
      </c>
      <c r="B1953">
        <v>85</v>
      </c>
      <c r="C1953">
        <v>1111001</v>
      </c>
      <c r="D1953" t="s">
        <v>16</v>
      </c>
      <c r="E1953" t="s">
        <v>59</v>
      </c>
      <c r="F1953" s="3">
        <v>2420.17</v>
      </c>
      <c r="G1953" s="3">
        <v>0</v>
      </c>
      <c r="H1953" s="3">
        <v>2420.17</v>
      </c>
      <c r="I1953" t="s">
        <v>795</v>
      </c>
    </row>
    <row r="1954" spans="1:9" x14ac:dyDescent="0.35">
      <c r="A1954" s="2">
        <v>45458</v>
      </c>
      <c r="B1954">
        <v>85</v>
      </c>
      <c r="C1954">
        <v>4112003</v>
      </c>
      <c r="D1954" t="s">
        <v>58</v>
      </c>
      <c r="E1954" t="s">
        <v>59</v>
      </c>
      <c r="F1954" s="3">
        <v>0</v>
      </c>
      <c r="G1954" s="3">
        <v>5026.43</v>
      </c>
      <c r="H1954" s="3">
        <v>-5026.43</v>
      </c>
      <c r="I1954" t="s">
        <v>796</v>
      </c>
    </row>
    <row r="1955" spans="1:9" x14ac:dyDescent="0.35">
      <c r="A1955" s="2">
        <v>45458</v>
      </c>
      <c r="B1955">
        <v>85</v>
      </c>
      <c r="C1955">
        <v>2121001</v>
      </c>
      <c r="D1955" t="s">
        <v>27</v>
      </c>
      <c r="E1955" t="s">
        <v>59</v>
      </c>
      <c r="F1955" s="3">
        <v>0</v>
      </c>
      <c r="G1955" s="3">
        <v>804.23</v>
      </c>
      <c r="H1955" s="3">
        <v>-804.23</v>
      </c>
      <c r="I1955" t="s">
        <v>796</v>
      </c>
    </row>
    <row r="1956" spans="1:9" x14ac:dyDescent="0.35">
      <c r="A1956" s="2">
        <v>45458</v>
      </c>
      <c r="B1956">
        <v>85</v>
      </c>
      <c r="C1956">
        <v>1111001</v>
      </c>
      <c r="D1956" t="s">
        <v>16</v>
      </c>
      <c r="E1956" t="s">
        <v>59</v>
      </c>
      <c r="F1956" s="3">
        <v>5830.66</v>
      </c>
      <c r="G1956" s="3">
        <v>0</v>
      </c>
      <c r="H1956" s="3">
        <v>5830.66</v>
      </c>
      <c r="I1956" t="s">
        <v>796</v>
      </c>
    </row>
    <row r="1957" spans="1:9" x14ac:dyDescent="0.35">
      <c r="A1957" s="2">
        <v>45458</v>
      </c>
      <c r="B1957">
        <v>85</v>
      </c>
      <c r="C1957">
        <v>4112003</v>
      </c>
      <c r="D1957" t="s">
        <v>58</v>
      </c>
      <c r="E1957" t="s">
        <v>59</v>
      </c>
      <c r="F1957" s="3">
        <v>0</v>
      </c>
      <c r="G1957" s="3">
        <v>5974.82</v>
      </c>
      <c r="H1957" s="3">
        <v>-5974.82</v>
      </c>
      <c r="I1957" t="s">
        <v>797</v>
      </c>
    </row>
    <row r="1958" spans="1:9" x14ac:dyDescent="0.35">
      <c r="A1958" s="2">
        <v>45458</v>
      </c>
      <c r="B1958">
        <v>85</v>
      </c>
      <c r="C1958">
        <v>2121001</v>
      </c>
      <c r="D1958" t="s">
        <v>27</v>
      </c>
      <c r="E1958" t="s">
        <v>59</v>
      </c>
      <c r="F1958" s="3">
        <v>0</v>
      </c>
      <c r="G1958" s="3">
        <v>955.97</v>
      </c>
      <c r="H1958" s="3">
        <v>-955.97</v>
      </c>
      <c r="I1958" t="s">
        <v>797</v>
      </c>
    </row>
    <row r="1959" spans="1:9" x14ac:dyDescent="0.35">
      <c r="A1959" s="2">
        <v>45458</v>
      </c>
      <c r="B1959">
        <v>85</v>
      </c>
      <c r="C1959">
        <v>1111001</v>
      </c>
      <c r="D1959" t="s">
        <v>16</v>
      </c>
      <c r="E1959" t="s">
        <v>59</v>
      </c>
      <c r="F1959" s="3">
        <v>6930.79</v>
      </c>
      <c r="G1959" s="3">
        <v>0</v>
      </c>
      <c r="H1959" s="3">
        <v>6930.79</v>
      </c>
      <c r="I1959" t="s">
        <v>797</v>
      </c>
    </row>
    <row r="1960" spans="1:9" x14ac:dyDescent="0.35">
      <c r="A1960" s="2">
        <v>45458</v>
      </c>
      <c r="B1960">
        <v>85</v>
      </c>
      <c r="C1960">
        <v>4112003</v>
      </c>
      <c r="D1960" t="s">
        <v>58</v>
      </c>
      <c r="E1960" t="s">
        <v>59</v>
      </c>
      <c r="F1960" s="3">
        <v>0</v>
      </c>
      <c r="G1960" s="3">
        <v>6742.99</v>
      </c>
      <c r="H1960" s="3">
        <v>-6742.99</v>
      </c>
      <c r="I1960" t="s">
        <v>798</v>
      </c>
    </row>
    <row r="1961" spans="1:9" x14ac:dyDescent="0.35">
      <c r="A1961" s="2">
        <v>45458</v>
      </c>
      <c r="B1961">
        <v>85</v>
      </c>
      <c r="C1961">
        <v>2121001</v>
      </c>
      <c r="D1961" t="s">
        <v>27</v>
      </c>
      <c r="E1961" t="s">
        <v>59</v>
      </c>
      <c r="F1961" s="3">
        <v>0</v>
      </c>
      <c r="G1961" s="3">
        <v>1078.8800000000001</v>
      </c>
      <c r="H1961" s="3">
        <v>-1078.8800000000001</v>
      </c>
      <c r="I1961" t="s">
        <v>798</v>
      </c>
    </row>
    <row r="1962" spans="1:9" x14ac:dyDescent="0.35">
      <c r="A1962" s="2">
        <v>45458</v>
      </c>
      <c r="B1962">
        <v>85</v>
      </c>
      <c r="C1962">
        <v>1111001</v>
      </c>
      <c r="D1962" t="s">
        <v>16</v>
      </c>
      <c r="E1962" t="s">
        <v>59</v>
      </c>
      <c r="F1962" s="3">
        <v>7821.87</v>
      </c>
      <c r="G1962" s="3">
        <v>0</v>
      </c>
      <c r="H1962" s="3">
        <v>7821.87</v>
      </c>
      <c r="I1962" t="s">
        <v>798</v>
      </c>
    </row>
    <row r="1963" spans="1:9" x14ac:dyDescent="0.35">
      <c r="A1963" s="2">
        <v>45458</v>
      </c>
      <c r="B1963">
        <v>85</v>
      </c>
      <c r="C1963">
        <v>4112003</v>
      </c>
      <c r="D1963" t="s">
        <v>58</v>
      </c>
      <c r="E1963" t="s">
        <v>59</v>
      </c>
      <c r="F1963" s="3">
        <v>0</v>
      </c>
      <c r="G1963" s="3">
        <v>7966.14</v>
      </c>
      <c r="H1963" s="3">
        <v>-7966.14</v>
      </c>
      <c r="I1963" t="s">
        <v>799</v>
      </c>
    </row>
    <row r="1964" spans="1:9" x14ac:dyDescent="0.35">
      <c r="A1964" s="2">
        <v>45458</v>
      </c>
      <c r="B1964">
        <v>85</v>
      </c>
      <c r="C1964">
        <v>2121001</v>
      </c>
      <c r="D1964" t="s">
        <v>27</v>
      </c>
      <c r="E1964" t="s">
        <v>59</v>
      </c>
      <c r="F1964" s="3">
        <v>0</v>
      </c>
      <c r="G1964" s="3">
        <v>1274.58</v>
      </c>
      <c r="H1964" s="3">
        <v>-1274.58</v>
      </c>
      <c r="I1964" t="s">
        <v>799</v>
      </c>
    </row>
    <row r="1965" spans="1:9" x14ac:dyDescent="0.35">
      <c r="A1965" s="2">
        <v>45458</v>
      </c>
      <c r="B1965">
        <v>85</v>
      </c>
      <c r="C1965">
        <v>1111001</v>
      </c>
      <c r="D1965" t="s">
        <v>16</v>
      </c>
      <c r="E1965" t="s">
        <v>59</v>
      </c>
      <c r="F1965" s="3">
        <v>9240.7199999999993</v>
      </c>
      <c r="G1965" s="3">
        <v>0</v>
      </c>
      <c r="H1965" s="3">
        <v>9240.7199999999993</v>
      </c>
      <c r="I1965" t="s">
        <v>799</v>
      </c>
    </row>
    <row r="1966" spans="1:9" x14ac:dyDescent="0.35">
      <c r="A1966" s="2">
        <v>45458</v>
      </c>
      <c r="B1966">
        <v>85</v>
      </c>
      <c r="C1966">
        <v>4112003</v>
      </c>
      <c r="D1966" t="s">
        <v>58</v>
      </c>
      <c r="E1966" t="s">
        <v>59</v>
      </c>
      <c r="F1966" s="3">
        <v>0</v>
      </c>
      <c r="G1966" s="3">
        <v>5500.55</v>
      </c>
      <c r="H1966" s="3">
        <v>-5500.55</v>
      </c>
      <c r="I1966" t="s">
        <v>800</v>
      </c>
    </row>
    <row r="1967" spans="1:9" x14ac:dyDescent="0.35">
      <c r="A1967" s="2">
        <v>45458</v>
      </c>
      <c r="B1967">
        <v>85</v>
      </c>
      <c r="C1967">
        <v>2121001</v>
      </c>
      <c r="D1967" t="s">
        <v>27</v>
      </c>
      <c r="E1967" t="s">
        <v>59</v>
      </c>
      <c r="F1967" s="3">
        <v>0</v>
      </c>
      <c r="G1967" s="3">
        <v>880.09</v>
      </c>
      <c r="H1967" s="3">
        <v>-880.09</v>
      </c>
      <c r="I1967" t="s">
        <v>800</v>
      </c>
    </row>
    <row r="1968" spans="1:9" x14ac:dyDescent="0.35">
      <c r="A1968" s="2">
        <v>45458</v>
      </c>
      <c r="B1968">
        <v>85</v>
      </c>
      <c r="C1968">
        <v>1111001</v>
      </c>
      <c r="D1968" t="s">
        <v>16</v>
      </c>
      <c r="E1968" t="s">
        <v>59</v>
      </c>
      <c r="F1968" s="3">
        <v>6380.64</v>
      </c>
      <c r="G1968" s="3">
        <v>0</v>
      </c>
      <c r="H1968" s="3">
        <v>6380.64</v>
      </c>
      <c r="I1968" t="s">
        <v>800</v>
      </c>
    </row>
    <row r="1969" spans="1:9" x14ac:dyDescent="0.35">
      <c r="A1969" s="2">
        <v>45458</v>
      </c>
      <c r="B1969">
        <v>85</v>
      </c>
      <c r="C1969">
        <v>4112003</v>
      </c>
      <c r="D1969" t="s">
        <v>58</v>
      </c>
      <c r="E1969" t="s">
        <v>59</v>
      </c>
      <c r="F1969" s="3">
        <v>0</v>
      </c>
      <c r="G1969" s="3">
        <v>4362.42</v>
      </c>
      <c r="H1969" s="3">
        <v>-4362.42</v>
      </c>
      <c r="I1969" t="s">
        <v>801</v>
      </c>
    </row>
    <row r="1970" spans="1:9" x14ac:dyDescent="0.35">
      <c r="A1970" s="2">
        <v>45458</v>
      </c>
      <c r="B1970">
        <v>85</v>
      </c>
      <c r="C1970">
        <v>2121001</v>
      </c>
      <c r="D1970" t="s">
        <v>27</v>
      </c>
      <c r="E1970" t="s">
        <v>59</v>
      </c>
      <c r="F1970" s="3">
        <v>0</v>
      </c>
      <c r="G1970" s="3">
        <v>697.99</v>
      </c>
      <c r="H1970" s="3">
        <v>-697.99</v>
      </c>
      <c r="I1970" t="s">
        <v>801</v>
      </c>
    </row>
    <row r="1971" spans="1:9" x14ac:dyDescent="0.35">
      <c r="A1971" s="2">
        <v>45458</v>
      </c>
      <c r="B1971">
        <v>85</v>
      </c>
      <c r="C1971">
        <v>1111001</v>
      </c>
      <c r="D1971" t="s">
        <v>16</v>
      </c>
      <c r="E1971" t="s">
        <v>59</v>
      </c>
      <c r="F1971" s="3">
        <v>5060.41</v>
      </c>
      <c r="G1971" s="3">
        <v>0</v>
      </c>
      <c r="H1971" s="3">
        <v>5060.41</v>
      </c>
      <c r="I1971" t="s">
        <v>801</v>
      </c>
    </row>
    <row r="1972" spans="1:9" x14ac:dyDescent="0.35">
      <c r="A1972" s="2">
        <v>45458</v>
      </c>
      <c r="B1972">
        <v>85</v>
      </c>
      <c r="C1972">
        <v>4112004</v>
      </c>
      <c r="D1972" t="s">
        <v>74</v>
      </c>
      <c r="E1972" t="s">
        <v>275</v>
      </c>
      <c r="F1972" s="3">
        <v>0</v>
      </c>
      <c r="G1972" s="3">
        <v>1574.56</v>
      </c>
      <c r="H1972" s="3">
        <v>-1574.56</v>
      </c>
      <c r="I1972" t="s">
        <v>802</v>
      </c>
    </row>
    <row r="1973" spans="1:9" x14ac:dyDescent="0.35">
      <c r="A1973" s="2">
        <v>45458</v>
      </c>
      <c r="B1973">
        <v>85</v>
      </c>
      <c r="C1973">
        <v>2121001</v>
      </c>
      <c r="D1973" t="s">
        <v>27</v>
      </c>
      <c r="E1973" t="s">
        <v>275</v>
      </c>
      <c r="F1973" s="3">
        <v>0</v>
      </c>
      <c r="G1973" s="3">
        <v>251.93</v>
      </c>
      <c r="H1973" s="3">
        <v>-251.93</v>
      </c>
      <c r="I1973" t="s">
        <v>802</v>
      </c>
    </row>
    <row r="1974" spans="1:9" x14ac:dyDescent="0.35">
      <c r="A1974" s="2">
        <v>45458</v>
      </c>
      <c r="B1974">
        <v>85</v>
      </c>
      <c r="C1974">
        <v>1141002</v>
      </c>
      <c r="D1974" t="s">
        <v>23</v>
      </c>
      <c r="E1974" t="s">
        <v>275</v>
      </c>
      <c r="F1974" s="3">
        <v>188.95</v>
      </c>
      <c r="G1974" s="3">
        <v>0</v>
      </c>
      <c r="H1974" s="3">
        <v>188.95</v>
      </c>
      <c r="I1974" t="s">
        <v>802</v>
      </c>
    </row>
    <row r="1975" spans="1:9" x14ac:dyDescent="0.35">
      <c r="A1975" s="2">
        <v>45458</v>
      </c>
      <c r="B1975">
        <v>85</v>
      </c>
      <c r="C1975">
        <v>1142001</v>
      </c>
      <c r="D1975" t="s">
        <v>199</v>
      </c>
      <c r="E1975" t="s">
        <v>275</v>
      </c>
      <c r="F1975" s="3">
        <v>31.49</v>
      </c>
      <c r="G1975" s="3">
        <v>0</v>
      </c>
      <c r="H1975" s="3">
        <v>31.49</v>
      </c>
      <c r="I1975" t="s">
        <v>802</v>
      </c>
    </row>
    <row r="1976" spans="1:9" x14ac:dyDescent="0.35">
      <c r="A1976" s="2">
        <v>45458</v>
      </c>
      <c r="B1976">
        <v>85</v>
      </c>
      <c r="C1976">
        <v>1111001</v>
      </c>
      <c r="D1976" t="s">
        <v>16</v>
      </c>
      <c r="E1976" t="s">
        <v>275</v>
      </c>
      <c r="F1976" s="3">
        <v>1606.05</v>
      </c>
      <c r="G1976" s="3">
        <v>0</v>
      </c>
      <c r="H1976" s="3">
        <v>1606.05</v>
      </c>
      <c r="I1976" t="s">
        <v>802</v>
      </c>
    </row>
    <row r="1977" spans="1:9" x14ac:dyDescent="0.35">
      <c r="A1977" s="2">
        <v>45458</v>
      </c>
      <c r="B1977">
        <v>85</v>
      </c>
      <c r="C1977">
        <v>4112004</v>
      </c>
      <c r="D1977" t="s">
        <v>74</v>
      </c>
      <c r="E1977" t="s">
        <v>197</v>
      </c>
      <c r="F1977" s="3">
        <v>0</v>
      </c>
      <c r="G1977" s="3">
        <v>9698.75</v>
      </c>
      <c r="H1977" s="3">
        <v>-9698.75</v>
      </c>
      <c r="I1977" t="s">
        <v>803</v>
      </c>
    </row>
    <row r="1978" spans="1:9" x14ac:dyDescent="0.35">
      <c r="A1978" s="2">
        <v>45458</v>
      </c>
      <c r="B1978">
        <v>85</v>
      </c>
      <c r="C1978">
        <v>2121001</v>
      </c>
      <c r="D1978" t="s">
        <v>27</v>
      </c>
      <c r="E1978" t="s">
        <v>197</v>
      </c>
      <c r="F1978" s="3">
        <v>0</v>
      </c>
      <c r="G1978" s="3">
        <v>1551.8</v>
      </c>
      <c r="H1978" s="3">
        <v>-1551.8</v>
      </c>
      <c r="I1978" t="s">
        <v>803</v>
      </c>
    </row>
    <row r="1979" spans="1:9" x14ac:dyDescent="0.35">
      <c r="A1979" s="2">
        <v>45458</v>
      </c>
      <c r="B1979">
        <v>85</v>
      </c>
      <c r="C1979">
        <v>1141002</v>
      </c>
      <c r="D1979" t="s">
        <v>23</v>
      </c>
      <c r="E1979" t="s">
        <v>197</v>
      </c>
      <c r="F1979" s="3">
        <v>1163.8499999999999</v>
      </c>
      <c r="G1979" s="3">
        <v>0</v>
      </c>
      <c r="H1979" s="3">
        <v>1163.8499999999999</v>
      </c>
      <c r="I1979" t="s">
        <v>1438</v>
      </c>
    </row>
    <row r="1980" spans="1:9" x14ac:dyDescent="0.35">
      <c r="A1980" s="2">
        <v>45458</v>
      </c>
      <c r="B1980">
        <v>85</v>
      </c>
      <c r="C1980">
        <v>1142001</v>
      </c>
      <c r="D1980" t="s">
        <v>199</v>
      </c>
      <c r="E1980" t="s">
        <v>197</v>
      </c>
      <c r="F1980" s="3">
        <v>193.98</v>
      </c>
      <c r="G1980" s="3">
        <v>0</v>
      </c>
      <c r="H1980" s="3">
        <v>193.98</v>
      </c>
      <c r="I1980" t="s">
        <v>803</v>
      </c>
    </row>
    <row r="1981" spans="1:9" x14ac:dyDescent="0.35">
      <c r="A1981" s="2">
        <v>45458</v>
      </c>
      <c r="B1981">
        <v>85</v>
      </c>
      <c r="C1981">
        <v>6121040</v>
      </c>
      <c r="D1981" t="s">
        <v>98</v>
      </c>
      <c r="E1981" t="s">
        <v>197</v>
      </c>
      <c r="F1981" s="3">
        <v>225.01</v>
      </c>
      <c r="G1981" s="3">
        <v>0</v>
      </c>
      <c r="H1981" s="3">
        <v>225.01</v>
      </c>
      <c r="I1981" t="s">
        <v>803</v>
      </c>
    </row>
    <row r="1982" spans="1:9" x14ac:dyDescent="0.35">
      <c r="A1982" s="2">
        <v>45458</v>
      </c>
      <c r="B1982">
        <v>85</v>
      </c>
      <c r="C1982">
        <v>1111001</v>
      </c>
      <c r="D1982" t="s">
        <v>16</v>
      </c>
      <c r="E1982" t="s">
        <v>197</v>
      </c>
      <c r="F1982" s="3">
        <v>9667.7099999999991</v>
      </c>
      <c r="G1982" s="3">
        <v>0</v>
      </c>
      <c r="H1982" s="3">
        <v>9667.7099999999991</v>
      </c>
      <c r="I1982" t="s">
        <v>803</v>
      </c>
    </row>
    <row r="1983" spans="1:9" x14ac:dyDescent="0.35">
      <c r="A1983" s="2">
        <v>45458</v>
      </c>
      <c r="B1983">
        <v>85</v>
      </c>
      <c r="C1983">
        <v>2121001</v>
      </c>
      <c r="D1983" t="s">
        <v>27</v>
      </c>
      <c r="E1983" t="s">
        <v>804</v>
      </c>
      <c r="F1983" s="3">
        <v>14796.05</v>
      </c>
      <c r="G1983" s="3">
        <v>0</v>
      </c>
      <c r="H1983" s="3">
        <v>14796.05</v>
      </c>
      <c r="I1983" t="s">
        <v>544</v>
      </c>
    </row>
    <row r="1984" spans="1:9" x14ac:dyDescent="0.35">
      <c r="A1984" s="2">
        <v>45458</v>
      </c>
      <c r="B1984">
        <v>85</v>
      </c>
      <c r="C1984">
        <v>1141001</v>
      </c>
      <c r="D1984" t="s">
        <v>153</v>
      </c>
      <c r="E1984" t="s">
        <v>804</v>
      </c>
      <c r="F1984" s="3">
        <v>0</v>
      </c>
      <c r="G1984" s="3">
        <v>1040.6199999999999</v>
      </c>
      <c r="H1984" s="3">
        <v>-1040.6199999999999</v>
      </c>
      <c r="I1984" t="s">
        <v>544</v>
      </c>
    </row>
    <row r="1985" spans="1:9" x14ac:dyDescent="0.35">
      <c r="A1985" s="2">
        <v>45458</v>
      </c>
      <c r="B1985">
        <v>85</v>
      </c>
      <c r="C1985">
        <v>1141002</v>
      </c>
      <c r="D1985" t="s">
        <v>23</v>
      </c>
      <c r="E1985" t="s">
        <v>804</v>
      </c>
      <c r="F1985" s="3">
        <v>0</v>
      </c>
      <c r="G1985" s="3">
        <v>1352.8</v>
      </c>
      <c r="H1985" s="3">
        <v>-1352.8</v>
      </c>
      <c r="I1985" t="s">
        <v>544</v>
      </c>
    </row>
    <row r="1986" spans="1:9" x14ac:dyDescent="0.35">
      <c r="A1986" s="2">
        <v>45458</v>
      </c>
      <c r="B1986">
        <v>85</v>
      </c>
      <c r="C1986">
        <v>2121003</v>
      </c>
      <c r="D1986" t="s">
        <v>28</v>
      </c>
      <c r="E1986" t="s">
        <v>804</v>
      </c>
      <c r="F1986" s="3">
        <v>0</v>
      </c>
      <c r="G1986" s="3">
        <v>12402.63</v>
      </c>
      <c r="H1986" s="3">
        <v>-12402.63</v>
      </c>
      <c r="I1986" t="s">
        <v>544</v>
      </c>
    </row>
    <row r="1987" spans="1:9" x14ac:dyDescent="0.35">
      <c r="A1987" s="2">
        <v>45458</v>
      </c>
      <c r="B1987">
        <v>85</v>
      </c>
      <c r="C1987">
        <v>1142004</v>
      </c>
      <c r="D1987" t="s">
        <v>83</v>
      </c>
      <c r="E1987" t="s">
        <v>502</v>
      </c>
      <c r="F1987" s="3">
        <v>924.75</v>
      </c>
      <c r="G1987" s="3">
        <v>0</v>
      </c>
      <c r="H1987" s="3">
        <v>924.75</v>
      </c>
      <c r="I1987" t="s">
        <v>503</v>
      </c>
    </row>
    <row r="1988" spans="1:9" x14ac:dyDescent="0.35">
      <c r="A1988" s="2">
        <v>45458</v>
      </c>
      <c r="B1988">
        <v>85</v>
      </c>
      <c r="C1988">
        <v>2124004</v>
      </c>
      <c r="D1988" t="s">
        <v>29</v>
      </c>
      <c r="E1988" t="s">
        <v>502</v>
      </c>
      <c r="F1988" s="3">
        <v>0</v>
      </c>
      <c r="G1988" s="3">
        <v>924.75</v>
      </c>
      <c r="H1988" s="3">
        <v>-924.75</v>
      </c>
      <c r="I1988" t="s">
        <v>503</v>
      </c>
    </row>
    <row r="1989" spans="1:9" x14ac:dyDescent="0.35">
      <c r="A1989" s="2">
        <v>45458</v>
      </c>
      <c r="B1989">
        <v>85</v>
      </c>
      <c r="C1989">
        <v>5131001</v>
      </c>
      <c r="D1989" t="s">
        <v>86</v>
      </c>
      <c r="E1989" t="s">
        <v>805</v>
      </c>
      <c r="F1989" s="3">
        <v>390</v>
      </c>
      <c r="G1989" s="3">
        <v>0</v>
      </c>
      <c r="H1989" s="3">
        <v>390</v>
      </c>
      <c r="I1989" t="s">
        <v>574</v>
      </c>
    </row>
    <row r="1990" spans="1:9" x14ac:dyDescent="0.35">
      <c r="A1990" s="2">
        <v>45458</v>
      </c>
      <c r="B1990">
        <v>85</v>
      </c>
      <c r="C1990">
        <v>5131005</v>
      </c>
      <c r="D1990" t="s">
        <v>205</v>
      </c>
      <c r="E1990" t="s">
        <v>805</v>
      </c>
      <c r="F1990" s="3">
        <v>4372.8</v>
      </c>
      <c r="G1990" s="3">
        <v>0</v>
      </c>
      <c r="H1990" s="3">
        <v>4372.8</v>
      </c>
      <c r="I1990" t="s">
        <v>574</v>
      </c>
    </row>
    <row r="1991" spans="1:9" x14ac:dyDescent="0.35">
      <c r="A1991" s="2">
        <v>45458</v>
      </c>
      <c r="B1991">
        <v>85</v>
      </c>
      <c r="C1991">
        <v>5131008</v>
      </c>
      <c r="D1991" t="s">
        <v>89</v>
      </c>
      <c r="E1991" t="s">
        <v>805</v>
      </c>
      <c r="F1991" s="3">
        <v>81.900000000000006</v>
      </c>
      <c r="G1991" s="3">
        <v>0</v>
      </c>
      <c r="H1991" s="3">
        <v>81.900000000000006</v>
      </c>
      <c r="I1991" t="s">
        <v>574</v>
      </c>
    </row>
    <row r="1992" spans="1:9" x14ac:dyDescent="0.35">
      <c r="A1992" s="2">
        <v>45458</v>
      </c>
      <c r="B1992">
        <v>85</v>
      </c>
      <c r="C1992">
        <v>5131009</v>
      </c>
      <c r="D1992" t="s">
        <v>90</v>
      </c>
      <c r="E1992" t="s">
        <v>805</v>
      </c>
      <c r="F1992" s="3">
        <v>16.25</v>
      </c>
      <c r="G1992" s="3">
        <v>0</v>
      </c>
      <c r="H1992" s="3">
        <v>16.25</v>
      </c>
      <c r="I1992" t="s">
        <v>574</v>
      </c>
    </row>
    <row r="1993" spans="1:9" x14ac:dyDescent="0.35">
      <c r="A1993" s="2">
        <v>45458</v>
      </c>
      <c r="B1993">
        <v>85</v>
      </c>
      <c r="C1993">
        <v>5131010</v>
      </c>
      <c r="D1993" t="s">
        <v>91</v>
      </c>
      <c r="E1993" t="s">
        <v>805</v>
      </c>
      <c r="F1993" s="3">
        <v>32.5</v>
      </c>
      <c r="G1993" s="3">
        <v>0</v>
      </c>
      <c r="H1993" s="3">
        <v>32.5</v>
      </c>
      <c r="I1993" t="s">
        <v>574</v>
      </c>
    </row>
    <row r="1994" spans="1:9" x14ac:dyDescent="0.35">
      <c r="A1994" s="2">
        <v>45458</v>
      </c>
      <c r="B1994">
        <v>85</v>
      </c>
      <c r="C1994">
        <v>5131012</v>
      </c>
      <c r="D1994" t="s">
        <v>206</v>
      </c>
      <c r="E1994" t="s">
        <v>805</v>
      </c>
      <c r="F1994" s="3">
        <v>28.6</v>
      </c>
      <c r="G1994" s="3">
        <v>0</v>
      </c>
      <c r="H1994" s="3">
        <v>28.6</v>
      </c>
      <c r="I1994" t="s">
        <v>574</v>
      </c>
    </row>
    <row r="1995" spans="1:9" x14ac:dyDescent="0.35">
      <c r="A1995" s="2">
        <v>45458</v>
      </c>
      <c r="B1995">
        <v>85</v>
      </c>
      <c r="C1995">
        <v>5131013</v>
      </c>
      <c r="D1995" t="s">
        <v>92</v>
      </c>
      <c r="E1995" t="s">
        <v>805</v>
      </c>
      <c r="F1995" s="3">
        <v>7.8</v>
      </c>
      <c r="G1995" s="3">
        <v>0</v>
      </c>
      <c r="H1995" s="3">
        <v>7.8</v>
      </c>
      <c r="I1995" t="s">
        <v>574</v>
      </c>
    </row>
    <row r="1996" spans="1:9" x14ac:dyDescent="0.35">
      <c r="A1996" s="2">
        <v>45458</v>
      </c>
      <c r="B1996">
        <v>85</v>
      </c>
      <c r="C1996">
        <v>5131014</v>
      </c>
      <c r="D1996" t="s">
        <v>207</v>
      </c>
      <c r="E1996" t="s">
        <v>805</v>
      </c>
      <c r="F1996" s="3">
        <v>7.8</v>
      </c>
      <c r="G1996" s="3">
        <v>0</v>
      </c>
      <c r="H1996" s="3">
        <v>7.8</v>
      </c>
      <c r="I1996" t="s">
        <v>574</v>
      </c>
    </row>
    <row r="1997" spans="1:9" x14ac:dyDescent="0.35">
      <c r="A1997" s="2">
        <v>45458</v>
      </c>
      <c r="B1997">
        <v>85</v>
      </c>
      <c r="C1997">
        <v>2131002</v>
      </c>
      <c r="D1997" t="s">
        <v>31</v>
      </c>
      <c r="E1997" t="s">
        <v>805</v>
      </c>
      <c r="F1997" s="3">
        <v>0</v>
      </c>
      <c r="G1997" s="3">
        <v>14.4</v>
      </c>
      <c r="H1997" s="3">
        <v>-14.4</v>
      </c>
      <c r="I1997" t="s">
        <v>574</v>
      </c>
    </row>
    <row r="1998" spans="1:9" x14ac:dyDescent="0.35">
      <c r="A1998" s="2">
        <v>45458</v>
      </c>
      <c r="B1998">
        <v>85</v>
      </c>
      <c r="C1998">
        <v>2131003</v>
      </c>
      <c r="D1998" t="s">
        <v>32</v>
      </c>
      <c r="E1998" t="s">
        <v>805</v>
      </c>
      <c r="F1998" s="3">
        <v>0</v>
      </c>
      <c r="G1998" s="3">
        <v>1.8</v>
      </c>
      <c r="H1998" s="3">
        <v>-1.8</v>
      </c>
      <c r="I1998" t="s">
        <v>574</v>
      </c>
    </row>
    <row r="1999" spans="1:9" x14ac:dyDescent="0.35">
      <c r="A1999" s="2">
        <v>45458</v>
      </c>
      <c r="B1999">
        <v>85</v>
      </c>
      <c r="C1999">
        <v>2131004</v>
      </c>
      <c r="D1999" t="s">
        <v>33</v>
      </c>
      <c r="E1999" t="s">
        <v>805</v>
      </c>
      <c r="F1999" s="3">
        <v>0</v>
      </c>
      <c r="G1999" s="3">
        <v>6.25</v>
      </c>
      <c r="H1999" s="3">
        <v>-6.25</v>
      </c>
      <c r="I1999" t="s">
        <v>574</v>
      </c>
    </row>
    <row r="2000" spans="1:9" x14ac:dyDescent="0.35">
      <c r="A2000" s="2">
        <v>45458</v>
      </c>
      <c r="B2000">
        <v>85</v>
      </c>
      <c r="C2000">
        <v>2141001</v>
      </c>
      <c r="D2000" t="s">
        <v>35</v>
      </c>
      <c r="E2000" t="s">
        <v>805</v>
      </c>
      <c r="F2000" s="3">
        <v>0</v>
      </c>
      <c r="G2000" s="3">
        <v>28.6</v>
      </c>
      <c r="H2000" s="3">
        <v>-28.6</v>
      </c>
      <c r="I2000" t="s">
        <v>574</v>
      </c>
    </row>
    <row r="2001" spans="1:9" x14ac:dyDescent="0.35">
      <c r="A2001" s="2">
        <v>45458</v>
      </c>
      <c r="B2001">
        <v>85</v>
      </c>
      <c r="C2001">
        <v>2141002</v>
      </c>
      <c r="D2001" t="s">
        <v>36</v>
      </c>
      <c r="E2001" t="s">
        <v>805</v>
      </c>
      <c r="F2001" s="3">
        <v>0</v>
      </c>
      <c r="G2001" s="3">
        <v>7.8</v>
      </c>
      <c r="H2001" s="3">
        <v>-7.8</v>
      </c>
      <c r="I2001" t="s">
        <v>574</v>
      </c>
    </row>
    <row r="2002" spans="1:9" x14ac:dyDescent="0.35">
      <c r="A2002" s="2">
        <v>45458</v>
      </c>
      <c r="B2002">
        <v>85</v>
      </c>
      <c r="C2002">
        <v>2141003</v>
      </c>
      <c r="D2002" t="s">
        <v>37</v>
      </c>
      <c r="E2002" t="s">
        <v>805</v>
      </c>
      <c r="F2002" s="3">
        <v>0</v>
      </c>
      <c r="G2002" s="3">
        <v>7.8</v>
      </c>
      <c r="H2002" s="3">
        <v>-7.8</v>
      </c>
      <c r="I2002" t="s">
        <v>574</v>
      </c>
    </row>
    <row r="2003" spans="1:9" x14ac:dyDescent="0.35">
      <c r="A2003" s="2">
        <v>45458</v>
      </c>
      <c r="B2003">
        <v>85</v>
      </c>
      <c r="C2003">
        <v>2161004</v>
      </c>
      <c r="D2003" t="s">
        <v>38</v>
      </c>
      <c r="E2003" t="s">
        <v>805</v>
      </c>
      <c r="F2003" s="3">
        <v>0</v>
      </c>
      <c r="G2003" s="3">
        <v>16.25</v>
      </c>
      <c r="H2003" s="3">
        <v>-16.25</v>
      </c>
      <c r="I2003" t="s">
        <v>574</v>
      </c>
    </row>
    <row r="2004" spans="1:9" x14ac:dyDescent="0.35">
      <c r="A2004" s="2">
        <v>45458</v>
      </c>
      <c r="B2004">
        <v>85</v>
      </c>
      <c r="C2004">
        <v>2161005</v>
      </c>
      <c r="D2004" t="s">
        <v>39</v>
      </c>
      <c r="E2004" t="s">
        <v>805</v>
      </c>
      <c r="F2004" s="3">
        <v>0</v>
      </c>
      <c r="G2004" s="3">
        <v>32.5</v>
      </c>
      <c r="H2004" s="3">
        <v>-32.5</v>
      </c>
      <c r="I2004" t="s">
        <v>574</v>
      </c>
    </row>
    <row r="2005" spans="1:9" x14ac:dyDescent="0.35">
      <c r="A2005" s="2">
        <v>45458</v>
      </c>
      <c r="B2005">
        <v>85</v>
      </c>
      <c r="C2005">
        <v>2241001</v>
      </c>
      <c r="D2005" t="s">
        <v>40</v>
      </c>
      <c r="E2005" t="s">
        <v>805</v>
      </c>
      <c r="F2005" s="3">
        <v>0</v>
      </c>
      <c r="G2005" s="3">
        <v>81.900000000000006</v>
      </c>
      <c r="H2005" s="3">
        <v>-81.900000000000006</v>
      </c>
      <c r="I2005" t="s">
        <v>574</v>
      </c>
    </row>
    <row r="2006" spans="1:9" x14ac:dyDescent="0.35">
      <c r="A2006" s="2">
        <v>45458</v>
      </c>
      <c r="B2006">
        <v>85</v>
      </c>
      <c r="C2006">
        <v>2161001</v>
      </c>
      <c r="D2006" t="s">
        <v>93</v>
      </c>
      <c r="E2006" t="s">
        <v>805</v>
      </c>
      <c r="F2006" s="3">
        <v>0</v>
      </c>
      <c r="G2006" s="3">
        <v>4740.3500000000004</v>
      </c>
      <c r="H2006" s="3">
        <v>-4740.3500000000004</v>
      </c>
      <c r="I2006" t="s">
        <v>574</v>
      </c>
    </row>
    <row r="2007" spans="1:9" x14ac:dyDescent="0.35">
      <c r="A2007" s="2">
        <v>45458</v>
      </c>
      <c r="B2007">
        <v>85</v>
      </c>
      <c r="C2007">
        <v>6121040</v>
      </c>
      <c r="D2007" t="s">
        <v>98</v>
      </c>
      <c r="E2007" t="s">
        <v>99</v>
      </c>
      <c r="F2007" s="3">
        <v>2967.01</v>
      </c>
      <c r="G2007" s="3">
        <v>0</v>
      </c>
      <c r="H2007" s="3">
        <v>2967.01</v>
      </c>
      <c r="I2007" t="s">
        <v>507</v>
      </c>
    </row>
    <row r="2008" spans="1:9" x14ac:dyDescent="0.35">
      <c r="A2008" s="2">
        <v>45458</v>
      </c>
      <c r="B2008">
        <v>85</v>
      </c>
      <c r="C2008">
        <v>6121046</v>
      </c>
      <c r="D2008" t="s">
        <v>94</v>
      </c>
      <c r="E2008" t="s">
        <v>95</v>
      </c>
      <c r="F2008" s="3">
        <v>2281.81</v>
      </c>
      <c r="G2008" s="3">
        <v>0</v>
      </c>
      <c r="H2008" s="3">
        <v>2281.81</v>
      </c>
      <c r="I2008" t="s">
        <v>507</v>
      </c>
    </row>
    <row r="2009" spans="1:9" x14ac:dyDescent="0.35">
      <c r="A2009" s="2">
        <v>45458</v>
      </c>
      <c r="B2009">
        <v>85</v>
      </c>
      <c r="C2009">
        <v>2114001</v>
      </c>
      <c r="D2009" t="s">
        <v>97</v>
      </c>
      <c r="E2009" t="s">
        <v>1768</v>
      </c>
      <c r="F2009" s="3">
        <v>36960</v>
      </c>
      <c r="G2009" s="3">
        <v>0</v>
      </c>
      <c r="H2009" s="3">
        <v>36960</v>
      </c>
      <c r="I2009" t="s">
        <v>507</v>
      </c>
    </row>
    <row r="2010" spans="1:9" x14ac:dyDescent="0.35">
      <c r="A2010" s="2">
        <v>45458</v>
      </c>
      <c r="B2010">
        <v>85</v>
      </c>
      <c r="C2010">
        <v>5132002</v>
      </c>
      <c r="D2010" t="s">
        <v>115</v>
      </c>
      <c r="E2010" t="s">
        <v>806</v>
      </c>
      <c r="F2010" s="3">
        <v>16500</v>
      </c>
      <c r="G2010" s="3">
        <v>0</v>
      </c>
      <c r="H2010" s="3">
        <v>16500</v>
      </c>
      <c r="I2010" t="s">
        <v>507</v>
      </c>
    </row>
    <row r="2011" spans="1:9" x14ac:dyDescent="0.35">
      <c r="A2011" s="2">
        <v>45458</v>
      </c>
      <c r="B2011">
        <v>85</v>
      </c>
      <c r="C2011">
        <v>5132007</v>
      </c>
      <c r="D2011" t="s">
        <v>355</v>
      </c>
      <c r="E2011" t="s">
        <v>807</v>
      </c>
      <c r="F2011" s="3">
        <v>716.04</v>
      </c>
      <c r="G2011" s="3">
        <v>0</v>
      </c>
      <c r="H2011" s="3">
        <v>716.04</v>
      </c>
      <c r="I2011" t="s">
        <v>507</v>
      </c>
    </row>
    <row r="2012" spans="1:9" x14ac:dyDescent="0.35">
      <c r="A2012" s="2">
        <v>45458</v>
      </c>
      <c r="B2012">
        <v>85</v>
      </c>
      <c r="C2012">
        <v>5131016</v>
      </c>
      <c r="D2012" t="s">
        <v>238</v>
      </c>
      <c r="E2012" t="s">
        <v>292</v>
      </c>
      <c r="F2012" s="3">
        <v>370</v>
      </c>
      <c r="G2012" s="3">
        <v>0</v>
      </c>
      <c r="H2012" s="3">
        <v>370</v>
      </c>
      <c r="I2012" t="s">
        <v>507</v>
      </c>
    </row>
    <row r="2013" spans="1:9" x14ac:dyDescent="0.35">
      <c r="A2013" s="2">
        <v>45458</v>
      </c>
      <c r="B2013">
        <v>85</v>
      </c>
      <c r="C2013">
        <v>5132002</v>
      </c>
      <c r="D2013" t="s">
        <v>115</v>
      </c>
      <c r="E2013" t="s">
        <v>808</v>
      </c>
      <c r="F2013" s="3">
        <v>14623.18</v>
      </c>
      <c r="G2013" s="3">
        <v>0</v>
      </c>
      <c r="H2013" s="3">
        <v>14623.18</v>
      </c>
      <c r="I2013" t="s">
        <v>507</v>
      </c>
    </row>
    <row r="2014" spans="1:9" x14ac:dyDescent="0.35">
      <c r="A2014" s="2">
        <v>45458</v>
      </c>
      <c r="B2014">
        <v>85</v>
      </c>
      <c r="C2014">
        <v>2124004</v>
      </c>
      <c r="D2014" t="s">
        <v>29</v>
      </c>
      <c r="E2014" t="s">
        <v>119</v>
      </c>
      <c r="F2014" s="3">
        <v>1096.8399999999999</v>
      </c>
      <c r="G2014" s="3">
        <v>0</v>
      </c>
      <c r="H2014" s="3">
        <v>1096.8399999999999</v>
      </c>
      <c r="I2014" t="s">
        <v>507</v>
      </c>
    </row>
    <row r="2015" spans="1:9" x14ac:dyDescent="0.35">
      <c r="A2015" s="2">
        <v>45458</v>
      </c>
      <c r="B2015">
        <v>85</v>
      </c>
      <c r="C2015">
        <v>2124007</v>
      </c>
      <c r="D2015" t="s">
        <v>30</v>
      </c>
      <c r="E2015" t="s">
        <v>809</v>
      </c>
      <c r="F2015" s="3">
        <v>255.12</v>
      </c>
      <c r="G2015" s="3">
        <v>0</v>
      </c>
      <c r="H2015" s="3">
        <v>255.12</v>
      </c>
      <c r="I2015" t="s">
        <v>507</v>
      </c>
    </row>
    <row r="2016" spans="1:9" x14ac:dyDescent="0.35">
      <c r="A2016" s="2">
        <v>45458</v>
      </c>
      <c r="B2016">
        <v>85</v>
      </c>
      <c r="C2016">
        <v>2122003</v>
      </c>
      <c r="D2016" t="s">
        <v>308</v>
      </c>
      <c r="E2016" t="s">
        <v>548</v>
      </c>
      <c r="F2016" s="3">
        <v>130.66999999999999</v>
      </c>
      <c r="G2016" s="3">
        <v>0</v>
      </c>
      <c r="H2016" s="3">
        <v>130.66999999999999</v>
      </c>
      <c r="I2016" t="s">
        <v>507</v>
      </c>
    </row>
    <row r="2017" spans="1:9" x14ac:dyDescent="0.35">
      <c r="A2017" s="2">
        <v>45458</v>
      </c>
      <c r="B2017">
        <v>85</v>
      </c>
      <c r="C2017">
        <v>5132010</v>
      </c>
      <c r="D2017" t="s">
        <v>211</v>
      </c>
      <c r="E2017" t="s">
        <v>810</v>
      </c>
      <c r="F2017" s="3">
        <v>24200</v>
      </c>
      <c r="G2017" s="3">
        <v>0</v>
      </c>
      <c r="H2017" s="3">
        <v>24200</v>
      </c>
      <c r="I2017" t="s">
        <v>507</v>
      </c>
    </row>
    <row r="2018" spans="1:9" x14ac:dyDescent="0.35">
      <c r="A2018" s="2">
        <v>45458</v>
      </c>
      <c r="B2018">
        <v>85</v>
      </c>
      <c r="C2018">
        <v>5131016</v>
      </c>
      <c r="D2018" t="s">
        <v>238</v>
      </c>
      <c r="E2018" t="s">
        <v>811</v>
      </c>
      <c r="F2018" s="3">
        <v>600</v>
      </c>
      <c r="G2018" s="3">
        <v>0</v>
      </c>
      <c r="H2018" s="3">
        <v>600</v>
      </c>
      <c r="I2018" t="s">
        <v>507</v>
      </c>
    </row>
    <row r="2019" spans="1:9" x14ac:dyDescent="0.35">
      <c r="A2019" s="2">
        <v>45458</v>
      </c>
      <c r="B2019">
        <v>85</v>
      </c>
      <c r="C2019">
        <v>2161001</v>
      </c>
      <c r="D2019" t="s">
        <v>93</v>
      </c>
      <c r="E2019" t="s">
        <v>1798</v>
      </c>
      <c r="F2019" s="3">
        <v>790.45</v>
      </c>
      <c r="G2019" s="3">
        <v>0</v>
      </c>
      <c r="H2019" s="3">
        <v>790.45</v>
      </c>
      <c r="I2019" t="s">
        <v>507</v>
      </c>
    </row>
    <row r="2020" spans="1:9" x14ac:dyDescent="0.35">
      <c r="A2020" s="2">
        <v>45458</v>
      </c>
      <c r="B2020">
        <v>85</v>
      </c>
      <c r="C2020">
        <v>2161001</v>
      </c>
      <c r="D2020" t="s">
        <v>93</v>
      </c>
      <c r="E2020" t="s">
        <v>1798</v>
      </c>
      <c r="F2020" s="3">
        <v>790.45</v>
      </c>
      <c r="G2020" s="3">
        <v>0</v>
      </c>
      <c r="H2020" s="3">
        <v>790.45</v>
      </c>
      <c r="I2020" t="s">
        <v>507</v>
      </c>
    </row>
    <row r="2021" spans="1:9" x14ac:dyDescent="0.35">
      <c r="A2021" s="2">
        <v>45458</v>
      </c>
      <c r="B2021">
        <v>85</v>
      </c>
      <c r="C2021">
        <v>2161001</v>
      </c>
      <c r="D2021" t="s">
        <v>93</v>
      </c>
      <c r="E2021" t="s">
        <v>1798</v>
      </c>
      <c r="F2021" s="3">
        <v>790.45</v>
      </c>
      <c r="G2021" s="3">
        <v>0</v>
      </c>
      <c r="H2021" s="3">
        <v>790.45</v>
      </c>
      <c r="I2021" t="s">
        <v>507</v>
      </c>
    </row>
    <row r="2022" spans="1:9" x14ac:dyDescent="0.35">
      <c r="A2022" s="2">
        <v>45458</v>
      </c>
      <c r="B2022">
        <v>85</v>
      </c>
      <c r="C2022">
        <v>2161001</v>
      </c>
      <c r="D2022" t="s">
        <v>93</v>
      </c>
      <c r="E2022" t="s">
        <v>1798</v>
      </c>
      <c r="F2022" s="3">
        <v>790.45</v>
      </c>
      <c r="G2022" s="3">
        <v>0</v>
      </c>
      <c r="H2022" s="3">
        <v>790.45</v>
      </c>
      <c r="I2022" t="s">
        <v>507</v>
      </c>
    </row>
    <row r="2023" spans="1:9" x14ac:dyDescent="0.35">
      <c r="A2023" s="2">
        <v>45458</v>
      </c>
      <c r="B2023">
        <v>85</v>
      </c>
      <c r="C2023">
        <v>2161001</v>
      </c>
      <c r="D2023" t="s">
        <v>93</v>
      </c>
      <c r="E2023" t="s">
        <v>1798</v>
      </c>
      <c r="F2023" s="3">
        <v>790.45</v>
      </c>
      <c r="G2023" s="3">
        <v>0</v>
      </c>
      <c r="H2023" s="3">
        <v>790.45</v>
      </c>
      <c r="I2023" t="s">
        <v>507</v>
      </c>
    </row>
    <row r="2024" spans="1:9" x14ac:dyDescent="0.35">
      <c r="A2024" s="2">
        <v>45458</v>
      </c>
      <c r="B2024">
        <v>85</v>
      </c>
      <c r="C2024">
        <v>2114010</v>
      </c>
      <c r="D2024" t="s">
        <v>48</v>
      </c>
      <c r="E2024" t="s">
        <v>105</v>
      </c>
      <c r="F2024" s="3">
        <v>6633.94</v>
      </c>
      <c r="G2024" s="3">
        <v>0</v>
      </c>
      <c r="H2024" s="3">
        <v>6633.94</v>
      </c>
      <c r="I2024" t="s">
        <v>507</v>
      </c>
    </row>
    <row r="2025" spans="1:9" x14ac:dyDescent="0.35">
      <c r="A2025" s="2">
        <v>45458</v>
      </c>
      <c r="B2025">
        <v>85</v>
      </c>
      <c r="C2025">
        <v>6121025</v>
      </c>
      <c r="D2025" t="s">
        <v>134</v>
      </c>
      <c r="E2025" t="s">
        <v>135</v>
      </c>
      <c r="F2025" s="3">
        <v>6588.76</v>
      </c>
      <c r="G2025" s="3">
        <v>0</v>
      </c>
      <c r="H2025" s="3">
        <v>6588.76</v>
      </c>
      <c r="I2025" t="s">
        <v>507</v>
      </c>
    </row>
    <row r="2026" spans="1:9" x14ac:dyDescent="0.35">
      <c r="A2026" s="2">
        <v>45458</v>
      </c>
      <c r="B2026">
        <v>85</v>
      </c>
      <c r="C2026">
        <v>1112002</v>
      </c>
      <c r="D2026" t="s">
        <v>21</v>
      </c>
      <c r="E2026" t="s">
        <v>613</v>
      </c>
      <c r="F2026" s="3">
        <v>0</v>
      </c>
      <c r="G2026" s="3">
        <v>117875.62</v>
      </c>
      <c r="H2026" s="3">
        <v>-117875.62</v>
      </c>
      <c r="I2026" t="s">
        <v>507</v>
      </c>
    </row>
    <row r="2027" spans="1:9" x14ac:dyDescent="0.35">
      <c r="A2027" s="2">
        <v>45458</v>
      </c>
      <c r="B2027">
        <v>85</v>
      </c>
      <c r="C2027">
        <v>1112002</v>
      </c>
      <c r="D2027" t="s">
        <v>21</v>
      </c>
      <c r="E2027" t="s">
        <v>812</v>
      </c>
      <c r="F2027" s="3">
        <v>115016.21</v>
      </c>
      <c r="G2027" s="3">
        <v>0</v>
      </c>
      <c r="H2027" s="3">
        <v>115016.21</v>
      </c>
      <c r="I2027" t="s">
        <v>507</v>
      </c>
    </row>
    <row r="2028" spans="1:9" x14ac:dyDescent="0.35">
      <c r="A2028" s="2">
        <v>45458</v>
      </c>
      <c r="B2028">
        <v>85</v>
      </c>
      <c r="C2028">
        <v>1111001</v>
      </c>
      <c r="D2028" t="s">
        <v>16</v>
      </c>
      <c r="E2028" t="s">
        <v>137</v>
      </c>
      <c r="F2028" s="3">
        <v>0</v>
      </c>
      <c r="G2028" s="3">
        <v>83349.119999999995</v>
      </c>
      <c r="H2028" s="3">
        <v>-83349.119999999995</v>
      </c>
      <c r="I2028" t="s">
        <v>507</v>
      </c>
    </row>
    <row r="2029" spans="1:9" x14ac:dyDescent="0.35">
      <c r="A2029" s="2">
        <v>45458</v>
      </c>
      <c r="B2029">
        <v>85</v>
      </c>
      <c r="C2029">
        <v>4141003</v>
      </c>
      <c r="D2029" t="s">
        <v>141</v>
      </c>
      <c r="E2029" t="s">
        <v>142</v>
      </c>
      <c r="F2029" s="3">
        <v>0</v>
      </c>
      <c r="G2029" s="3">
        <v>300.97000000000003</v>
      </c>
      <c r="H2029" s="3">
        <v>-300.97000000000003</v>
      </c>
      <c r="I2029" t="s">
        <v>507</v>
      </c>
    </row>
    <row r="2030" spans="1:9" x14ac:dyDescent="0.35">
      <c r="A2030" s="2">
        <v>45458</v>
      </c>
      <c r="B2030">
        <v>85</v>
      </c>
      <c r="C2030">
        <v>1111001</v>
      </c>
      <c r="D2030" t="s">
        <v>16</v>
      </c>
      <c r="E2030" t="s">
        <v>139</v>
      </c>
      <c r="F2030" s="3">
        <v>0</v>
      </c>
      <c r="G2030" s="3">
        <v>22294.87</v>
      </c>
      <c r="H2030" s="3">
        <v>-22294.87</v>
      </c>
      <c r="I2030" t="s">
        <v>507</v>
      </c>
    </row>
    <row r="2031" spans="1:9" x14ac:dyDescent="0.35">
      <c r="A2031" s="2">
        <v>45458</v>
      </c>
      <c r="B2031">
        <v>85</v>
      </c>
      <c r="C2031">
        <v>1111001</v>
      </c>
      <c r="D2031" t="s">
        <v>16</v>
      </c>
      <c r="E2031" t="s">
        <v>299</v>
      </c>
      <c r="F2031" s="3">
        <v>0</v>
      </c>
      <c r="G2031" s="3">
        <v>1000</v>
      </c>
      <c r="H2031" s="3">
        <v>-1000</v>
      </c>
      <c r="I2031" t="s">
        <v>507</v>
      </c>
    </row>
    <row r="2032" spans="1:9" x14ac:dyDescent="0.35">
      <c r="A2032" s="2">
        <v>45458</v>
      </c>
      <c r="B2032">
        <v>85</v>
      </c>
      <c r="C2032">
        <v>1111001</v>
      </c>
      <c r="D2032" t="s">
        <v>16</v>
      </c>
      <c r="E2032" t="s">
        <v>813</v>
      </c>
      <c r="F2032" s="3">
        <v>0</v>
      </c>
      <c r="G2032" s="3">
        <v>911.25</v>
      </c>
      <c r="H2032" s="3">
        <v>-911.25</v>
      </c>
      <c r="I2032" t="s">
        <v>507</v>
      </c>
    </row>
    <row r="2033" spans="1:9" x14ac:dyDescent="0.35">
      <c r="A2033" s="2">
        <v>45458</v>
      </c>
      <c r="B2033">
        <v>85</v>
      </c>
      <c r="C2033">
        <v>1111001</v>
      </c>
      <c r="D2033" t="s">
        <v>16</v>
      </c>
      <c r="E2033" t="s">
        <v>814</v>
      </c>
      <c r="F2033" s="3">
        <v>0</v>
      </c>
      <c r="G2033" s="3">
        <v>4900</v>
      </c>
      <c r="H2033" s="3">
        <v>-4900</v>
      </c>
      <c r="I2033" t="s">
        <v>507</v>
      </c>
    </row>
    <row r="2034" spans="1:9" x14ac:dyDescent="0.35">
      <c r="A2034" s="2">
        <v>45458</v>
      </c>
      <c r="B2034">
        <v>85</v>
      </c>
      <c r="C2034">
        <v>1111001</v>
      </c>
      <c r="D2034" t="s">
        <v>16</v>
      </c>
      <c r="E2034" t="s">
        <v>1799</v>
      </c>
      <c r="F2034" s="3">
        <v>0</v>
      </c>
      <c r="G2034" s="3">
        <v>2260</v>
      </c>
      <c r="H2034" s="3">
        <v>-2260</v>
      </c>
      <c r="I2034" t="s">
        <v>507</v>
      </c>
    </row>
    <row r="2035" spans="1:9" x14ac:dyDescent="0.35">
      <c r="A2035" s="2">
        <v>45458</v>
      </c>
      <c r="B2035">
        <v>85</v>
      </c>
      <c r="C2035">
        <v>6121046</v>
      </c>
      <c r="D2035" t="s">
        <v>94</v>
      </c>
      <c r="E2035" t="s">
        <v>95</v>
      </c>
      <c r="F2035" s="3">
        <v>20.09</v>
      </c>
      <c r="G2035" s="3">
        <v>0</v>
      </c>
      <c r="H2035" s="3">
        <v>20.09</v>
      </c>
      <c r="I2035" t="s">
        <v>472</v>
      </c>
    </row>
    <row r="2036" spans="1:9" x14ac:dyDescent="0.35">
      <c r="A2036" s="2">
        <v>45458</v>
      </c>
      <c r="B2036">
        <v>85</v>
      </c>
      <c r="C2036">
        <v>6121040</v>
      </c>
      <c r="D2036" t="s">
        <v>98</v>
      </c>
      <c r="E2036" t="s">
        <v>99</v>
      </c>
      <c r="F2036" s="3">
        <v>4.7</v>
      </c>
      <c r="G2036" s="3">
        <v>0</v>
      </c>
      <c r="H2036" s="3">
        <v>4.7</v>
      </c>
      <c r="I2036" t="s">
        <v>472</v>
      </c>
    </row>
    <row r="2037" spans="1:9" x14ac:dyDescent="0.35">
      <c r="A2037" s="2">
        <v>45458</v>
      </c>
      <c r="B2037">
        <v>85</v>
      </c>
      <c r="C2037">
        <v>2114001</v>
      </c>
      <c r="D2037" t="s">
        <v>97</v>
      </c>
      <c r="E2037" t="s">
        <v>1768</v>
      </c>
      <c r="F2037" s="3">
        <v>1000</v>
      </c>
      <c r="G2037" s="3">
        <v>0</v>
      </c>
      <c r="H2037" s="3">
        <v>1000</v>
      </c>
      <c r="I2037" t="s">
        <v>472</v>
      </c>
    </row>
    <row r="2038" spans="1:9" x14ac:dyDescent="0.35">
      <c r="A2038" s="2">
        <v>45458</v>
      </c>
      <c r="B2038">
        <v>85</v>
      </c>
      <c r="C2038">
        <v>1111001</v>
      </c>
      <c r="D2038" t="s">
        <v>16</v>
      </c>
      <c r="E2038" t="s">
        <v>687</v>
      </c>
      <c r="F2038" s="3">
        <v>400</v>
      </c>
      <c r="G2038" s="3">
        <v>0</v>
      </c>
      <c r="H2038" s="3">
        <v>400</v>
      </c>
      <c r="I2038" t="s">
        <v>472</v>
      </c>
    </row>
    <row r="2039" spans="1:9" x14ac:dyDescent="0.35">
      <c r="A2039" s="2">
        <v>45458</v>
      </c>
      <c r="B2039">
        <v>85</v>
      </c>
      <c r="C2039">
        <v>1112003</v>
      </c>
      <c r="D2039" t="s">
        <v>22</v>
      </c>
      <c r="E2039" t="s">
        <v>815</v>
      </c>
      <c r="F2039" s="3">
        <v>0</v>
      </c>
      <c r="G2039" s="3">
        <v>1424.79</v>
      </c>
      <c r="H2039" s="3">
        <v>-1424.79</v>
      </c>
      <c r="I2039" t="s">
        <v>472</v>
      </c>
    </row>
    <row r="2040" spans="1:9" x14ac:dyDescent="0.35">
      <c r="A2040" s="2">
        <v>45458</v>
      </c>
      <c r="B2040">
        <v>85</v>
      </c>
      <c r="C2040">
        <v>6121046</v>
      </c>
      <c r="D2040" t="s">
        <v>94</v>
      </c>
      <c r="E2040" t="s">
        <v>95</v>
      </c>
      <c r="F2040" s="3">
        <v>268.8</v>
      </c>
      <c r="G2040" s="3">
        <v>0</v>
      </c>
      <c r="H2040" s="3">
        <v>268.8</v>
      </c>
      <c r="I2040" t="s">
        <v>480</v>
      </c>
    </row>
    <row r="2041" spans="1:9" x14ac:dyDescent="0.35">
      <c r="A2041" s="2">
        <v>45458</v>
      </c>
      <c r="B2041">
        <v>85</v>
      </c>
      <c r="C2041">
        <v>6121040</v>
      </c>
      <c r="D2041" t="s">
        <v>98</v>
      </c>
      <c r="E2041" t="s">
        <v>99</v>
      </c>
      <c r="F2041" s="3">
        <v>150.1</v>
      </c>
      <c r="G2041" s="3">
        <v>0</v>
      </c>
      <c r="H2041" s="3">
        <v>150.1</v>
      </c>
      <c r="I2041" t="s">
        <v>480</v>
      </c>
    </row>
    <row r="2042" spans="1:9" x14ac:dyDescent="0.35">
      <c r="A2042" s="2">
        <v>45458</v>
      </c>
      <c r="B2042">
        <v>85</v>
      </c>
      <c r="C2042">
        <v>1111001</v>
      </c>
      <c r="D2042" t="s">
        <v>16</v>
      </c>
      <c r="E2042" t="s">
        <v>687</v>
      </c>
      <c r="F2042" s="3">
        <v>400</v>
      </c>
      <c r="G2042" s="3">
        <v>0</v>
      </c>
      <c r="H2042" s="3">
        <v>400</v>
      </c>
      <c r="I2042" t="s">
        <v>480</v>
      </c>
    </row>
    <row r="2043" spans="1:9" x14ac:dyDescent="0.35">
      <c r="A2043" s="2">
        <v>45458</v>
      </c>
      <c r="B2043">
        <v>85</v>
      </c>
      <c r="C2043">
        <v>2114001</v>
      </c>
      <c r="D2043" t="s">
        <v>97</v>
      </c>
      <c r="E2043" t="s">
        <v>1768</v>
      </c>
      <c r="F2043" s="3">
        <v>12935</v>
      </c>
      <c r="G2043" s="3">
        <v>0</v>
      </c>
      <c r="H2043" s="3">
        <v>12935</v>
      </c>
      <c r="I2043" t="s">
        <v>480</v>
      </c>
    </row>
    <row r="2044" spans="1:9" x14ac:dyDescent="0.35">
      <c r="A2044" s="2">
        <v>45458</v>
      </c>
      <c r="B2044">
        <v>85</v>
      </c>
      <c r="C2044">
        <v>1112001</v>
      </c>
      <c r="D2044" t="s">
        <v>20</v>
      </c>
      <c r="E2044" t="s">
        <v>758</v>
      </c>
      <c r="F2044" s="3">
        <v>0</v>
      </c>
      <c r="G2044" s="3">
        <v>13753.9</v>
      </c>
      <c r="H2044" s="3">
        <v>-13753.9</v>
      </c>
      <c r="I2044" t="s">
        <v>480</v>
      </c>
    </row>
    <row r="2045" spans="1:9" x14ac:dyDescent="0.35">
      <c r="A2045" s="2">
        <v>45458</v>
      </c>
      <c r="B2045">
        <v>85</v>
      </c>
      <c r="C2045">
        <v>1112001</v>
      </c>
      <c r="D2045" t="s">
        <v>20</v>
      </c>
      <c r="E2045" t="s">
        <v>744</v>
      </c>
      <c r="F2045" s="3">
        <v>13531.43</v>
      </c>
      <c r="G2045" s="3">
        <v>0</v>
      </c>
      <c r="H2045" s="3">
        <v>13531.43</v>
      </c>
      <c r="I2045" t="s">
        <v>480</v>
      </c>
    </row>
    <row r="2046" spans="1:9" x14ac:dyDescent="0.35">
      <c r="A2046" s="2">
        <v>45458</v>
      </c>
      <c r="B2046">
        <v>85</v>
      </c>
      <c r="C2046">
        <v>1111001</v>
      </c>
      <c r="D2046" t="s">
        <v>16</v>
      </c>
      <c r="E2046" t="s">
        <v>112</v>
      </c>
      <c r="F2046" s="3">
        <v>0</v>
      </c>
      <c r="G2046" s="3">
        <v>7872</v>
      </c>
      <c r="H2046" s="3">
        <v>-7872</v>
      </c>
      <c r="I2046" t="s">
        <v>480</v>
      </c>
    </row>
    <row r="2047" spans="1:9" x14ac:dyDescent="0.35">
      <c r="A2047" s="2">
        <v>45458</v>
      </c>
      <c r="B2047">
        <v>85</v>
      </c>
      <c r="C2047">
        <v>1111001</v>
      </c>
      <c r="D2047" t="s">
        <v>16</v>
      </c>
      <c r="E2047" t="s">
        <v>816</v>
      </c>
      <c r="F2047" s="3">
        <v>0</v>
      </c>
      <c r="G2047" s="3">
        <v>1827</v>
      </c>
      <c r="H2047" s="3">
        <v>-1827</v>
      </c>
      <c r="I2047" t="s">
        <v>480</v>
      </c>
    </row>
    <row r="2048" spans="1:9" x14ac:dyDescent="0.35">
      <c r="A2048" s="2">
        <v>45458</v>
      </c>
      <c r="B2048">
        <v>85</v>
      </c>
      <c r="C2048">
        <v>1111001</v>
      </c>
      <c r="D2048" t="s">
        <v>16</v>
      </c>
      <c r="E2048" t="s">
        <v>817</v>
      </c>
      <c r="F2048" s="3">
        <v>0</v>
      </c>
      <c r="G2048" s="3">
        <v>1605.93</v>
      </c>
      <c r="H2048" s="3">
        <v>-1605.93</v>
      </c>
      <c r="I2048" t="s">
        <v>480</v>
      </c>
    </row>
    <row r="2049" spans="1:9" x14ac:dyDescent="0.35">
      <c r="A2049" s="2">
        <v>45458</v>
      </c>
      <c r="B2049">
        <v>85</v>
      </c>
      <c r="C2049">
        <v>1111001</v>
      </c>
      <c r="D2049" t="s">
        <v>16</v>
      </c>
      <c r="E2049" t="s">
        <v>818</v>
      </c>
      <c r="F2049" s="3">
        <v>0</v>
      </c>
      <c r="G2049" s="3">
        <v>1826.5</v>
      </c>
      <c r="H2049" s="3">
        <v>-1826.5</v>
      </c>
      <c r="I2049" t="s">
        <v>480</v>
      </c>
    </row>
    <row r="2050" spans="1:9" x14ac:dyDescent="0.35">
      <c r="A2050" s="2">
        <v>45458</v>
      </c>
      <c r="B2050">
        <v>85</v>
      </c>
      <c r="C2050">
        <v>1111001</v>
      </c>
      <c r="D2050" t="s">
        <v>16</v>
      </c>
      <c r="E2050" t="s">
        <v>354</v>
      </c>
      <c r="F2050" s="3">
        <v>0</v>
      </c>
      <c r="G2050" s="3">
        <v>400</v>
      </c>
      <c r="H2050" s="3">
        <v>-400</v>
      </c>
      <c r="I2050" t="s">
        <v>480</v>
      </c>
    </row>
    <row r="2051" spans="1:9" x14ac:dyDescent="0.35">
      <c r="A2051" s="2">
        <v>45458</v>
      </c>
      <c r="B2051">
        <v>85</v>
      </c>
      <c r="C2051">
        <v>6121023</v>
      </c>
      <c r="D2051" t="s">
        <v>49</v>
      </c>
      <c r="E2051" t="s">
        <v>819</v>
      </c>
      <c r="F2051" s="3">
        <v>780</v>
      </c>
      <c r="G2051" s="3">
        <v>0</v>
      </c>
      <c r="H2051" s="3">
        <v>780</v>
      </c>
      <c r="I2051" t="s">
        <v>438</v>
      </c>
    </row>
    <row r="2052" spans="1:9" x14ac:dyDescent="0.35">
      <c r="A2052" s="2">
        <v>45458</v>
      </c>
      <c r="B2052">
        <v>85</v>
      </c>
      <c r="C2052">
        <v>5132023</v>
      </c>
      <c r="D2052" t="s">
        <v>820</v>
      </c>
      <c r="E2052" t="s">
        <v>821</v>
      </c>
      <c r="F2052" s="3">
        <v>5110</v>
      </c>
      <c r="G2052" s="3">
        <v>0</v>
      </c>
      <c r="H2052" s="3">
        <v>5110</v>
      </c>
      <c r="I2052" t="s">
        <v>438</v>
      </c>
    </row>
    <row r="2053" spans="1:9" x14ac:dyDescent="0.35">
      <c r="A2053" s="2">
        <v>45458</v>
      </c>
      <c r="B2053">
        <v>85</v>
      </c>
      <c r="C2053">
        <v>5131016</v>
      </c>
      <c r="D2053" t="s">
        <v>238</v>
      </c>
      <c r="E2053" t="s">
        <v>822</v>
      </c>
      <c r="F2053" s="3">
        <v>1095</v>
      </c>
      <c r="G2053" s="3">
        <v>0</v>
      </c>
      <c r="H2053" s="3">
        <v>1095</v>
      </c>
      <c r="I2053" t="s">
        <v>438</v>
      </c>
    </row>
    <row r="2054" spans="1:9" x14ac:dyDescent="0.35">
      <c r="A2054" s="2">
        <v>45458</v>
      </c>
      <c r="B2054">
        <v>85</v>
      </c>
      <c r="C2054">
        <v>2114001</v>
      </c>
      <c r="D2054" t="s">
        <v>97</v>
      </c>
      <c r="E2054" t="s">
        <v>1800</v>
      </c>
      <c r="F2054" s="3">
        <v>0</v>
      </c>
      <c r="G2054" s="3">
        <v>6985</v>
      </c>
      <c r="H2054" s="3">
        <v>-6985</v>
      </c>
      <c r="I2054" t="s">
        <v>438</v>
      </c>
    </row>
    <row r="2055" spans="1:9" x14ac:dyDescent="0.35">
      <c r="A2055" s="2">
        <v>45458</v>
      </c>
      <c r="B2055">
        <v>85</v>
      </c>
      <c r="C2055">
        <v>2114010</v>
      </c>
      <c r="D2055" t="s">
        <v>48</v>
      </c>
      <c r="E2055" t="s">
        <v>823</v>
      </c>
      <c r="F2055" s="3">
        <v>5156.74</v>
      </c>
      <c r="G2055" s="3">
        <v>0</v>
      </c>
      <c r="H2055" s="3">
        <v>5156.74</v>
      </c>
      <c r="I2055" t="s">
        <v>438</v>
      </c>
    </row>
    <row r="2056" spans="1:9" x14ac:dyDescent="0.35">
      <c r="A2056" s="2">
        <v>45458</v>
      </c>
      <c r="B2056">
        <v>85</v>
      </c>
      <c r="C2056">
        <v>2114001</v>
      </c>
      <c r="D2056" t="s">
        <v>97</v>
      </c>
      <c r="E2056" t="s">
        <v>823</v>
      </c>
      <c r="F2056" s="3">
        <v>0</v>
      </c>
      <c r="G2056" s="3">
        <v>5156.74</v>
      </c>
      <c r="H2056" s="3">
        <v>-5156.74</v>
      </c>
      <c r="I2056" t="s">
        <v>438</v>
      </c>
    </row>
    <row r="2057" spans="1:9" x14ac:dyDescent="0.35">
      <c r="A2057" s="2">
        <v>45473</v>
      </c>
      <c r="B2057">
        <v>86</v>
      </c>
      <c r="C2057">
        <v>6121023</v>
      </c>
      <c r="D2057" t="s">
        <v>49</v>
      </c>
      <c r="E2057" t="s">
        <v>166</v>
      </c>
      <c r="F2057" s="3">
        <v>97.3</v>
      </c>
      <c r="G2057" s="3">
        <v>0</v>
      </c>
      <c r="H2057" s="3">
        <v>97.3</v>
      </c>
      <c r="I2057" t="s">
        <v>824</v>
      </c>
    </row>
    <row r="2058" spans="1:9" x14ac:dyDescent="0.35">
      <c r="A2058" s="2">
        <v>45473</v>
      </c>
      <c r="B2058">
        <v>86</v>
      </c>
      <c r="C2058">
        <v>6121046</v>
      </c>
      <c r="D2058" t="s">
        <v>94</v>
      </c>
      <c r="E2058" t="s">
        <v>166</v>
      </c>
      <c r="F2058" s="3">
        <v>2.92</v>
      </c>
      <c r="G2058" s="3">
        <v>0</v>
      </c>
      <c r="H2058" s="3">
        <v>2.92</v>
      </c>
      <c r="I2058" t="s">
        <v>824</v>
      </c>
    </row>
    <row r="2059" spans="1:9" x14ac:dyDescent="0.35">
      <c r="A2059" s="2">
        <v>45473</v>
      </c>
      <c r="B2059">
        <v>86</v>
      </c>
      <c r="C2059">
        <v>2114010</v>
      </c>
      <c r="D2059" t="s">
        <v>48</v>
      </c>
      <c r="E2059" t="s">
        <v>166</v>
      </c>
      <c r="F2059" s="3">
        <v>0</v>
      </c>
      <c r="G2059" s="3">
        <v>2.92</v>
      </c>
      <c r="H2059" s="3">
        <v>-2.92</v>
      </c>
      <c r="I2059" t="s">
        <v>824</v>
      </c>
    </row>
    <row r="2060" spans="1:9" x14ac:dyDescent="0.35">
      <c r="A2060" s="2">
        <v>45473</v>
      </c>
      <c r="B2060">
        <v>86</v>
      </c>
      <c r="C2060">
        <v>2114010</v>
      </c>
      <c r="D2060" t="s">
        <v>48</v>
      </c>
      <c r="E2060" t="s">
        <v>166</v>
      </c>
      <c r="F2060" s="3">
        <v>0</v>
      </c>
      <c r="G2060" s="3">
        <v>97.3</v>
      </c>
      <c r="H2060" s="3">
        <v>-97.3</v>
      </c>
      <c r="I2060" t="s">
        <v>824</v>
      </c>
    </row>
    <row r="2061" spans="1:9" x14ac:dyDescent="0.35">
      <c r="A2061" s="2">
        <v>45473</v>
      </c>
      <c r="B2061">
        <v>86</v>
      </c>
      <c r="C2061">
        <v>6121023</v>
      </c>
      <c r="D2061" t="s">
        <v>49</v>
      </c>
      <c r="E2061" t="s">
        <v>166</v>
      </c>
      <c r="F2061" s="3">
        <v>287.5</v>
      </c>
      <c r="G2061" s="3">
        <v>0</v>
      </c>
      <c r="H2061" s="3">
        <v>287.5</v>
      </c>
      <c r="I2061" t="s">
        <v>825</v>
      </c>
    </row>
    <row r="2062" spans="1:9" x14ac:dyDescent="0.35">
      <c r="A2062" s="2">
        <v>45473</v>
      </c>
      <c r="B2062">
        <v>86</v>
      </c>
      <c r="C2062">
        <v>6121046</v>
      </c>
      <c r="D2062" t="s">
        <v>94</v>
      </c>
      <c r="E2062" t="s">
        <v>166</v>
      </c>
      <c r="F2062" s="3">
        <v>1.0900000000000001</v>
      </c>
      <c r="G2062" s="3">
        <v>0</v>
      </c>
      <c r="H2062" s="3">
        <v>1.0900000000000001</v>
      </c>
      <c r="I2062" t="s">
        <v>825</v>
      </c>
    </row>
    <row r="2063" spans="1:9" x14ac:dyDescent="0.35">
      <c r="A2063" s="2">
        <v>45473</v>
      </c>
      <c r="B2063">
        <v>86</v>
      </c>
      <c r="C2063">
        <v>2114010</v>
      </c>
      <c r="D2063" t="s">
        <v>48</v>
      </c>
      <c r="E2063" t="s">
        <v>166</v>
      </c>
      <c r="F2063" s="3">
        <v>0</v>
      </c>
      <c r="G2063" s="3">
        <v>1.0900000000000001</v>
      </c>
      <c r="H2063" s="3">
        <v>-1.0900000000000001</v>
      </c>
      <c r="I2063" t="s">
        <v>825</v>
      </c>
    </row>
    <row r="2064" spans="1:9" x14ac:dyDescent="0.35">
      <c r="A2064" s="2">
        <v>45473</v>
      </c>
      <c r="B2064">
        <v>86</v>
      </c>
      <c r="C2064">
        <v>2114010</v>
      </c>
      <c r="D2064" t="s">
        <v>48</v>
      </c>
      <c r="E2064" t="s">
        <v>166</v>
      </c>
      <c r="F2064" s="3">
        <v>0</v>
      </c>
      <c r="G2064" s="3">
        <v>287.5</v>
      </c>
      <c r="H2064" s="3">
        <v>-287.5</v>
      </c>
      <c r="I2064" t="s">
        <v>825</v>
      </c>
    </row>
    <row r="2065" spans="1:9" x14ac:dyDescent="0.35">
      <c r="A2065" s="2">
        <v>45473</v>
      </c>
      <c r="B2065">
        <v>86</v>
      </c>
      <c r="C2065">
        <v>6121023</v>
      </c>
      <c r="D2065" t="s">
        <v>49</v>
      </c>
      <c r="E2065" t="s">
        <v>166</v>
      </c>
      <c r="F2065" s="3">
        <v>348.97</v>
      </c>
      <c r="G2065" s="3">
        <v>0</v>
      </c>
      <c r="H2065" s="3">
        <v>348.97</v>
      </c>
      <c r="I2065" t="s">
        <v>826</v>
      </c>
    </row>
    <row r="2066" spans="1:9" x14ac:dyDescent="0.35">
      <c r="A2066" s="2">
        <v>45473</v>
      </c>
      <c r="B2066">
        <v>86</v>
      </c>
      <c r="C2066">
        <v>2114010</v>
      </c>
      <c r="D2066" t="s">
        <v>48</v>
      </c>
      <c r="E2066" t="s">
        <v>166</v>
      </c>
      <c r="F2066" s="3">
        <v>0</v>
      </c>
      <c r="G2066" s="3">
        <v>348.97</v>
      </c>
      <c r="H2066" s="3">
        <v>-348.97</v>
      </c>
      <c r="I2066" t="s">
        <v>826</v>
      </c>
    </row>
    <row r="2067" spans="1:9" x14ac:dyDescent="0.35">
      <c r="A2067" s="2">
        <v>45473</v>
      </c>
      <c r="B2067">
        <v>86</v>
      </c>
      <c r="C2067">
        <v>6121023</v>
      </c>
      <c r="D2067" t="s">
        <v>49</v>
      </c>
      <c r="E2067" t="s">
        <v>827</v>
      </c>
      <c r="F2067" s="3">
        <v>504.29</v>
      </c>
      <c r="G2067" s="3">
        <v>0</v>
      </c>
      <c r="H2067" s="3">
        <v>504.29</v>
      </c>
      <c r="I2067" t="s">
        <v>828</v>
      </c>
    </row>
    <row r="2068" spans="1:9" x14ac:dyDescent="0.35">
      <c r="A2068" s="2">
        <v>45473</v>
      </c>
      <c r="B2068">
        <v>86</v>
      </c>
      <c r="C2068">
        <v>2114010</v>
      </c>
      <c r="D2068" t="s">
        <v>48</v>
      </c>
      <c r="E2068" t="s">
        <v>827</v>
      </c>
      <c r="F2068" s="3">
        <v>0</v>
      </c>
      <c r="G2068" s="3">
        <v>504.29</v>
      </c>
      <c r="H2068" s="3">
        <v>-504.29</v>
      </c>
      <c r="I2068" t="s">
        <v>828</v>
      </c>
    </row>
    <row r="2069" spans="1:9" x14ac:dyDescent="0.35">
      <c r="A2069" s="2">
        <v>45473</v>
      </c>
      <c r="B2069">
        <v>86</v>
      </c>
      <c r="C2069">
        <v>6121023</v>
      </c>
      <c r="D2069" t="s">
        <v>49</v>
      </c>
      <c r="E2069" t="s">
        <v>52</v>
      </c>
      <c r="F2069" s="3">
        <v>598.04999999999995</v>
      </c>
      <c r="G2069" s="3">
        <v>0</v>
      </c>
      <c r="H2069" s="3">
        <v>598.04999999999995</v>
      </c>
      <c r="I2069" t="s">
        <v>829</v>
      </c>
    </row>
    <row r="2070" spans="1:9" x14ac:dyDescent="0.35">
      <c r="A2070" s="2">
        <v>45473</v>
      </c>
      <c r="B2070">
        <v>86</v>
      </c>
      <c r="C2070">
        <v>2114010</v>
      </c>
      <c r="D2070" t="s">
        <v>48</v>
      </c>
      <c r="E2070" t="s">
        <v>52</v>
      </c>
      <c r="F2070" s="3">
        <v>0</v>
      </c>
      <c r="G2070" s="3">
        <v>598.04999999999995</v>
      </c>
      <c r="H2070" s="3">
        <v>-598.04999999999995</v>
      </c>
      <c r="I2070" t="s">
        <v>829</v>
      </c>
    </row>
    <row r="2071" spans="1:9" x14ac:dyDescent="0.35">
      <c r="A2071" s="2">
        <v>45473</v>
      </c>
      <c r="B2071">
        <v>86</v>
      </c>
      <c r="C2071">
        <v>6121023</v>
      </c>
      <c r="D2071" t="s">
        <v>49</v>
      </c>
      <c r="E2071" t="s">
        <v>172</v>
      </c>
      <c r="F2071" s="3">
        <v>316.91000000000003</v>
      </c>
      <c r="G2071" s="3">
        <v>0</v>
      </c>
      <c r="H2071" s="3">
        <v>316.91000000000003</v>
      </c>
      <c r="I2071" t="s">
        <v>830</v>
      </c>
    </row>
    <row r="2072" spans="1:9" x14ac:dyDescent="0.35">
      <c r="A2072" s="2">
        <v>45473</v>
      </c>
      <c r="B2072">
        <v>86</v>
      </c>
      <c r="C2072">
        <v>2114010</v>
      </c>
      <c r="D2072" t="s">
        <v>48</v>
      </c>
      <c r="E2072" t="s">
        <v>172</v>
      </c>
      <c r="F2072" s="3">
        <v>0</v>
      </c>
      <c r="G2072" s="3">
        <v>316.91000000000003</v>
      </c>
      <c r="H2072" s="3">
        <v>-316.91000000000003</v>
      </c>
      <c r="I2072" t="s">
        <v>830</v>
      </c>
    </row>
    <row r="2073" spans="1:9" x14ac:dyDescent="0.35">
      <c r="A2073" s="2">
        <v>45473</v>
      </c>
      <c r="B2073">
        <v>86</v>
      </c>
      <c r="C2073">
        <v>6121023</v>
      </c>
      <c r="D2073" t="s">
        <v>49</v>
      </c>
      <c r="E2073" t="s">
        <v>52</v>
      </c>
      <c r="F2073" s="3">
        <v>529.9</v>
      </c>
      <c r="G2073" s="3">
        <v>0</v>
      </c>
      <c r="H2073" s="3">
        <v>529.9</v>
      </c>
      <c r="I2073" t="s">
        <v>831</v>
      </c>
    </row>
    <row r="2074" spans="1:9" x14ac:dyDescent="0.35">
      <c r="A2074" s="2">
        <v>45473</v>
      </c>
      <c r="B2074">
        <v>86</v>
      </c>
      <c r="C2074">
        <v>6121046</v>
      </c>
      <c r="D2074" t="s">
        <v>94</v>
      </c>
      <c r="E2074" t="s">
        <v>52</v>
      </c>
      <c r="F2074" s="3">
        <v>15.28</v>
      </c>
      <c r="G2074" s="3">
        <v>0</v>
      </c>
      <c r="H2074" s="3">
        <v>15.28</v>
      </c>
      <c r="I2074" t="s">
        <v>831</v>
      </c>
    </row>
    <row r="2075" spans="1:9" x14ac:dyDescent="0.35">
      <c r="A2075" s="2">
        <v>45473</v>
      </c>
      <c r="B2075">
        <v>86</v>
      </c>
      <c r="C2075">
        <v>2114010</v>
      </c>
      <c r="D2075" t="s">
        <v>48</v>
      </c>
      <c r="E2075" t="s">
        <v>52</v>
      </c>
      <c r="F2075" s="3">
        <v>0</v>
      </c>
      <c r="G2075" s="3">
        <v>15.28</v>
      </c>
      <c r="H2075" s="3">
        <v>-15.28</v>
      </c>
      <c r="I2075" t="s">
        <v>831</v>
      </c>
    </row>
    <row r="2076" spans="1:9" x14ac:dyDescent="0.35">
      <c r="A2076" s="2">
        <v>45473</v>
      </c>
      <c r="B2076">
        <v>86</v>
      </c>
      <c r="C2076">
        <v>2114010</v>
      </c>
      <c r="D2076" t="s">
        <v>48</v>
      </c>
      <c r="E2076" t="s">
        <v>52</v>
      </c>
      <c r="F2076" s="3">
        <v>0</v>
      </c>
      <c r="G2076" s="3">
        <v>529.9</v>
      </c>
      <c r="H2076" s="3">
        <v>-529.9</v>
      </c>
      <c r="I2076" t="s">
        <v>831</v>
      </c>
    </row>
    <row r="2077" spans="1:9" x14ac:dyDescent="0.35">
      <c r="A2077" s="2">
        <v>45473</v>
      </c>
      <c r="B2077">
        <v>86</v>
      </c>
      <c r="C2077">
        <v>6121023</v>
      </c>
      <c r="D2077" t="s">
        <v>49</v>
      </c>
      <c r="E2077" t="s">
        <v>660</v>
      </c>
      <c r="F2077" s="3">
        <v>203.85</v>
      </c>
      <c r="G2077" s="3">
        <v>0</v>
      </c>
      <c r="H2077" s="3">
        <v>203.85</v>
      </c>
      <c r="I2077" t="s">
        <v>832</v>
      </c>
    </row>
    <row r="2078" spans="1:9" x14ac:dyDescent="0.35">
      <c r="A2078" s="2">
        <v>45473</v>
      </c>
      <c r="B2078">
        <v>86</v>
      </c>
      <c r="C2078">
        <v>2114010</v>
      </c>
      <c r="D2078" t="s">
        <v>48</v>
      </c>
      <c r="E2078" t="s">
        <v>660</v>
      </c>
      <c r="F2078" s="3">
        <v>0</v>
      </c>
      <c r="G2078" s="3">
        <v>203.85</v>
      </c>
      <c r="H2078" s="3">
        <v>-203.85</v>
      </c>
      <c r="I2078" t="s">
        <v>832</v>
      </c>
    </row>
    <row r="2079" spans="1:9" x14ac:dyDescent="0.35">
      <c r="A2079" s="2">
        <v>45473</v>
      </c>
      <c r="B2079">
        <v>86</v>
      </c>
      <c r="C2079">
        <v>6121023</v>
      </c>
      <c r="D2079" t="s">
        <v>49</v>
      </c>
      <c r="E2079" t="s">
        <v>52</v>
      </c>
      <c r="F2079" s="3">
        <v>199.24</v>
      </c>
      <c r="G2079" s="3">
        <v>0</v>
      </c>
      <c r="H2079" s="3">
        <v>199.24</v>
      </c>
      <c r="I2079" t="s">
        <v>833</v>
      </c>
    </row>
    <row r="2080" spans="1:9" x14ac:dyDescent="0.35">
      <c r="A2080" s="2">
        <v>45473</v>
      </c>
      <c r="B2080">
        <v>86</v>
      </c>
      <c r="C2080">
        <v>2114010</v>
      </c>
      <c r="D2080" t="s">
        <v>48</v>
      </c>
      <c r="E2080" t="s">
        <v>52</v>
      </c>
      <c r="F2080" s="3">
        <v>0</v>
      </c>
      <c r="G2080" s="3">
        <v>199.24</v>
      </c>
      <c r="H2080" s="3">
        <v>-199.24</v>
      </c>
      <c r="I2080" t="s">
        <v>833</v>
      </c>
    </row>
    <row r="2081" spans="1:9" x14ac:dyDescent="0.35">
      <c r="A2081" s="2">
        <v>45473</v>
      </c>
      <c r="B2081">
        <v>86</v>
      </c>
      <c r="C2081">
        <v>6121023</v>
      </c>
      <c r="D2081" t="s">
        <v>49</v>
      </c>
      <c r="E2081" t="s">
        <v>172</v>
      </c>
      <c r="F2081" s="3">
        <v>80.63</v>
      </c>
      <c r="G2081" s="3">
        <v>0</v>
      </c>
      <c r="H2081" s="3">
        <v>80.63</v>
      </c>
      <c r="I2081" t="s">
        <v>834</v>
      </c>
    </row>
    <row r="2082" spans="1:9" x14ac:dyDescent="0.35">
      <c r="A2082" s="2">
        <v>45473</v>
      </c>
      <c r="B2082">
        <v>86</v>
      </c>
      <c r="C2082">
        <v>2114010</v>
      </c>
      <c r="D2082" t="s">
        <v>48</v>
      </c>
      <c r="E2082" t="s">
        <v>172</v>
      </c>
      <c r="F2082" s="3">
        <v>0</v>
      </c>
      <c r="G2082" s="3">
        <v>80.63</v>
      </c>
      <c r="H2082" s="3">
        <v>-80.63</v>
      </c>
      <c r="I2082" t="s">
        <v>834</v>
      </c>
    </row>
    <row r="2083" spans="1:9" x14ac:dyDescent="0.35">
      <c r="A2083" s="2">
        <v>45473</v>
      </c>
      <c r="B2083">
        <v>86</v>
      </c>
      <c r="C2083">
        <v>6121023</v>
      </c>
      <c r="D2083" t="s">
        <v>49</v>
      </c>
      <c r="E2083" t="s">
        <v>52</v>
      </c>
      <c r="F2083" s="3">
        <v>65.06</v>
      </c>
      <c r="G2083" s="3">
        <v>0</v>
      </c>
      <c r="H2083" s="3">
        <v>65.06</v>
      </c>
      <c r="I2083" t="s">
        <v>835</v>
      </c>
    </row>
    <row r="2084" spans="1:9" x14ac:dyDescent="0.35">
      <c r="A2084" s="2">
        <v>45473</v>
      </c>
      <c r="B2084">
        <v>86</v>
      </c>
      <c r="C2084">
        <v>2114010</v>
      </c>
      <c r="D2084" t="s">
        <v>48</v>
      </c>
      <c r="E2084" t="s">
        <v>52</v>
      </c>
      <c r="F2084" s="3">
        <v>0</v>
      </c>
      <c r="G2084" s="3">
        <v>65.06</v>
      </c>
      <c r="H2084" s="3">
        <v>-65.06</v>
      </c>
      <c r="I2084" t="s">
        <v>835</v>
      </c>
    </row>
    <row r="2085" spans="1:9" x14ac:dyDescent="0.35">
      <c r="A2085" s="2">
        <v>45473</v>
      </c>
      <c r="B2085">
        <v>86</v>
      </c>
      <c r="C2085">
        <v>4112003</v>
      </c>
      <c r="D2085" t="s">
        <v>58</v>
      </c>
      <c r="E2085" t="s">
        <v>59</v>
      </c>
      <c r="F2085" s="3">
        <v>0</v>
      </c>
      <c r="G2085" s="3">
        <v>5505.38</v>
      </c>
      <c r="H2085" s="3">
        <v>-5505.38</v>
      </c>
      <c r="I2085" t="s">
        <v>836</v>
      </c>
    </row>
    <row r="2086" spans="1:9" x14ac:dyDescent="0.35">
      <c r="A2086" s="2">
        <v>45473</v>
      </c>
      <c r="B2086">
        <v>86</v>
      </c>
      <c r="C2086">
        <v>2121001</v>
      </c>
      <c r="D2086" t="s">
        <v>27</v>
      </c>
      <c r="E2086" t="s">
        <v>59</v>
      </c>
      <c r="F2086" s="3">
        <v>0</v>
      </c>
      <c r="G2086" s="3">
        <v>880.86</v>
      </c>
      <c r="H2086" s="3">
        <v>-880.86</v>
      </c>
      <c r="I2086" t="s">
        <v>836</v>
      </c>
    </row>
    <row r="2087" spans="1:9" x14ac:dyDescent="0.35">
      <c r="A2087" s="2">
        <v>45473</v>
      </c>
      <c r="B2087">
        <v>86</v>
      </c>
      <c r="C2087">
        <v>1111001</v>
      </c>
      <c r="D2087" t="s">
        <v>16</v>
      </c>
      <c r="E2087" t="s">
        <v>59</v>
      </c>
      <c r="F2087" s="3">
        <v>6386.24</v>
      </c>
      <c r="G2087" s="3">
        <v>0</v>
      </c>
      <c r="H2087" s="3">
        <v>6386.24</v>
      </c>
      <c r="I2087" t="s">
        <v>836</v>
      </c>
    </row>
    <row r="2088" spans="1:9" x14ac:dyDescent="0.35">
      <c r="A2088" s="2">
        <v>45473</v>
      </c>
      <c r="B2088">
        <v>86</v>
      </c>
      <c r="C2088">
        <v>4112003</v>
      </c>
      <c r="D2088" t="s">
        <v>58</v>
      </c>
      <c r="E2088" t="s">
        <v>59</v>
      </c>
      <c r="F2088" s="3">
        <v>0</v>
      </c>
      <c r="G2088" s="3">
        <v>5026.42</v>
      </c>
      <c r="H2088" s="3">
        <v>-5026.42</v>
      </c>
      <c r="I2088" t="s">
        <v>837</v>
      </c>
    </row>
    <row r="2089" spans="1:9" x14ac:dyDescent="0.35">
      <c r="A2089" s="2">
        <v>45473</v>
      </c>
      <c r="B2089">
        <v>86</v>
      </c>
      <c r="C2089">
        <v>2121001</v>
      </c>
      <c r="D2089" t="s">
        <v>27</v>
      </c>
      <c r="E2089" t="s">
        <v>59</v>
      </c>
      <c r="F2089" s="3">
        <v>0</v>
      </c>
      <c r="G2089" s="3">
        <v>804.23</v>
      </c>
      <c r="H2089" s="3">
        <v>-804.23</v>
      </c>
      <c r="I2089" t="s">
        <v>837</v>
      </c>
    </row>
    <row r="2090" spans="1:9" x14ac:dyDescent="0.35">
      <c r="A2090" s="2">
        <v>45473</v>
      </c>
      <c r="B2090">
        <v>86</v>
      </c>
      <c r="C2090">
        <v>1111001</v>
      </c>
      <c r="D2090" t="s">
        <v>16</v>
      </c>
      <c r="E2090" t="s">
        <v>59</v>
      </c>
      <c r="F2090" s="3">
        <v>5830.65</v>
      </c>
      <c r="G2090" s="3">
        <v>0</v>
      </c>
      <c r="H2090" s="3">
        <v>5830.65</v>
      </c>
      <c r="I2090" t="s">
        <v>837</v>
      </c>
    </row>
    <row r="2091" spans="1:9" x14ac:dyDescent="0.35">
      <c r="A2091" s="2">
        <v>45473</v>
      </c>
      <c r="B2091">
        <v>86</v>
      </c>
      <c r="C2091">
        <v>4112003</v>
      </c>
      <c r="D2091" t="s">
        <v>58</v>
      </c>
      <c r="E2091" t="s">
        <v>59</v>
      </c>
      <c r="F2091" s="3">
        <v>0</v>
      </c>
      <c r="G2091" s="3">
        <v>6543.81</v>
      </c>
      <c r="H2091" s="3">
        <v>-6543.81</v>
      </c>
      <c r="I2091" t="s">
        <v>838</v>
      </c>
    </row>
    <row r="2092" spans="1:9" x14ac:dyDescent="0.35">
      <c r="A2092" s="2">
        <v>45473</v>
      </c>
      <c r="B2092">
        <v>86</v>
      </c>
      <c r="C2092">
        <v>2121001</v>
      </c>
      <c r="D2092" t="s">
        <v>27</v>
      </c>
      <c r="E2092" t="s">
        <v>59</v>
      </c>
      <c r="F2092" s="3">
        <v>0</v>
      </c>
      <c r="G2092" s="3">
        <v>1047.01</v>
      </c>
      <c r="H2092" s="3">
        <v>-1047.01</v>
      </c>
      <c r="I2092" t="s">
        <v>838</v>
      </c>
    </row>
    <row r="2093" spans="1:9" x14ac:dyDescent="0.35">
      <c r="A2093" s="2">
        <v>45473</v>
      </c>
      <c r="B2093">
        <v>86</v>
      </c>
      <c r="C2093">
        <v>1111001</v>
      </c>
      <c r="D2093" t="s">
        <v>16</v>
      </c>
      <c r="E2093" t="s">
        <v>59</v>
      </c>
      <c r="F2093" s="3">
        <v>7590.82</v>
      </c>
      <c r="G2093" s="3">
        <v>0</v>
      </c>
      <c r="H2093" s="3">
        <v>7590.82</v>
      </c>
      <c r="I2093" t="s">
        <v>838</v>
      </c>
    </row>
    <row r="2094" spans="1:9" x14ac:dyDescent="0.35">
      <c r="A2094" s="2">
        <v>45473</v>
      </c>
      <c r="B2094">
        <v>86</v>
      </c>
      <c r="C2094">
        <v>4112003</v>
      </c>
      <c r="D2094" t="s">
        <v>58</v>
      </c>
      <c r="E2094" t="s">
        <v>59</v>
      </c>
      <c r="F2094" s="3">
        <v>0</v>
      </c>
      <c r="G2094" s="3">
        <v>5879.94</v>
      </c>
      <c r="H2094" s="3">
        <v>-5879.94</v>
      </c>
      <c r="I2094" t="s">
        <v>839</v>
      </c>
    </row>
    <row r="2095" spans="1:9" x14ac:dyDescent="0.35">
      <c r="A2095" s="2">
        <v>45473</v>
      </c>
      <c r="B2095">
        <v>86</v>
      </c>
      <c r="C2095">
        <v>2121001</v>
      </c>
      <c r="D2095" t="s">
        <v>27</v>
      </c>
      <c r="E2095" t="s">
        <v>59</v>
      </c>
      <c r="F2095" s="3">
        <v>0</v>
      </c>
      <c r="G2095" s="3">
        <v>940.79</v>
      </c>
      <c r="H2095" s="3">
        <v>-940.79</v>
      </c>
      <c r="I2095" t="s">
        <v>839</v>
      </c>
    </row>
    <row r="2096" spans="1:9" x14ac:dyDescent="0.35">
      <c r="A2096" s="2">
        <v>45473</v>
      </c>
      <c r="B2096">
        <v>86</v>
      </c>
      <c r="C2096">
        <v>1111001</v>
      </c>
      <c r="D2096" t="s">
        <v>16</v>
      </c>
      <c r="E2096" t="s">
        <v>59</v>
      </c>
      <c r="F2096" s="3">
        <v>6820.73</v>
      </c>
      <c r="G2096" s="3">
        <v>0</v>
      </c>
      <c r="H2096" s="3">
        <v>6820.73</v>
      </c>
      <c r="I2096" t="s">
        <v>839</v>
      </c>
    </row>
    <row r="2097" spans="1:9" x14ac:dyDescent="0.35">
      <c r="A2097" s="2">
        <v>45473</v>
      </c>
      <c r="B2097">
        <v>86</v>
      </c>
      <c r="C2097">
        <v>4112003</v>
      </c>
      <c r="D2097" t="s">
        <v>58</v>
      </c>
      <c r="E2097" t="s">
        <v>59</v>
      </c>
      <c r="F2097" s="3">
        <v>0</v>
      </c>
      <c r="G2097" s="3">
        <v>5595.47</v>
      </c>
      <c r="H2097" s="3">
        <v>-5595.47</v>
      </c>
      <c r="I2097" t="s">
        <v>840</v>
      </c>
    </row>
    <row r="2098" spans="1:9" x14ac:dyDescent="0.35">
      <c r="A2098" s="2">
        <v>45473</v>
      </c>
      <c r="B2098">
        <v>86</v>
      </c>
      <c r="C2098">
        <v>2121001</v>
      </c>
      <c r="D2098" t="s">
        <v>27</v>
      </c>
      <c r="E2098" t="s">
        <v>59</v>
      </c>
      <c r="F2098" s="3">
        <v>0</v>
      </c>
      <c r="G2098" s="3">
        <v>895.28</v>
      </c>
      <c r="H2098" s="3">
        <v>-895.28</v>
      </c>
      <c r="I2098" t="s">
        <v>840</v>
      </c>
    </row>
    <row r="2099" spans="1:9" x14ac:dyDescent="0.35">
      <c r="A2099" s="2">
        <v>45473</v>
      </c>
      <c r="B2099">
        <v>86</v>
      </c>
      <c r="C2099">
        <v>1111001</v>
      </c>
      <c r="D2099" t="s">
        <v>16</v>
      </c>
      <c r="E2099" t="s">
        <v>59</v>
      </c>
      <c r="F2099" s="3">
        <v>6490.75</v>
      </c>
      <c r="G2099" s="3">
        <v>0</v>
      </c>
      <c r="H2099" s="3">
        <v>6490.75</v>
      </c>
      <c r="I2099" t="s">
        <v>840</v>
      </c>
    </row>
    <row r="2100" spans="1:9" x14ac:dyDescent="0.35">
      <c r="A2100" s="2">
        <v>45473</v>
      </c>
      <c r="B2100">
        <v>86</v>
      </c>
      <c r="C2100">
        <v>4112003</v>
      </c>
      <c r="D2100" t="s">
        <v>58</v>
      </c>
      <c r="E2100" t="s">
        <v>59</v>
      </c>
      <c r="F2100" s="3">
        <v>0</v>
      </c>
      <c r="G2100" s="3">
        <v>7207.6</v>
      </c>
      <c r="H2100" s="3">
        <v>-7207.6</v>
      </c>
      <c r="I2100" t="s">
        <v>841</v>
      </c>
    </row>
    <row r="2101" spans="1:9" x14ac:dyDescent="0.35">
      <c r="A2101" s="2">
        <v>45473</v>
      </c>
      <c r="B2101">
        <v>86</v>
      </c>
      <c r="C2101">
        <v>2121001</v>
      </c>
      <c r="D2101" t="s">
        <v>27</v>
      </c>
      <c r="E2101" t="s">
        <v>59</v>
      </c>
      <c r="F2101" s="3">
        <v>0</v>
      </c>
      <c r="G2101" s="3">
        <v>1153.22</v>
      </c>
      <c r="H2101" s="3">
        <v>-1153.22</v>
      </c>
      <c r="I2101" t="s">
        <v>841</v>
      </c>
    </row>
    <row r="2102" spans="1:9" x14ac:dyDescent="0.35">
      <c r="A2102" s="2">
        <v>45473</v>
      </c>
      <c r="B2102">
        <v>86</v>
      </c>
      <c r="C2102">
        <v>1111001</v>
      </c>
      <c r="D2102" t="s">
        <v>16</v>
      </c>
      <c r="E2102" t="s">
        <v>59</v>
      </c>
      <c r="F2102" s="3">
        <v>8360.82</v>
      </c>
      <c r="G2102" s="3">
        <v>0</v>
      </c>
      <c r="H2102" s="3">
        <v>8360.82</v>
      </c>
      <c r="I2102" t="s">
        <v>841</v>
      </c>
    </row>
    <row r="2103" spans="1:9" x14ac:dyDescent="0.35">
      <c r="A2103" s="2">
        <v>45473</v>
      </c>
      <c r="B2103">
        <v>86</v>
      </c>
      <c r="C2103">
        <v>4112003</v>
      </c>
      <c r="D2103" t="s">
        <v>58</v>
      </c>
      <c r="E2103" t="s">
        <v>59</v>
      </c>
      <c r="F2103" s="3">
        <v>0</v>
      </c>
      <c r="G2103" s="3">
        <v>5500.43</v>
      </c>
      <c r="H2103" s="3">
        <v>-5500.43</v>
      </c>
      <c r="I2103" t="s">
        <v>842</v>
      </c>
    </row>
    <row r="2104" spans="1:9" x14ac:dyDescent="0.35">
      <c r="A2104" s="2">
        <v>45473</v>
      </c>
      <c r="B2104">
        <v>86</v>
      </c>
      <c r="C2104">
        <v>2121001</v>
      </c>
      <c r="D2104" t="s">
        <v>27</v>
      </c>
      <c r="E2104" t="s">
        <v>59</v>
      </c>
      <c r="F2104" s="3">
        <v>0</v>
      </c>
      <c r="G2104" s="3">
        <v>880.07</v>
      </c>
      <c r="H2104" s="3">
        <v>-880.07</v>
      </c>
      <c r="I2104" t="s">
        <v>842</v>
      </c>
    </row>
    <row r="2105" spans="1:9" x14ac:dyDescent="0.35">
      <c r="A2105" s="2">
        <v>45473</v>
      </c>
      <c r="B2105">
        <v>86</v>
      </c>
      <c r="C2105">
        <v>1111001</v>
      </c>
      <c r="D2105" t="s">
        <v>16</v>
      </c>
      <c r="E2105" t="s">
        <v>59</v>
      </c>
      <c r="F2105" s="3">
        <v>6380.5</v>
      </c>
      <c r="G2105" s="3">
        <v>0</v>
      </c>
      <c r="H2105" s="3">
        <v>6380.5</v>
      </c>
      <c r="I2105" t="s">
        <v>842</v>
      </c>
    </row>
    <row r="2106" spans="1:9" x14ac:dyDescent="0.35">
      <c r="A2106" s="2">
        <v>45473</v>
      </c>
      <c r="B2106">
        <v>86</v>
      </c>
      <c r="C2106">
        <v>4112003</v>
      </c>
      <c r="D2106" t="s">
        <v>58</v>
      </c>
      <c r="E2106" t="s">
        <v>59</v>
      </c>
      <c r="F2106" s="3">
        <v>0</v>
      </c>
      <c r="G2106" s="3">
        <v>948.38</v>
      </c>
      <c r="H2106" s="3">
        <v>-948.38</v>
      </c>
      <c r="I2106" t="s">
        <v>843</v>
      </c>
    </row>
    <row r="2107" spans="1:9" x14ac:dyDescent="0.35">
      <c r="A2107" s="2">
        <v>45473</v>
      </c>
      <c r="B2107">
        <v>86</v>
      </c>
      <c r="C2107">
        <v>2121001</v>
      </c>
      <c r="D2107" t="s">
        <v>27</v>
      </c>
      <c r="E2107" t="s">
        <v>59</v>
      </c>
      <c r="F2107" s="3">
        <v>0</v>
      </c>
      <c r="G2107" s="3">
        <v>151.74</v>
      </c>
      <c r="H2107" s="3">
        <v>-151.74</v>
      </c>
      <c r="I2107" t="s">
        <v>843</v>
      </c>
    </row>
    <row r="2108" spans="1:9" x14ac:dyDescent="0.35">
      <c r="A2108" s="2">
        <v>45473</v>
      </c>
      <c r="B2108">
        <v>86</v>
      </c>
      <c r="C2108">
        <v>1111001</v>
      </c>
      <c r="D2108" t="s">
        <v>16</v>
      </c>
      <c r="E2108" t="s">
        <v>59</v>
      </c>
      <c r="F2108" s="3">
        <v>1100.1199999999999</v>
      </c>
      <c r="G2108" s="3">
        <v>0</v>
      </c>
      <c r="H2108" s="3">
        <v>1100.1199999999999</v>
      </c>
      <c r="I2108" t="s">
        <v>843</v>
      </c>
    </row>
    <row r="2109" spans="1:9" x14ac:dyDescent="0.35">
      <c r="A2109" s="2">
        <v>45473</v>
      </c>
      <c r="B2109">
        <v>86</v>
      </c>
      <c r="C2109">
        <v>4112003</v>
      </c>
      <c r="D2109" t="s">
        <v>58</v>
      </c>
      <c r="E2109" t="s">
        <v>59</v>
      </c>
      <c r="F2109" s="3">
        <v>0</v>
      </c>
      <c r="G2109" s="3">
        <v>1327.76</v>
      </c>
      <c r="H2109" s="3">
        <v>-1327.76</v>
      </c>
      <c r="I2109" t="s">
        <v>844</v>
      </c>
    </row>
    <row r="2110" spans="1:9" x14ac:dyDescent="0.35">
      <c r="A2110" s="2">
        <v>45473</v>
      </c>
      <c r="B2110">
        <v>86</v>
      </c>
      <c r="C2110">
        <v>2121001</v>
      </c>
      <c r="D2110" t="s">
        <v>27</v>
      </c>
      <c r="E2110" t="s">
        <v>59</v>
      </c>
      <c r="F2110" s="3">
        <v>0</v>
      </c>
      <c r="G2110" s="3">
        <v>212.44</v>
      </c>
      <c r="H2110" s="3">
        <v>-212.44</v>
      </c>
      <c r="I2110" t="s">
        <v>844</v>
      </c>
    </row>
    <row r="2111" spans="1:9" x14ac:dyDescent="0.35">
      <c r="A2111" s="2">
        <v>45473</v>
      </c>
      <c r="B2111">
        <v>86</v>
      </c>
      <c r="C2111">
        <v>1111001</v>
      </c>
      <c r="D2111" t="s">
        <v>16</v>
      </c>
      <c r="E2111" t="s">
        <v>59</v>
      </c>
      <c r="F2111" s="3">
        <v>1540.2</v>
      </c>
      <c r="G2111" s="3">
        <v>0</v>
      </c>
      <c r="H2111" s="3">
        <v>1540.2</v>
      </c>
      <c r="I2111" t="s">
        <v>844</v>
      </c>
    </row>
    <row r="2112" spans="1:9" x14ac:dyDescent="0.35">
      <c r="A2112" s="2">
        <v>45473</v>
      </c>
      <c r="B2112">
        <v>86</v>
      </c>
      <c r="C2112">
        <v>4112003</v>
      </c>
      <c r="D2112" t="s">
        <v>58</v>
      </c>
      <c r="E2112" t="s">
        <v>59</v>
      </c>
      <c r="F2112" s="3">
        <v>0</v>
      </c>
      <c r="G2112" s="3">
        <v>6828.44</v>
      </c>
      <c r="H2112" s="3">
        <v>-6828.44</v>
      </c>
      <c r="I2112" t="s">
        <v>845</v>
      </c>
    </row>
    <row r="2113" spans="1:9" x14ac:dyDescent="0.35">
      <c r="A2113" s="2">
        <v>45473</v>
      </c>
      <c r="B2113">
        <v>86</v>
      </c>
      <c r="C2113">
        <v>2121001</v>
      </c>
      <c r="D2113" t="s">
        <v>27</v>
      </c>
      <c r="E2113" t="s">
        <v>59</v>
      </c>
      <c r="F2113" s="3">
        <v>0</v>
      </c>
      <c r="G2113" s="3">
        <v>1092.55</v>
      </c>
      <c r="H2113" s="3">
        <v>-1092.55</v>
      </c>
      <c r="I2113" t="s">
        <v>845</v>
      </c>
    </row>
    <row r="2114" spans="1:9" x14ac:dyDescent="0.35">
      <c r="A2114" s="2">
        <v>45473</v>
      </c>
      <c r="B2114">
        <v>86</v>
      </c>
      <c r="C2114">
        <v>1111001</v>
      </c>
      <c r="D2114" t="s">
        <v>16</v>
      </c>
      <c r="E2114" t="s">
        <v>59</v>
      </c>
      <c r="F2114" s="3">
        <v>7920.99</v>
      </c>
      <c r="G2114" s="3">
        <v>0</v>
      </c>
      <c r="H2114" s="3">
        <v>7920.99</v>
      </c>
      <c r="I2114" t="s">
        <v>845</v>
      </c>
    </row>
    <row r="2115" spans="1:9" x14ac:dyDescent="0.35">
      <c r="A2115" s="2">
        <v>45473</v>
      </c>
      <c r="B2115">
        <v>86</v>
      </c>
      <c r="C2115">
        <v>4112003</v>
      </c>
      <c r="D2115" t="s">
        <v>58</v>
      </c>
      <c r="E2115" t="s">
        <v>59</v>
      </c>
      <c r="F2115" s="3">
        <v>0</v>
      </c>
      <c r="G2115" s="3">
        <v>5794.7</v>
      </c>
      <c r="H2115" s="3">
        <v>-5794.7</v>
      </c>
      <c r="I2115" t="s">
        <v>846</v>
      </c>
    </row>
    <row r="2116" spans="1:9" x14ac:dyDescent="0.35">
      <c r="A2116" s="2">
        <v>45473</v>
      </c>
      <c r="B2116">
        <v>86</v>
      </c>
      <c r="C2116">
        <v>2121001</v>
      </c>
      <c r="D2116" t="s">
        <v>27</v>
      </c>
      <c r="E2116" t="s">
        <v>59</v>
      </c>
      <c r="F2116" s="3">
        <v>0</v>
      </c>
      <c r="G2116" s="3">
        <v>927.15</v>
      </c>
      <c r="H2116" s="3">
        <v>-927.15</v>
      </c>
      <c r="I2116" t="s">
        <v>846</v>
      </c>
    </row>
    <row r="2117" spans="1:9" x14ac:dyDescent="0.35">
      <c r="A2117" s="2">
        <v>45473</v>
      </c>
      <c r="B2117">
        <v>86</v>
      </c>
      <c r="C2117">
        <v>1111001</v>
      </c>
      <c r="D2117" t="s">
        <v>16</v>
      </c>
      <c r="E2117" t="s">
        <v>59</v>
      </c>
      <c r="F2117" s="3">
        <v>6721.85</v>
      </c>
      <c r="G2117" s="3">
        <v>0</v>
      </c>
      <c r="H2117" s="3">
        <v>6721.85</v>
      </c>
      <c r="I2117" t="s">
        <v>846</v>
      </c>
    </row>
    <row r="2118" spans="1:9" x14ac:dyDescent="0.35">
      <c r="A2118" s="2">
        <v>45473</v>
      </c>
      <c r="B2118">
        <v>86</v>
      </c>
      <c r="C2118">
        <v>4112003</v>
      </c>
      <c r="D2118" t="s">
        <v>58</v>
      </c>
      <c r="E2118" t="s">
        <v>59</v>
      </c>
      <c r="F2118" s="3">
        <v>0</v>
      </c>
      <c r="G2118" s="3">
        <v>11000.78</v>
      </c>
      <c r="H2118" s="3">
        <v>-11000.78</v>
      </c>
      <c r="I2118" t="s">
        <v>847</v>
      </c>
    </row>
    <row r="2119" spans="1:9" x14ac:dyDescent="0.35">
      <c r="A2119" s="2">
        <v>45473</v>
      </c>
      <c r="B2119">
        <v>86</v>
      </c>
      <c r="C2119">
        <v>2121001</v>
      </c>
      <c r="D2119" t="s">
        <v>27</v>
      </c>
      <c r="E2119" t="s">
        <v>59</v>
      </c>
      <c r="F2119" s="3">
        <v>0</v>
      </c>
      <c r="G2119" s="3">
        <v>1760.12</v>
      </c>
      <c r="H2119" s="3">
        <v>-1760.12</v>
      </c>
      <c r="I2119" t="s">
        <v>847</v>
      </c>
    </row>
    <row r="2120" spans="1:9" x14ac:dyDescent="0.35">
      <c r="A2120" s="2">
        <v>45473</v>
      </c>
      <c r="B2120">
        <v>86</v>
      </c>
      <c r="C2120">
        <v>1111001</v>
      </c>
      <c r="D2120" t="s">
        <v>16</v>
      </c>
      <c r="E2120" t="s">
        <v>59</v>
      </c>
      <c r="F2120" s="3">
        <v>12760.9</v>
      </c>
      <c r="G2120" s="3">
        <v>0</v>
      </c>
      <c r="H2120" s="3">
        <v>12760.9</v>
      </c>
      <c r="I2120" t="s">
        <v>847</v>
      </c>
    </row>
    <row r="2121" spans="1:9" x14ac:dyDescent="0.35">
      <c r="A2121" s="2">
        <v>45473</v>
      </c>
      <c r="B2121">
        <v>86</v>
      </c>
      <c r="C2121">
        <v>4112003</v>
      </c>
      <c r="D2121" t="s">
        <v>58</v>
      </c>
      <c r="E2121" t="s">
        <v>59</v>
      </c>
      <c r="F2121" s="3">
        <v>0</v>
      </c>
      <c r="G2121" s="3">
        <v>9009.49</v>
      </c>
      <c r="H2121" s="3">
        <v>-9009.49</v>
      </c>
      <c r="I2121" t="s">
        <v>848</v>
      </c>
    </row>
    <row r="2122" spans="1:9" x14ac:dyDescent="0.35">
      <c r="A2122" s="2">
        <v>45473</v>
      </c>
      <c r="B2122">
        <v>86</v>
      </c>
      <c r="C2122">
        <v>2121001</v>
      </c>
      <c r="D2122" t="s">
        <v>27</v>
      </c>
      <c r="E2122" t="s">
        <v>59</v>
      </c>
      <c r="F2122" s="3">
        <v>0</v>
      </c>
      <c r="G2122" s="3">
        <v>1441.52</v>
      </c>
      <c r="H2122" s="3">
        <v>-1441.52</v>
      </c>
      <c r="I2122" t="s">
        <v>848</v>
      </c>
    </row>
    <row r="2123" spans="1:9" x14ac:dyDescent="0.35">
      <c r="A2123" s="2">
        <v>45473</v>
      </c>
      <c r="B2123">
        <v>86</v>
      </c>
      <c r="C2123">
        <v>1111001</v>
      </c>
      <c r="D2123" t="s">
        <v>16</v>
      </c>
      <c r="E2123" t="s">
        <v>59</v>
      </c>
      <c r="F2123" s="3">
        <v>10451.01</v>
      </c>
      <c r="G2123" s="3">
        <v>0</v>
      </c>
      <c r="H2123" s="3">
        <v>10451.01</v>
      </c>
      <c r="I2123" t="s">
        <v>848</v>
      </c>
    </row>
    <row r="2124" spans="1:9" x14ac:dyDescent="0.35">
      <c r="A2124" s="2">
        <v>45473</v>
      </c>
      <c r="B2124">
        <v>86</v>
      </c>
      <c r="C2124">
        <v>4112003</v>
      </c>
      <c r="D2124" t="s">
        <v>58</v>
      </c>
      <c r="E2124" t="s">
        <v>59</v>
      </c>
      <c r="F2124" s="3">
        <v>0</v>
      </c>
      <c r="G2124" s="3">
        <v>6467.99</v>
      </c>
      <c r="H2124" s="3">
        <v>-6467.99</v>
      </c>
      <c r="I2124" t="s">
        <v>849</v>
      </c>
    </row>
    <row r="2125" spans="1:9" x14ac:dyDescent="0.35">
      <c r="A2125" s="2">
        <v>45473</v>
      </c>
      <c r="B2125">
        <v>86</v>
      </c>
      <c r="C2125">
        <v>2121001</v>
      </c>
      <c r="D2125" t="s">
        <v>27</v>
      </c>
      <c r="E2125" t="s">
        <v>59</v>
      </c>
      <c r="F2125" s="3">
        <v>0</v>
      </c>
      <c r="G2125" s="3">
        <v>1034.8800000000001</v>
      </c>
      <c r="H2125" s="3">
        <v>-1034.8800000000001</v>
      </c>
      <c r="I2125" t="s">
        <v>849</v>
      </c>
    </row>
    <row r="2126" spans="1:9" x14ac:dyDescent="0.35">
      <c r="A2126" s="2">
        <v>45473</v>
      </c>
      <c r="B2126">
        <v>86</v>
      </c>
      <c r="C2126">
        <v>1111001</v>
      </c>
      <c r="D2126" t="s">
        <v>16</v>
      </c>
      <c r="E2126" t="s">
        <v>59</v>
      </c>
      <c r="F2126" s="3">
        <v>7502.87</v>
      </c>
      <c r="G2126" s="3">
        <v>0</v>
      </c>
      <c r="H2126" s="3">
        <v>7502.87</v>
      </c>
      <c r="I2126" t="s">
        <v>849</v>
      </c>
    </row>
    <row r="2127" spans="1:9" x14ac:dyDescent="0.35">
      <c r="A2127" s="2">
        <v>45473</v>
      </c>
      <c r="B2127">
        <v>86</v>
      </c>
      <c r="C2127">
        <v>4112003</v>
      </c>
      <c r="D2127" t="s">
        <v>58</v>
      </c>
      <c r="E2127" t="s">
        <v>59</v>
      </c>
      <c r="F2127" s="3">
        <v>0</v>
      </c>
      <c r="G2127" s="3">
        <v>1905.4</v>
      </c>
      <c r="H2127" s="3">
        <v>-1905.4</v>
      </c>
      <c r="I2127" t="s">
        <v>850</v>
      </c>
    </row>
    <row r="2128" spans="1:9" x14ac:dyDescent="0.35">
      <c r="A2128" s="2">
        <v>45473</v>
      </c>
      <c r="B2128">
        <v>86</v>
      </c>
      <c r="C2128">
        <v>2121001</v>
      </c>
      <c r="D2128" t="s">
        <v>27</v>
      </c>
      <c r="E2128" t="s">
        <v>59</v>
      </c>
      <c r="F2128" s="3">
        <v>0</v>
      </c>
      <c r="G2128" s="3">
        <v>304.86</v>
      </c>
      <c r="H2128" s="3">
        <v>-304.86</v>
      </c>
      <c r="I2128" t="s">
        <v>850</v>
      </c>
    </row>
    <row r="2129" spans="1:9" x14ac:dyDescent="0.35">
      <c r="A2129" s="2">
        <v>45473</v>
      </c>
      <c r="B2129">
        <v>86</v>
      </c>
      <c r="C2129">
        <v>1111001</v>
      </c>
      <c r="D2129" t="s">
        <v>16</v>
      </c>
      <c r="E2129" t="s">
        <v>59</v>
      </c>
      <c r="F2129" s="3">
        <v>2210.2600000000002</v>
      </c>
      <c r="G2129" s="3">
        <v>0</v>
      </c>
      <c r="H2129" s="3">
        <v>2210.2600000000002</v>
      </c>
      <c r="I2129" t="s">
        <v>850</v>
      </c>
    </row>
    <row r="2130" spans="1:9" x14ac:dyDescent="0.35">
      <c r="A2130" s="2">
        <v>45473</v>
      </c>
      <c r="B2130">
        <v>86</v>
      </c>
      <c r="C2130">
        <v>4112004</v>
      </c>
      <c r="D2130" t="s">
        <v>74</v>
      </c>
      <c r="E2130" t="s">
        <v>197</v>
      </c>
      <c r="F2130" s="3">
        <v>0</v>
      </c>
      <c r="G2130" s="3">
        <v>12667.7</v>
      </c>
      <c r="H2130" s="3">
        <v>-12667.7</v>
      </c>
      <c r="I2130" t="s">
        <v>851</v>
      </c>
    </row>
    <row r="2131" spans="1:9" x14ac:dyDescent="0.35">
      <c r="A2131" s="2">
        <v>45473</v>
      </c>
      <c r="B2131">
        <v>86</v>
      </c>
      <c r="C2131">
        <v>2121001</v>
      </c>
      <c r="D2131" t="s">
        <v>27</v>
      </c>
      <c r="E2131" t="s">
        <v>197</v>
      </c>
      <c r="F2131" s="3">
        <v>0</v>
      </c>
      <c r="G2131" s="3">
        <v>2026.83</v>
      </c>
      <c r="H2131" s="3">
        <v>-2026.83</v>
      </c>
      <c r="I2131" t="s">
        <v>851</v>
      </c>
    </row>
    <row r="2132" spans="1:9" x14ac:dyDescent="0.35">
      <c r="A2132" s="2">
        <v>45473</v>
      </c>
      <c r="B2132">
        <v>86</v>
      </c>
      <c r="C2132">
        <v>1141002</v>
      </c>
      <c r="D2132" t="s">
        <v>23</v>
      </c>
      <c r="E2132" t="s">
        <v>197</v>
      </c>
      <c r="F2132" s="3">
        <v>1520.12</v>
      </c>
      <c r="G2132" s="3">
        <v>0</v>
      </c>
      <c r="H2132" s="3">
        <v>1520.12</v>
      </c>
      <c r="I2132" t="s">
        <v>851</v>
      </c>
    </row>
    <row r="2133" spans="1:9" x14ac:dyDescent="0.35">
      <c r="A2133" s="2">
        <v>45473</v>
      </c>
      <c r="B2133">
        <v>86</v>
      </c>
      <c r="C2133">
        <v>1142001</v>
      </c>
      <c r="D2133" t="s">
        <v>199</v>
      </c>
      <c r="E2133" t="s">
        <v>197</v>
      </c>
      <c r="F2133" s="3">
        <v>253.35</v>
      </c>
      <c r="G2133" s="3">
        <v>0</v>
      </c>
      <c r="H2133" s="3">
        <v>253.35</v>
      </c>
      <c r="I2133" t="s">
        <v>851</v>
      </c>
    </row>
    <row r="2134" spans="1:9" x14ac:dyDescent="0.35">
      <c r="A2134" s="2">
        <v>45473</v>
      </c>
      <c r="B2134">
        <v>86</v>
      </c>
      <c r="C2134">
        <v>6121040</v>
      </c>
      <c r="D2134" t="s">
        <v>98</v>
      </c>
      <c r="E2134" t="s">
        <v>197</v>
      </c>
      <c r="F2134" s="3">
        <v>293.39</v>
      </c>
      <c r="G2134" s="3">
        <v>0</v>
      </c>
      <c r="H2134" s="3">
        <v>293.39</v>
      </c>
      <c r="I2134" t="s">
        <v>851</v>
      </c>
    </row>
    <row r="2135" spans="1:9" x14ac:dyDescent="0.35">
      <c r="A2135" s="2">
        <v>45473</v>
      </c>
      <c r="B2135">
        <v>86</v>
      </c>
      <c r="C2135">
        <v>1111001</v>
      </c>
      <c r="D2135" t="s">
        <v>16</v>
      </c>
      <c r="E2135" t="s">
        <v>197</v>
      </c>
      <c r="F2135" s="3">
        <v>12627.67</v>
      </c>
      <c r="G2135" s="3">
        <v>0</v>
      </c>
      <c r="H2135" s="3">
        <v>12627.67</v>
      </c>
      <c r="I2135" t="s">
        <v>851</v>
      </c>
    </row>
    <row r="2136" spans="1:9" x14ac:dyDescent="0.35">
      <c r="A2136" s="2">
        <v>45473</v>
      </c>
      <c r="B2136">
        <v>86</v>
      </c>
      <c r="C2136">
        <v>4112004</v>
      </c>
      <c r="D2136" t="s">
        <v>74</v>
      </c>
      <c r="E2136" t="s">
        <v>740</v>
      </c>
      <c r="F2136" s="3">
        <v>0</v>
      </c>
      <c r="G2136" s="3">
        <v>4566.96</v>
      </c>
      <c r="H2136" s="3">
        <v>-4566.96</v>
      </c>
      <c r="I2136" t="s">
        <v>852</v>
      </c>
    </row>
    <row r="2137" spans="1:9" x14ac:dyDescent="0.35">
      <c r="A2137" s="2">
        <v>45473</v>
      </c>
      <c r="B2137">
        <v>86</v>
      </c>
      <c r="C2137">
        <v>2121001</v>
      </c>
      <c r="D2137" t="s">
        <v>27</v>
      </c>
      <c r="E2137" t="s">
        <v>740</v>
      </c>
      <c r="F2137" s="3">
        <v>0</v>
      </c>
      <c r="G2137" s="3">
        <v>730.71</v>
      </c>
      <c r="H2137" s="3">
        <v>-730.71</v>
      </c>
      <c r="I2137" t="s">
        <v>852</v>
      </c>
    </row>
    <row r="2138" spans="1:9" x14ac:dyDescent="0.35">
      <c r="A2138" s="2">
        <v>45473</v>
      </c>
      <c r="B2138">
        <v>86</v>
      </c>
      <c r="C2138">
        <v>1111001</v>
      </c>
      <c r="D2138" t="s">
        <v>16</v>
      </c>
      <c r="E2138" t="s">
        <v>740</v>
      </c>
      <c r="F2138" s="3">
        <v>158.93</v>
      </c>
      <c r="G2138" s="3">
        <v>0</v>
      </c>
      <c r="H2138" s="3">
        <v>158.93</v>
      </c>
      <c r="I2138" t="s">
        <v>852</v>
      </c>
    </row>
    <row r="2139" spans="1:9" x14ac:dyDescent="0.35">
      <c r="A2139" s="2">
        <v>45473</v>
      </c>
      <c r="B2139">
        <v>86</v>
      </c>
      <c r="C2139">
        <v>2124007</v>
      </c>
      <c r="D2139" t="s">
        <v>30</v>
      </c>
      <c r="E2139" t="s">
        <v>740</v>
      </c>
      <c r="F2139" s="3">
        <v>0</v>
      </c>
      <c r="G2139" s="3">
        <v>158.93</v>
      </c>
      <c r="H2139" s="3">
        <v>-158.93</v>
      </c>
      <c r="I2139" t="s">
        <v>852</v>
      </c>
    </row>
    <row r="2140" spans="1:9" x14ac:dyDescent="0.35">
      <c r="A2140" s="2">
        <v>45473</v>
      </c>
      <c r="B2140">
        <v>86</v>
      </c>
      <c r="C2140">
        <v>1111001</v>
      </c>
      <c r="D2140" t="s">
        <v>16</v>
      </c>
      <c r="E2140" t="s">
        <v>740</v>
      </c>
      <c r="F2140" s="3">
        <v>5297.67</v>
      </c>
      <c r="G2140" s="3">
        <v>0</v>
      </c>
      <c r="H2140" s="3">
        <v>5297.67</v>
      </c>
      <c r="I2140" t="s">
        <v>852</v>
      </c>
    </row>
    <row r="2141" spans="1:9" x14ac:dyDescent="0.35">
      <c r="A2141" s="2">
        <v>45473</v>
      </c>
      <c r="B2141">
        <v>86</v>
      </c>
      <c r="C2141">
        <v>4112004</v>
      </c>
      <c r="D2141" t="s">
        <v>74</v>
      </c>
      <c r="E2141" t="s">
        <v>79</v>
      </c>
      <c r="F2141" s="3">
        <v>0</v>
      </c>
      <c r="G2141" s="3">
        <v>2281.59</v>
      </c>
      <c r="H2141" s="3">
        <v>-2281.59</v>
      </c>
      <c r="I2141" t="s">
        <v>853</v>
      </c>
    </row>
    <row r="2142" spans="1:9" x14ac:dyDescent="0.35">
      <c r="A2142" s="2">
        <v>45473</v>
      </c>
      <c r="B2142">
        <v>86</v>
      </c>
      <c r="C2142">
        <v>2121001</v>
      </c>
      <c r="D2142" t="s">
        <v>27</v>
      </c>
      <c r="E2142" t="s">
        <v>79</v>
      </c>
      <c r="F2142" s="3">
        <v>0</v>
      </c>
      <c r="G2142" s="3">
        <v>365.05</v>
      </c>
      <c r="H2142" s="3">
        <v>-365.05</v>
      </c>
      <c r="I2142" t="s">
        <v>853</v>
      </c>
    </row>
    <row r="2143" spans="1:9" x14ac:dyDescent="0.35">
      <c r="A2143" s="2">
        <v>45473</v>
      </c>
      <c r="B2143">
        <v>86</v>
      </c>
      <c r="C2143">
        <v>1111001</v>
      </c>
      <c r="D2143" t="s">
        <v>16</v>
      </c>
      <c r="E2143" t="s">
        <v>79</v>
      </c>
      <c r="F2143" s="3">
        <v>79.400000000000006</v>
      </c>
      <c r="G2143" s="3">
        <v>0</v>
      </c>
      <c r="H2143" s="3">
        <v>79.400000000000006</v>
      </c>
      <c r="I2143" t="s">
        <v>853</v>
      </c>
    </row>
    <row r="2144" spans="1:9" x14ac:dyDescent="0.35">
      <c r="A2144" s="2">
        <v>45473</v>
      </c>
      <c r="B2144">
        <v>86</v>
      </c>
      <c r="C2144">
        <v>2124007</v>
      </c>
      <c r="D2144" t="s">
        <v>30</v>
      </c>
      <c r="E2144" t="s">
        <v>79</v>
      </c>
      <c r="F2144" s="3">
        <v>0</v>
      </c>
      <c r="G2144" s="3">
        <v>79.400000000000006</v>
      </c>
      <c r="H2144" s="3">
        <v>-79.400000000000006</v>
      </c>
      <c r="I2144" t="s">
        <v>853</v>
      </c>
    </row>
    <row r="2145" spans="1:9" x14ac:dyDescent="0.35">
      <c r="A2145" s="2">
        <v>45473</v>
      </c>
      <c r="B2145">
        <v>86</v>
      </c>
      <c r="C2145">
        <v>1111001</v>
      </c>
      <c r="D2145" t="s">
        <v>16</v>
      </c>
      <c r="E2145" t="s">
        <v>79</v>
      </c>
      <c r="F2145" s="3">
        <v>2646.64</v>
      </c>
      <c r="G2145" s="3">
        <v>0</v>
      </c>
      <c r="H2145" s="3">
        <v>2646.64</v>
      </c>
      <c r="I2145" t="s">
        <v>853</v>
      </c>
    </row>
    <row r="2146" spans="1:9" x14ac:dyDescent="0.35">
      <c r="A2146" s="2">
        <v>45473</v>
      </c>
      <c r="B2146">
        <v>86</v>
      </c>
      <c r="C2146">
        <v>4112004</v>
      </c>
      <c r="D2146" t="s">
        <v>74</v>
      </c>
      <c r="E2146" t="s">
        <v>200</v>
      </c>
      <c r="F2146" s="3">
        <v>0</v>
      </c>
      <c r="G2146" s="3">
        <v>1637.94</v>
      </c>
      <c r="H2146" s="3">
        <v>-1637.94</v>
      </c>
      <c r="I2146" t="s">
        <v>854</v>
      </c>
    </row>
    <row r="2147" spans="1:9" x14ac:dyDescent="0.35">
      <c r="A2147" s="2">
        <v>45473</v>
      </c>
      <c r="B2147">
        <v>86</v>
      </c>
      <c r="C2147">
        <v>2121001</v>
      </c>
      <c r="D2147" t="s">
        <v>27</v>
      </c>
      <c r="E2147" t="s">
        <v>200</v>
      </c>
      <c r="F2147" s="3">
        <v>0</v>
      </c>
      <c r="G2147" s="3">
        <v>262.07</v>
      </c>
      <c r="H2147" s="3">
        <v>-262.07</v>
      </c>
      <c r="I2147" t="s">
        <v>854</v>
      </c>
    </row>
    <row r="2148" spans="1:9" x14ac:dyDescent="0.35">
      <c r="A2148" s="2">
        <v>45473</v>
      </c>
      <c r="B2148">
        <v>86</v>
      </c>
      <c r="C2148">
        <v>1111001</v>
      </c>
      <c r="D2148" t="s">
        <v>16</v>
      </c>
      <c r="E2148" t="s">
        <v>200</v>
      </c>
      <c r="F2148" s="3">
        <v>1900.01</v>
      </c>
      <c r="G2148" s="3">
        <v>0</v>
      </c>
      <c r="H2148" s="3">
        <v>1900.01</v>
      </c>
      <c r="I2148" t="s">
        <v>854</v>
      </c>
    </row>
    <row r="2149" spans="1:9" x14ac:dyDescent="0.35">
      <c r="A2149" s="2">
        <v>45473</v>
      </c>
      <c r="B2149">
        <v>86</v>
      </c>
      <c r="C2149">
        <v>4112004</v>
      </c>
      <c r="D2149" t="s">
        <v>74</v>
      </c>
      <c r="E2149" t="s">
        <v>195</v>
      </c>
      <c r="F2149" s="3">
        <v>0</v>
      </c>
      <c r="G2149" s="3">
        <v>3041.28</v>
      </c>
      <c r="H2149" s="3">
        <v>-3041.28</v>
      </c>
      <c r="I2149" t="s">
        <v>855</v>
      </c>
    </row>
    <row r="2150" spans="1:9" x14ac:dyDescent="0.35">
      <c r="A2150" s="2">
        <v>45473</v>
      </c>
      <c r="B2150">
        <v>86</v>
      </c>
      <c r="C2150">
        <v>2121001</v>
      </c>
      <c r="D2150" t="s">
        <v>27</v>
      </c>
      <c r="E2150" t="s">
        <v>195</v>
      </c>
      <c r="F2150" s="3">
        <v>0</v>
      </c>
      <c r="G2150" s="3">
        <v>486.6</v>
      </c>
      <c r="H2150" s="3">
        <v>-486.6</v>
      </c>
      <c r="I2150" t="s">
        <v>855</v>
      </c>
    </row>
    <row r="2151" spans="1:9" x14ac:dyDescent="0.35">
      <c r="A2151" s="2">
        <v>45473</v>
      </c>
      <c r="B2151">
        <v>86</v>
      </c>
      <c r="C2151">
        <v>1141002</v>
      </c>
      <c r="D2151" t="s">
        <v>23</v>
      </c>
      <c r="E2151" t="s">
        <v>195</v>
      </c>
      <c r="F2151" s="3">
        <v>364.95</v>
      </c>
      <c r="G2151" s="3">
        <v>0</v>
      </c>
      <c r="H2151" s="3">
        <v>364.95</v>
      </c>
      <c r="I2151" t="s">
        <v>855</v>
      </c>
    </row>
    <row r="2152" spans="1:9" x14ac:dyDescent="0.35">
      <c r="A2152" s="2">
        <v>45473</v>
      </c>
      <c r="B2152">
        <v>86</v>
      </c>
      <c r="C2152">
        <v>1142001</v>
      </c>
      <c r="D2152" t="s">
        <v>199</v>
      </c>
      <c r="E2152" t="s">
        <v>195</v>
      </c>
      <c r="F2152" s="3">
        <v>60.83</v>
      </c>
      <c r="G2152" s="3">
        <v>0</v>
      </c>
      <c r="H2152" s="3">
        <v>60.83</v>
      </c>
      <c r="I2152" t="s">
        <v>855</v>
      </c>
    </row>
    <row r="2153" spans="1:9" x14ac:dyDescent="0.35">
      <c r="A2153" s="2">
        <v>45473</v>
      </c>
      <c r="B2153">
        <v>86</v>
      </c>
      <c r="C2153">
        <v>1111001</v>
      </c>
      <c r="D2153" t="s">
        <v>16</v>
      </c>
      <c r="E2153" t="s">
        <v>195</v>
      </c>
      <c r="F2153" s="3">
        <v>105.84</v>
      </c>
      <c r="G2153" s="3">
        <v>0</v>
      </c>
      <c r="H2153" s="3">
        <v>105.84</v>
      </c>
      <c r="I2153" t="s">
        <v>855</v>
      </c>
    </row>
    <row r="2154" spans="1:9" x14ac:dyDescent="0.35">
      <c r="A2154" s="2">
        <v>45473</v>
      </c>
      <c r="B2154">
        <v>86</v>
      </c>
      <c r="C2154">
        <v>2124007</v>
      </c>
      <c r="D2154" t="s">
        <v>30</v>
      </c>
      <c r="E2154" t="s">
        <v>195</v>
      </c>
      <c r="F2154" s="3">
        <v>0</v>
      </c>
      <c r="G2154" s="3">
        <v>105.84</v>
      </c>
      <c r="H2154" s="3">
        <v>-105.84</v>
      </c>
      <c r="I2154" t="s">
        <v>855</v>
      </c>
    </row>
    <row r="2155" spans="1:9" x14ac:dyDescent="0.35">
      <c r="A2155" s="2">
        <v>45473</v>
      </c>
      <c r="B2155">
        <v>86</v>
      </c>
      <c r="C2155">
        <v>1111001</v>
      </c>
      <c r="D2155" t="s">
        <v>16</v>
      </c>
      <c r="E2155" t="s">
        <v>195</v>
      </c>
      <c r="F2155" s="3">
        <v>3102.1</v>
      </c>
      <c r="G2155" s="3">
        <v>0</v>
      </c>
      <c r="H2155" s="3">
        <v>3102.1</v>
      </c>
      <c r="I2155" t="s">
        <v>855</v>
      </c>
    </row>
    <row r="2156" spans="1:9" x14ac:dyDescent="0.35">
      <c r="A2156" s="2">
        <v>45473</v>
      </c>
      <c r="B2156">
        <v>86</v>
      </c>
      <c r="C2156">
        <v>1142004</v>
      </c>
      <c r="D2156" t="s">
        <v>83</v>
      </c>
      <c r="E2156" t="s">
        <v>502</v>
      </c>
      <c r="F2156" s="3">
        <v>1087.3699999999999</v>
      </c>
      <c r="G2156" s="3">
        <v>0</v>
      </c>
      <c r="H2156" s="3">
        <v>1087.3699999999999</v>
      </c>
      <c r="I2156" t="s">
        <v>503</v>
      </c>
    </row>
    <row r="2157" spans="1:9" x14ac:dyDescent="0.35">
      <c r="A2157" s="2">
        <v>45473</v>
      </c>
      <c r="B2157">
        <v>86</v>
      </c>
      <c r="C2157">
        <v>2124004</v>
      </c>
      <c r="D2157" t="s">
        <v>29</v>
      </c>
      <c r="E2157" t="s">
        <v>502</v>
      </c>
      <c r="F2157" s="3">
        <v>0</v>
      </c>
      <c r="G2157" s="3">
        <v>1087.3699999999999</v>
      </c>
      <c r="H2157" s="3">
        <v>-1087.3699999999999</v>
      </c>
      <c r="I2157" t="s">
        <v>503</v>
      </c>
    </row>
    <row r="2158" spans="1:9" x14ac:dyDescent="0.35">
      <c r="A2158" s="2">
        <v>45473</v>
      </c>
      <c r="B2158">
        <v>86</v>
      </c>
      <c r="C2158">
        <v>2121001</v>
      </c>
      <c r="D2158" t="s">
        <v>27</v>
      </c>
      <c r="E2158" t="s">
        <v>856</v>
      </c>
      <c r="F2158" s="3">
        <v>17397.990000000002</v>
      </c>
      <c r="G2158" s="3">
        <v>0</v>
      </c>
      <c r="H2158" s="3">
        <v>17397.990000000002</v>
      </c>
      <c r="I2158" t="s">
        <v>544</v>
      </c>
    </row>
    <row r="2159" spans="1:9" x14ac:dyDescent="0.35">
      <c r="A2159" s="2">
        <v>45473</v>
      </c>
      <c r="B2159">
        <v>86</v>
      </c>
      <c r="C2159">
        <v>1141002</v>
      </c>
      <c r="D2159" t="s">
        <v>23</v>
      </c>
      <c r="E2159" t="s">
        <v>856</v>
      </c>
      <c r="F2159" s="3">
        <v>0</v>
      </c>
      <c r="G2159" s="3">
        <v>1885.07</v>
      </c>
      <c r="H2159" s="3">
        <v>-1885.07</v>
      </c>
      <c r="I2159" t="s">
        <v>544</v>
      </c>
    </row>
    <row r="2160" spans="1:9" x14ac:dyDescent="0.35">
      <c r="A2160" s="2">
        <v>45473</v>
      </c>
      <c r="B2160">
        <v>86</v>
      </c>
      <c r="C2160">
        <v>2121003</v>
      </c>
      <c r="D2160" t="s">
        <v>28</v>
      </c>
      <c r="E2160" t="s">
        <v>856</v>
      </c>
      <c r="F2160" s="3">
        <v>0</v>
      </c>
      <c r="G2160" s="3">
        <v>15512.92</v>
      </c>
      <c r="H2160" s="3">
        <v>-15512.92</v>
      </c>
      <c r="I2160" t="s">
        <v>544</v>
      </c>
    </row>
    <row r="2161" spans="1:9" x14ac:dyDescent="0.35">
      <c r="A2161" s="2">
        <v>45473</v>
      </c>
      <c r="B2161">
        <v>86</v>
      </c>
      <c r="C2161">
        <v>5131001</v>
      </c>
      <c r="D2161" t="s">
        <v>86</v>
      </c>
      <c r="E2161" t="s">
        <v>857</v>
      </c>
      <c r="F2161" s="3">
        <v>446.33</v>
      </c>
      <c r="G2161" s="3">
        <v>0</v>
      </c>
      <c r="H2161" s="3">
        <v>446.33</v>
      </c>
      <c r="I2161" t="s">
        <v>574</v>
      </c>
    </row>
    <row r="2162" spans="1:9" x14ac:dyDescent="0.35">
      <c r="A2162" s="2">
        <v>45473</v>
      </c>
      <c r="B2162">
        <v>86</v>
      </c>
      <c r="C2162">
        <v>5131005</v>
      </c>
      <c r="D2162" t="s">
        <v>205</v>
      </c>
      <c r="E2162" t="s">
        <v>857</v>
      </c>
      <c r="F2162" s="3">
        <v>5091.8</v>
      </c>
      <c r="G2162" s="3">
        <v>0</v>
      </c>
      <c r="H2162" s="3">
        <v>5091.8</v>
      </c>
      <c r="I2162" t="s">
        <v>574</v>
      </c>
    </row>
    <row r="2163" spans="1:9" x14ac:dyDescent="0.35">
      <c r="A2163" s="2">
        <v>45473</v>
      </c>
      <c r="B2163">
        <v>86</v>
      </c>
      <c r="C2163">
        <v>5131008</v>
      </c>
      <c r="D2163" t="s">
        <v>89</v>
      </c>
      <c r="E2163" t="s">
        <v>857</v>
      </c>
      <c r="F2163" s="3">
        <v>81.900000000000006</v>
      </c>
      <c r="G2163" s="3">
        <v>0</v>
      </c>
      <c r="H2163" s="3">
        <v>81.900000000000006</v>
      </c>
      <c r="I2163" t="s">
        <v>574</v>
      </c>
    </row>
    <row r="2164" spans="1:9" x14ac:dyDescent="0.35">
      <c r="A2164" s="2">
        <v>45473</v>
      </c>
      <c r="B2164">
        <v>86</v>
      </c>
      <c r="C2164">
        <v>5131009</v>
      </c>
      <c r="D2164" t="s">
        <v>90</v>
      </c>
      <c r="E2164" t="s">
        <v>857</v>
      </c>
      <c r="F2164" s="3">
        <v>16.25</v>
      </c>
      <c r="G2164" s="3">
        <v>0</v>
      </c>
      <c r="H2164" s="3">
        <v>16.25</v>
      </c>
      <c r="I2164" t="s">
        <v>574</v>
      </c>
    </row>
    <row r="2165" spans="1:9" x14ac:dyDescent="0.35">
      <c r="A2165" s="2">
        <v>45473</v>
      </c>
      <c r="B2165">
        <v>86</v>
      </c>
      <c r="C2165">
        <v>5131010</v>
      </c>
      <c r="D2165" t="s">
        <v>91</v>
      </c>
      <c r="E2165" t="s">
        <v>857</v>
      </c>
      <c r="F2165" s="3">
        <v>32.5</v>
      </c>
      <c r="G2165" s="3">
        <v>0</v>
      </c>
      <c r="H2165" s="3">
        <v>32.5</v>
      </c>
      <c r="I2165" t="s">
        <v>574</v>
      </c>
    </row>
    <row r="2166" spans="1:9" x14ac:dyDescent="0.35">
      <c r="A2166" s="2">
        <v>45473</v>
      </c>
      <c r="B2166">
        <v>86</v>
      </c>
      <c r="C2166">
        <v>5131012</v>
      </c>
      <c r="D2166" t="s">
        <v>206</v>
      </c>
      <c r="E2166" t="s">
        <v>857</v>
      </c>
      <c r="F2166" s="3">
        <v>28.6</v>
      </c>
      <c r="G2166" s="3">
        <v>0</v>
      </c>
      <c r="H2166" s="3">
        <v>28.6</v>
      </c>
      <c r="I2166" t="s">
        <v>574</v>
      </c>
    </row>
    <row r="2167" spans="1:9" x14ac:dyDescent="0.35">
      <c r="A2167" s="2">
        <v>45473</v>
      </c>
      <c r="B2167">
        <v>86</v>
      </c>
      <c r="C2167">
        <v>5131013</v>
      </c>
      <c r="D2167" t="s">
        <v>92</v>
      </c>
      <c r="E2167" t="s">
        <v>857</v>
      </c>
      <c r="F2167" s="3">
        <v>8.93</v>
      </c>
      <c r="G2167" s="3">
        <v>0</v>
      </c>
      <c r="H2167" s="3">
        <v>8.93</v>
      </c>
      <c r="I2167" t="s">
        <v>574</v>
      </c>
    </row>
    <row r="2168" spans="1:9" x14ac:dyDescent="0.35">
      <c r="A2168" s="2">
        <v>45473</v>
      </c>
      <c r="B2168">
        <v>86</v>
      </c>
      <c r="C2168">
        <v>5131014</v>
      </c>
      <c r="D2168" t="s">
        <v>207</v>
      </c>
      <c r="E2168" t="s">
        <v>857</v>
      </c>
      <c r="F2168" s="3">
        <v>7.8</v>
      </c>
      <c r="G2168" s="3">
        <v>0</v>
      </c>
      <c r="H2168" s="3">
        <v>7.8</v>
      </c>
      <c r="I2168" t="s">
        <v>574</v>
      </c>
    </row>
    <row r="2169" spans="1:9" x14ac:dyDescent="0.35">
      <c r="A2169" s="2">
        <v>45473</v>
      </c>
      <c r="B2169">
        <v>86</v>
      </c>
      <c r="C2169">
        <v>2131002</v>
      </c>
      <c r="D2169" t="s">
        <v>31</v>
      </c>
      <c r="E2169" t="s">
        <v>857</v>
      </c>
      <c r="F2169" s="3">
        <v>0</v>
      </c>
      <c r="G2169" s="3">
        <v>14.4</v>
      </c>
      <c r="H2169" s="3">
        <v>-14.4</v>
      </c>
      <c r="I2169" t="s">
        <v>574</v>
      </c>
    </row>
    <row r="2170" spans="1:9" x14ac:dyDescent="0.35">
      <c r="A2170" s="2">
        <v>45473</v>
      </c>
      <c r="B2170">
        <v>86</v>
      </c>
      <c r="C2170">
        <v>2131003</v>
      </c>
      <c r="D2170" t="s">
        <v>32</v>
      </c>
      <c r="E2170" t="s">
        <v>857</v>
      </c>
      <c r="F2170" s="3">
        <v>0</v>
      </c>
      <c r="G2170" s="3">
        <v>1.8</v>
      </c>
      <c r="H2170" s="3">
        <v>-1.8</v>
      </c>
      <c r="I2170" t="s">
        <v>574</v>
      </c>
    </row>
    <row r="2171" spans="1:9" x14ac:dyDescent="0.35">
      <c r="A2171" s="2">
        <v>45473</v>
      </c>
      <c r="B2171">
        <v>86</v>
      </c>
      <c r="C2171">
        <v>2131004</v>
      </c>
      <c r="D2171" t="s">
        <v>33</v>
      </c>
      <c r="E2171" t="s">
        <v>857</v>
      </c>
      <c r="F2171" s="3">
        <v>0</v>
      </c>
      <c r="G2171" s="3">
        <v>3.9</v>
      </c>
      <c r="H2171" s="3">
        <v>-3.9</v>
      </c>
      <c r="I2171" t="s">
        <v>574</v>
      </c>
    </row>
    <row r="2172" spans="1:9" x14ac:dyDescent="0.35">
      <c r="A2172" s="2">
        <v>45473</v>
      </c>
      <c r="B2172">
        <v>86</v>
      </c>
      <c r="C2172">
        <v>2141001</v>
      </c>
      <c r="D2172" t="s">
        <v>35</v>
      </c>
      <c r="E2172" t="s">
        <v>857</v>
      </c>
      <c r="F2172" s="3">
        <v>0</v>
      </c>
      <c r="G2172" s="3">
        <v>28.6</v>
      </c>
      <c r="H2172" s="3">
        <v>-28.6</v>
      </c>
      <c r="I2172" t="s">
        <v>574</v>
      </c>
    </row>
    <row r="2173" spans="1:9" x14ac:dyDescent="0.35">
      <c r="A2173" s="2">
        <v>45473</v>
      </c>
      <c r="B2173">
        <v>86</v>
      </c>
      <c r="C2173">
        <v>2141002</v>
      </c>
      <c r="D2173" t="s">
        <v>36</v>
      </c>
      <c r="E2173" t="s">
        <v>857</v>
      </c>
      <c r="F2173" s="3">
        <v>0</v>
      </c>
      <c r="G2173" s="3">
        <v>7.8</v>
      </c>
      <c r="H2173" s="3">
        <v>-7.8</v>
      </c>
      <c r="I2173" t="s">
        <v>574</v>
      </c>
    </row>
    <row r="2174" spans="1:9" x14ac:dyDescent="0.35">
      <c r="A2174" s="2">
        <v>45473</v>
      </c>
      <c r="B2174">
        <v>86</v>
      </c>
      <c r="C2174">
        <v>2141003</v>
      </c>
      <c r="D2174" t="s">
        <v>37</v>
      </c>
      <c r="E2174" t="s">
        <v>857</v>
      </c>
      <c r="F2174" s="3">
        <v>0</v>
      </c>
      <c r="G2174" s="3">
        <v>8.93</v>
      </c>
      <c r="H2174" s="3">
        <v>-8.93</v>
      </c>
      <c r="I2174" t="s">
        <v>574</v>
      </c>
    </row>
    <row r="2175" spans="1:9" x14ac:dyDescent="0.35">
      <c r="A2175" s="2">
        <v>45473</v>
      </c>
      <c r="B2175">
        <v>86</v>
      </c>
      <c r="C2175">
        <v>2161004</v>
      </c>
      <c r="D2175" t="s">
        <v>38</v>
      </c>
      <c r="E2175" t="s">
        <v>857</v>
      </c>
      <c r="F2175" s="3">
        <v>0</v>
      </c>
      <c r="G2175" s="3">
        <v>16.25</v>
      </c>
      <c r="H2175" s="3">
        <v>-16.25</v>
      </c>
      <c r="I2175" t="s">
        <v>574</v>
      </c>
    </row>
    <row r="2176" spans="1:9" x14ac:dyDescent="0.35">
      <c r="A2176" s="2">
        <v>45473</v>
      </c>
      <c r="B2176">
        <v>86</v>
      </c>
      <c r="C2176">
        <v>2161005</v>
      </c>
      <c r="D2176" t="s">
        <v>39</v>
      </c>
      <c r="E2176" t="s">
        <v>857</v>
      </c>
      <c r="F2176" s="3">
        <v>0</v>
      </c>
      <c r="G2176" s="3">
        <v>32.5</v>
      </c>
      <c r="H2176" s="3">
        <v>-32.5</v>
      </c>
      <c r="I2176" t="s">
        <v>574</v>
      </c>
    </row>
    <row r="2177" spans="1:9" x14ac:dyDescent="0.35">
      <c r="A2177" s="2">
        <v>45473</v>
      </c>
      <c r="B2177">
        <v>86</v>
      </c>
      <c r="C2177">
        <v>2241001</v>
      </c>
      <c r="D2177" t="s">
        <v>40</v>
      </c>
      <c r="E2177" t="s">
        <v>857</v>
      </c>
      <c r="F2177" s="3">
        <v>0</v>
      </c>
      <c r="G2177" s="3">
        <v>81.900000000000006</v>
      </c>
      <c r="H2177" s="3">
        <v>-81.900000000000006</v>
      </c>
      <c r="I2177" t="s">
        <v>574</v>
      </c>
    </row>
    <row r="2178" spans="1:9" x14ac:dyDescent="0.35">
      <c r="A2178" s="2">
        <v>45473</v>
      </c>
      <c r="B2178">
        <v>86</v>
      </c>
      <c r="C2178">
        <v>2161001</v>
      </c>
      <c r="D2178" t="s">
        <v>93</v>
      </c>
      <c r="E2178" t="s">
        <v>857</v>
      </c>
      <c r="F2178" s="3">
        <v>0</v>
      </c>
      <c r="G2178" s="3">
        <v>5518.03</v>
      </c>
      <c r="H2178" s="3">
        <v>-5518.03</v>
      </c>
      <c r="I2178" t="s">
        <v>574</v>
      </c>
    </row>
    <row r="2179" spans="1:9" x14ac:dyDescent="0.35">
      <c r="A2179" s="2">
        <v>45473</v>
      </c>
      <c r="B2179">
        <v>86</v>
      </c>
      <c r="C2179">
        <v>6121040</v>
      </c>
      <c r="D2179" t="s">
        <v>98</v>
      </c>
      <c r="E2179" t="s">
        <v>99</v>
      </c>
      <c r="F2179" s="3">
        <v>2712.15</v>
      </c>
      <c r="G2179" s="3">
        <v>0</v>
      </c>
      <c r="H2179" s="3">
        <v>2712.15</v>
      </c>
      <c r="I2179" t="s">
        <v>507</v>
      </c>
    </row>
    <row r="2180" spans="1:9" x14ac:dyDescent="0.35">
      <c r="A2180" s="2">
        <v>45473</v>
      </c>
      <c r="B2180">
        <v>86</v>
      </c>
      <c r="C2180">
        <v>6121046</v>
      </c>
      <c r="D2180" t="s">
        <v>94</v>
      </c>
      <c r="E2180" t="s">
        <v>95</v>
      </c>
      <c r="F2180" s="3">
        <v>1765.19</v>
      </c>
      <c r="G2180" s="3">
        <v>0</v>
      </c>
      <c r="H2180" s="3">
        <v>1765.19</v>
      </c>
      <c r="I2180" t="s">
        <v>507</v>
      </c>
    </row>
    <row r="2181" spans="1:9" x14ac:dyDescent="0.35">
      <c r="A2181" s="2">
        <v>45473</v>
      </c>
      <c r="B2181">
        <v>86</v>
      </c>
      <c r="C2181">
        <v>2114001</v>
      </c>
      <c r="D2181" t="s">
        <v>97</v>
      </c>
      <c r="E2181" t="s">
        <v>1768</v>
      </c>
      <c r="F2181" s="3">
        <v>38700.5</v>
      </c>
      <c r="G2181" s="3">
        <v>0</v>
      </c>
      <c r="H2181" s="3">
        <v>38700.5</v>
      </c>
      <c r="I2181" t="s">
        <v>507</v>
      </c>
    </row>
    <row r="2182" spans="1:9" x14ac:dyDescent="0.35">
      <c r="A2182" s="2">
        <v>45473</v>
      </c>
      <c r="B2182">
        <v>86</v>
      </c>
      <c r="C2182">
        <v>2124010</v>
      </c>
      <c r="D2182" t="s">
        <v>769</v>
      </c>
      <c r="E2182" t="s">
        <v>858</v>
      </c>
      <c r="F2182" s="3">
        <v>2992.63</v>
      </c>
      <c r="G2182" s="3">
        <v>0</v>
      </c>
      <c r="H2182" s="3">
        <v>2992.63</v>
      </c>
      <c r="I2182" t="s">
        <v>507</v>
      </c>
    </row>
    <row r="2183" spans="1:9" x14ac:dyDescent="0.35">
      <c r="A2183" s="2">
        <v>45473</v>
      </c>
      <c r="B2183">
        <v>86</v>
      </c>
      <c r="C2183">
        <v>2111002</v>
      </c>
      <c r="D2183" t="s">
        <v>424</v>
      </c>
      <c r="E2183" t="s">
        <v>859</v>
      </c>
      <c r="F2183" s="3">
        <v>11460.81</v>
      </c>
      <c r="G2183" s="3">
        <v>0</v>
      </c>
      <c r="H2183" s="3">
        <v>11460.81</v>
      </c>
      <c r="I2183" t="s">
        <v>507</v>
      </c>
    </row>
    <row r="2184" spans="1:9" x14ac:dyDescent="0.35">
      <c r="A2184" s="2">
        <v>45473</v>
      </c>
      <c r="B2184">
        <v>86</v>
      </c>
      <c r="C2184">
        <v>2124004</v>
      </c>
      <c r="D2184" t="s">
        <v>29</v>
      </c>
      <c r="E2184" t="s">
        <v>119</v>
      </c>
      <c r="F2184" s="3">
        <v>924.75</v>
      </c>
      <c r="G2184" s="3">
        <v>0</v>
      </c>
      <c r="H2184" s="3">
        <v>924.75</v>
      </c>
      <c r="I2184" t="s">
        <v>507</v>
      </c>
    </row>
    <row r="2185" spans="1:9" x14ac:dyDescent="0.35">
      <c r="A2185" s="2">
        <v>45473</v>
      </c>
      <c r="B2185">
        <v>86</v>
      </c>
      <c r="C2185">
        <v>2124009</v>
      </c>
      <c r="D2185" t="s">
        <v>154</v>
      </c>
      <c r="E2185" t="s">
        <v>296</v>
      </c>
      <c r="F2185" s="3">
        <v>780.47</v>
      </c>
      <c r="G2185" s="3">
        <v>0</v>
      </c>
      <c r="H2185" s="3">
        <v>780.47</v>
      </c>
      <c r="I2185" t="s">
        <v>507</v>
      </c>
    </row>
    <row r="2186" spans="1:9" x14ac:dyDescent="0.35">
      <c r="A2186" s="2">
        <v>45473</v>
      </c>
      <c r="B2186">
        <v>86</v>
      </c>
      <c r="C2186">
        <v>6121031</v>
      </c>
      <c r="D2186" t="s">
        <v>209</v>
      </c>
      <c r="E2186" t="s">
        <v>688</v>
      </c>
      <c r="F2186" s="3">
        <v>2460</v>
      </c>
      <c r="G2186" s="3">
        <v>0</v>
      </c>
      <c r="H2186" s="3">
        <v>2460</v>
      </c>
      <c r="I2186" t="s">
        <v>507</v>
      </c>
    </row>
    <row r="2187" spans="1:9" x14ac:dyDescent="0.35">
      <c r="A2187" s="2">
        <v>45473</v>
      </c>
      <c r="B2187">
        <v>86</v>
      </c>
      <c r="C2187">
        <v>1111001</v>
      </c>
      <c r="D2187" t="s">
        <v>16</v>
      </c>
      <c r="E2187" t="s">
        <v>132</v>
      </c>
      <c r="F2187" s="3">
        <v>9450</v>
      </c>
      <c r="G2187" s="3">
        <v>0</v>
      </c>
      <c r="H2187" s="3">
        <v>9450</v>
      </c>
      <c r="I2187" t="s">
        <v>507</v>
      </c>
    </row>
    <row r="2188" spans="1:9" x14ac:dyDescent="0.35">
      <c r="A2188" s="2">
        <v>45473</v>
      </c>
      <c r="B2188">
        <v>86</v>
      </c>
      <c r="C2188">
        <v>1111001</v>
      </c>
      <c r="D2188" t="s">
        <v>16</v>
      </c>
      <c r="E2188" t="s">
        <v>117</v>
      </c>
      <c r="F2188" s="3">
        <v>1500</v>
      </c>
      <c r="G2188" s="3">
        <v>0</v>
      </c>
      <c r="H2188" s="3">
        <v>1500</v>
      </c>
      <c r="I2188" t="s">
        <v>507</v>
      </c>
    </row>
    <row r="2189" spans="1:9" x14ac:dyDescent="0.35">
      <c r="A2189" s="2">
        <v>45473</v>
      </c>
      <c r="B2189">
        <v>86</v>
      </c>
      <c r="C2189">
        <v>5132012</v>
      </c>
      <c r="D2189" t="s">
        <v>303</v>
      </c>
      <c r="E2189" t="s">
        <v>860</v>
      </c>
      <c r="F2189" s="3">
        <v>5000</v>
      </c>
      <c r="G2189" s="3">
        <v>0</v>
      </c>
      <c r="H2189" s="3">
        <v>5000</v>
      </c>
      <c r="I2189" t="s">
        <v>507</v>
      </c>
    </row>
    <row r="2190" spans="1:9" x14ac:dyDescent="0.35">
      <c r="A2190" s="2">
        <v>45473</v>
      </c>
      <c r="B2190">
        <v>86</v>
      </c>
      <c r="C2190">
        <v>5131016</v>
      </c>
      <c r="D2190" t="s">
        <v>238</v>
      </c>
      <c r="E2190" t="s">
        <v>292</v>
      </c>
      <c r="F2190" s="3">
        <v>450</v>
      </c>
      <c r="G2190" s="3">
        <v>0</v>
      </c>
      <c r="H2190" s="3">
        <v>450</v>
      </c>
      <c r="I2190" t="s">
        <v>507</v>
      </c>
    </row>
    <row r="2191" spans="1:9" x14ac:dyDescent="0.35">
      <c r="A2191" s="2">
        <v>45473</v>
      </c>
      <c r="B2191">
        <v>86</v>
      </c>
      <c r="C2191">
        <v>2161001</v>
      </c>
      <c r="D2191" t="s">
        <v>93</v>
      </c>
      <c r="E2191" t="s">
        <v>1801</v>
      </c>
      <c r="F2191" s="3">
        <v>789.05</v>
      </c>
      <c r="G2191" s="3">
        <v>0</v>
      </c>
      <c r="H2191" s="3">
        <v>789.05</v>
      </c>
      <c r="I2191" t="s">
        <v>507</v>
      </c>
    </row>
    <row r="2192" spans="1:9" x14ac:dyDescent="0.35">
      <c r="A2192" s="2">
        <v>45473</v>
      </c>
      <c r="B2192">
        <v>86</v>
      </c>
      <c r="C2192">
        <v>2161001</v>
      </c>
      <c r="D2192" t="s">
        <v>93</v>
      </c>
      <c r="E2192" t="s">
        <v>1801</v>
      </c>
      <c r="F2192" s="3">
        <v>789.05</v>
      </c>
      <c r="G2192" s="3">
        <v>0</v>
      </c>
      <c r="H2192" s="3">
        <v>789.05</v>
      </c>
      <c r="I2192" t="s">
        <v>507</v>
      </c>
    </row>
    <row r="2193" spans="1:9" x14ac:dyDescent="0.35">
      <c r="A2193" s="2">
        <v>45473</v>
      </c>
      <c r="B2193">
        <v>86</v>
      </c>
      <c r="C2193">
        <v>2161001</v>
      </c>
      <c r="D2193" t="s">
        <v>93</v>
      </c>
      <c r="E2193" t="s">
        <v>1801</v>
      </c>
      <c r="F2193" s="3">
        <v>789.05</v>
      </c>
      <c r="G2193" s="3">
        <v>0</v>
      </c>
      <c r="H2193" s="3">
        <v>789.05</v>
      </c>
      <c r="I2193" t="s">
        <v>507</v>
      </c>
    </row>
    <row r="2194" spans="1:9" x14ac:dyDescent="0.35">
      <c r="A2194" s="2">
        <v>45473</v>
      </c>
      <c r="B2194">
        <v>86</v>
      </c>
      <c r="C2194">
        <v>2161001</v>
      </c>
      <c r="D2194" t="s">
        <v>93</v>
      </c>
      <c r="E2194" t="s">
        <v>1801</v>
      </c>
      <c r="F2194" s="3">
        <v>789.05</v>
      </c>
      <c r="G2194" s="3">
        <v>0</v>
      </c>
      <c r="H2194" s="3">
        <v>789.05</v>
      </c>
      <c r="I2194" t="s">
        <v>507</v>
      </c>
    </row>
    <row r="2195" spans="1:9" x14ac:dyDescent="0.35">
      <c r="A2195" s="2">
        <v>45473</v>
      </c>
      <c r="B2195">
        <v>86</v>
      </c>
      <c r="C2195">
        <v>2161001</v>
      </c>
      <c r="D2195" t="s">
        <v>93</v>
      </c>
      <c r="E2195" t="s">
        <v>1801</v>
      </c>
      <c r="F2195" s="3">
        <v>789.05</v>
      </c>
      <c r="G2195" s="3">
        <v>0</v>
      </c>
      <c r="H2195" s="3">
        <v>789.05</v>
      </c>
      <c r="I2195" t="s">
        <v>507</v>
      </c>
    </row>
    <row r="2196" spans="1:9" x14ac:dyDescent="0.35">
      <c r="A2196" s="2">
        <v>45473</v>
      </c>
      <c r="B2196">
        <v>86</v>
      </c>
      <c r="C2196">
        <v>1111001</v>
      </c>
      <c r="D2196" t="s">
        <v>16</v>
      </c>
      <c r="E2196" t="s">
        <v>213</v>
      </c>
      <c r="F2196" s="3">
        <v>11000</v>
      </c>
      <c r="G2196" s="3">
        <v>0</v>
      </c>
      <c r="H2196" s="3">
        <v>11000</v>
      </c>
      <c r="I2196" t="s">
        <v>507</v>
      </c>
    </row>
    <row r="2197" spans="1:9" x14ac:dyDescent="0.35">
      <c r="A2197" s="2">
        <v>45473</v>
      </c>
      <c r="B2197">
        <v>86</v>
      </c>
      <c r="C2197">
        <v>5131006</v>
      </c>
      <c r="D2197" t="s">
        <v>125</v>
      </c>
      <c r="E2197" t="s">
        <v>861</v>
      </c>
      <c r="F2197" s="3">
        <v>1600</v>
      </c>
      <c r="G2197" s="3">
        <v>0</v>
      </c>
      <c r="H2197" s="3">
        <v>1600</v>
      </c>
      <c r="I2197" t="s">
        <v>507</v>
      </c>
    </row>
    <row r="2198" spans="1:9" x14ac:dyDescent="0.35">
      <c r="A2198" s="2">
        <v>45473</v>
      </c>
      <c r="B2198">
        <v>86</v>
      </c>
      <c r="C2198">
        <v>1112002</v>
      </c>
      <c r="D2198" t="s">
        <v>21</v>
      </c>
      <c r="E2198" t="s">
        <v>862</v>
      </c>
      <c r="F2198" s="3">
        <v>0</v>
      </c>
      <c r="G2198" s="3">
        <v>94741.75</v>
      </c>
      <c r="H2198" s="3">
        <v>-94741.75</v>
      </c>
      <c r="I2198" t="s">
        <v>507</v>
      </c>
    </row>
    <row r="2199" spans="1:9" x14ac:dyDescent="0.35">
      <c r="A2199" s="2">
        <v>45473</v>
      </c>
      <c r="B2199">
        <v>86</v>
      </c>
      <c r="C2199">
        <v>1112002</v>
      </c>
      <c r="D2199" t="s">
        <v>21</v>
      </c>
      <c r="E2199" t="s">
        <v>749</v>
      </c>
      <c r="F2199" s="3">
        <v>95346.95</v>
      </c>
      <c r="G2199" s="3">
        <v>0</v>
      </c>
      <c r="H2199" s="3">
        <v>95346.95</v>
      </c>
      <c r="I2199" t="s">
        <v>507</v>
      </c>
    </row>
    <row r="2200" spans="1:9" x14ac:dyDescent="0.35">
      <c r="A2200" s="2">
        <v>45473</v>
      </c>
      <c r="B2200">
        <v>86</v>
      </c>
      <c r="C2200">
        <v>1111001</v>
      </c>
      <c r="D2200" t="s">
        <v>16</v>
      </c>
      <c r="E2200" t="s">
        <v>137</v>
      </c>
      <c r="F2200" s="3">
        <v>0</v>
      </c>
      <c r="G2200" s="3">
        <v>79584.679999999993</v>
      </c>
      <c r="H2200" s="3">
        <v>-79584.679999999993</v>
      </c>
      <c r="I2200" t="s">
        <v>507</v>
      </c>
    </row>
    <row r="2201" spans="1:9" x14ac:dyDescent="0.35">
      <c r="A2201" s="2">
        <v>45473</v>
      </c>
      <c r="B2201">
        <v>86</v>
      </c>
      <c r="C2201">
        <v>1111001</v>
      </c>
      <c r="D2201" t="s">
        <v>16</v>
      </c>
      <c r="E2201" t="s">
        <v>139</v>
      </c>
      <c r="F2201" s="3">
        <v>0</v>
      </c>
      <c r="G2201" s="3">
        <v>15623.31</v>
      </c>
      <c r="H2201" s="3">
        <v>-15623.31</v>
      </c>
      <c r="I2201" t="s">
        <v>507</v>
      </c>
    </row>
    <row r="2202" spans="1:9" x14ac:dyDescent="0.35">
      <c r="A2202" s="2">
        <v>45473</v>
      </c>
      <c r="B2202">
        <v>86</v>
      </c>
      <c r="C2202">
        <v>4141003</v>
      </c>
      <c r="D2202" t="s">
        <v>141</v>
      </c>
      <c r="E2202" t="s">
        <v>142</v>
      </c>
      <c r="F2202" s="3">
        <v>0</v>
      </c>
      <c r="G2202" s="3">
        <v>138.96</v>
      </c>
      <c r="H2202" s="3">
        <v>-138.96</v>
      </c>
      <c r="I2202" t="s">
        <v>507</v>
      </c>
    </row>
    <row r="2203" spans="1:9" x14ac:dyDescent="0.35">
      <c r="A2203" s="2">
        <v>45473</v>
      </c>
      <c r="B2203">
        <v>86</v>
      </c>
      <c r="C2203">
        <v>6121046</v>
      </c>
      <c r="D2203" t="s">
        <v>94</v>
      </c>
      <c r="E2203" t="s">
        <v>95</v>
      </c>
      <c r="F2203" s="3">
        <v>470.04</v>
      </c>
      <c r="G2203" s="3">
        <v>0</v>
      </c>
      <c r="H2203" s="3">
        <v>470.04</v>
      </c>
      <c r="I2203" t="s">
        <v>480</v>
      </c>
    </row>
    <row r="2204" spans="1:9" x14ac:dyDescent="0.35">
      <c r="A2204" s="2">
        <v>45473</v>
      </c>
      <c r="B2204">
        <v>86</v>
      </c>
      <c r="C2204">
        <v>6121040</v>
      </c>
      <c r="D2204" t="s">
        <v>98</v>
      </c>
      <c r="E2204" t="s">
        <v>99</v>
      </c>
      <c r="F2204" s="3">
        <v>270.82</v>
      </c>
      <c r="G2204" s="3">
        <v>0</v>
      </c>
      <c r="H2204" s="3">
        <v>270.82</v>
      </c>
      <c r="I2204" t="s">
        <v>480</v>
      </c>
    </row>
    <row r="2205" spans="1:9" x14ac:dyDescent="0.35">
      <c r="A2205" s="2">
        <v>45473</v>
      </c>
      <c r="B2205">
        <v>86</v>
      </c>
      <c r="C2205">
        <v>2114001</v>
      </c>
      <c r="D2205" t="s">
        <v>97</v>
      </c>
      <c r="E2205" t="s">
        <v>1768</v>
      </c>
      <c r="F2205" s="3">
        <v>7140</v>
      </c>
      <c r="G2205" s="3">
        <v>0</v>
      </c>
      <c r="H2205" s="3">
        <v>7140</v>
      </c>
      <c r="I2205" t="s">
        <v>480</v>
      </c>
    </row>
    <row r="2206" spans="1:9" x14ac:dyDescent="0.35">
      <c r="A2206" s="2">
        <v>45473</v>
      </c>
      <c r="B2206">
        <v>86</v>
      </c>
      <c r="C2206">
        <v>6121019</v>
      </c>
      <c r="D2206" t="s">
        <v>100</v>
      </c>
      <c r="E2206" t="s">
        <v>104</v>
      </c>
      <c r="F2206" s="3">
        <v>160</v>
      </c>
      <c r="G2206" s="3">
        <v>0</v>
      </c>
      <c r="H2206" s="3">
        <v>160</v>
      </c>
      <c r="I2206" t="s">
        <v>480</v>
      </c>
    </row>
    <row r="2207" spans="1:9" x14ac:dyDescent="0.35">
      <c r="A2207" s="2">
        <v>45473</v>
      </c>
      <c r="B2207">
        <v>86</v>
      </c>
      <c r="C2207">
        <v>6121041</v>
      </c>
      <c r="D2207" t="s">
        <v>863</v>
      </c>
      <c r="E2207" t="s">
        <v>347</v>
      </c>
      <c r="F2207" s="3">
        <v>183.81</v>
      </c>
      <c r="G2207" s="3">
        <v>0</v>
      </c>
      <c r="H2207" s="3">
        <v>183.81</v>
      </c>
      <c r="I2207" t="s">
        <v>480</v>
      </c>
    </row>
    <row r="2208" spans="1:9" x14ac:dyDescent="0.35">
      <c r="A2208" s="2">
        <v>45473</v>
      </c>
      <c r="B2208">
        <v>86</v>
      </c>
      <c r="C2208">
        <v>1111001</v>
      </c>
      <c r="D2208" t="s">
        <v>16</v>
      </c>
      <c r="E2208" t="s">
        <v>227</v>
      </c>
      <c r="F2208" s="3">
        <v>1280.94</v>
      </c>
      <c r="G2208" s="3">
        <v>0</v>
      </c>
      <c r="H2208" s="3">
        <v>1280.94</v>
      </c>
      <c r="I2208" t="s">
        <v>480</v>
      </c>
    </row>
    <row r="2209" spans="1:9" x14ac:dyDescent="0.35">
      <c r="A2209" s="2">
        <v>45473</v>
      </c>
      <c r="B2209">
        <v>86</v>
      </c>
      <c r="C2209">
        <v>6121021</v>
      </c>
      <c r="D2209" t="s">
        <v>102</v>
      </c>
      <c r="E2209" t="s">
        <v>864</v>
      </c>
      <c r="F2209" s="3">
        <v>1255.83</v>
      </c>
      <c r="G2209" s="3">
        <v>0</v>
      </c>
      <c r="H2209" s="3">
        <v>1255.83</v>
      </c>
      <c r="I2209" t="s">
        <v>480</v>
      </c>
    </row>
    <row r="2210" spans="1:9" x14ac:dyDescent="0.35">
      <c r="A2210" s="2">
        <v>45473</v>
      </c>
      <c r="B2210">
        <v>86</v>
      </c>
      <c r="C2210">
        <v>1111001</v>
      </c>
      <c r="D2210" t="s">
        <v>16</v>
      </c>
      <c r="E2210" t="s">
        <v>865</v>
      </c>
      <c r="F2210" s="3">
        <v>14500</v>
      </c>
      <c r="G2210" s="3">
        <v>0</v>
      </c>
      <c r="H2210" s="3">
        <v>14500</v>
      </c>
      <c r="I2210" t="s">
        <v>480</v>
      </c>
    </row>
    <row r="2211" spans="1:9" x14ac:dyDescent="0.35">
      <c r="A2211" s="2">
        <v>45473</v>
      </c>
      <c r="B2211">
        <v>86</v>
      </c>
      <c r="C2211">
        <v>1112001</v>
      </c>
      <c r="D2211" t="s">
        <v>20</v>
      </c>
      <c r="E2211" t="s">
        <v>862</v>
      </c>
      <c r="F2211" s="3">
        <v>0</v>
      </c>
      <c r="G2211" s="3">
        <v>25261.439999999999</v>
      </c>
      <c r="H2211" s="3">
        <v>-25261.439999999999</v>
      </c>
      <c r="I2211" t="s">
        <v>480</v>
      </c>
    </row>
    <row r="2212" spans="1:9" x14ac:dyDescent="0.35">
      <c r="A2212" s="2">
        <v>45473</v>
      </c>
      <c r="B2212">
        <v>86</v>
      </c>
      <c r="C2212">
        <v>1112001</v>
      </c>
      <c r="D2212" t="s">
        <v>20</v>
      </c>
      <c r="E2212" t="s">
        <v>749</v>
      </c>
      <c r="F2212" s="3">
        <v>25359.759999999998</v>
      </c>
      <c r="G2212" s="3">
        <v>0</v>
      </c>
      <c r="H2212" s="3">
        <v>25359.759999999998</v>
      </c>
      <c r="I2212" t="s">
        <v>480</v>
      </c>
    </row>
    <row r="2213" spans="1:9" x14ac:dyDescent="0.35">
      <c r="A2213" s="2">
        <v>45473</v>
      </c>
      <c r="B2213">
        <v>86</v>
      </c>
      <c r="C2213">
        <v>1111001</v>
      </c>
      <c r="D2213" t="s">
        <v>16</v>
      </c>
      <c r="E2213" t="s">
        <v>112</v>
      </c>
      <c r="F2213" s="3">
        <v>0</v>
      </c>
      <c r="G2213" s="3">
        <v>17403.82</v>
      </c>
      <c r="H2213" s="3">
        <v>-17403.82</v>
      </c>
      <c r="I2213" t="s">
        <v>480</v>
      </c>
    </row>
    <row r="2214" spans="1:9" x14ac:dyDescent="0.35">
      <c r="A2214" s="2">
        <v>45473</v>
      </c>
      <c r="B2214">
        <v>86</v>
      </c>
      <c r="C2214">
        <v>1111001</v>
      </c>
      <c r="D2214" t="s">
        <v>16</v>
      </c>
      <c r="E2214" t="s">
        <v>231</v>
      </c>
      <c r="F2214" s="3">
        <v>0</v>
      </c>
      <c r="G2214" s="3">
        <v>3275</v>
      </c>
      <c r="H2214" s="3">
        <v>-3275</v>
      </c>
      <c r="I2214" t="s">
        <v>480</v>
      </c>
    </row>
    <row r="2215" spans="1:9" x14ac:dyDescent="0.35">
      <c r="A2215" s="2">
        <v>45473</v>
      </c>
      <c r="B2215">
        <v>86</v>
      </c>
      <c r="C2215">
        <v>1111001</v>
      </c>
      <c r="D2215" t="s">
        <v>16</v>
      </c>
      <c r="E2215" t="s">
        <v>866</v>
      </c>
      <c r="F2215" s="3">
        <v>0</v>
      </c>
      <c r="G2215" s="3">
        <v>1900</v>
      </c>
      <c r="H2215" s="3">
        <v>-1900</v>
      </c>
      <c r="I2215" t="s">
        <v>480</v>
      </c>
    </row>
    <row r="2216" spans="1:9" x14ac:dyDescent="0.35">
      <c r="A2216" s="2">
        <v>45473</v>
      </c>
      <c r="B2216">
        <v>86</v>
      </c>
      <c r="C2216">
        <v>1111001</v>
      </c>
      <c r="D2216" t="s">
        <v>16</v>
      </c>
      <c r="E2216" t="s">
        <v>745</v>
      </c>
      <c r="F2216" s="3">
        <v>0</v>
      </c>
      <c r="G2216" s="3">
        <v>1280.94</v>
      </c>
      <c r="H2216" s="3">
        <v>-1280.94</v>
      </c>
      <c r="I2216" t="s">
        <v>480</v>
      </c>
    </row>
    <row r="2217" spans="1:9" x14ac:dyDescent="0.35">
      <c r="A2217" s="2">
        <v>45473</v>
      </c>
      <c r="B2217">
        <v>86</v>
      </c>
      <c r="C2217">
        <v>1111001</v>
      </c>
      <c r="D2217" t="s">
        <v>16</v>
      </c>
      <c r="E2217" t="s">
        <v>867</v>
      </c>
      <c r="F2217" s="3">
        <v>0</v>
      </c>
      <c r="G2217" s="3">
        <v>1500</v>
      </c>
      <c r="H2217" s="3">
        <v>-1500</v>
      </c>
      <c r="I2217" t="s">
        <v>480</v>
      </c>
    </row>
    <row r="2218" spans="1:9" x14ac:dyDescent="0.35">
      <c r="A2218" s="2">
        <v>45473</v>
      </c>
      <c r="B2218">
        <v>86</v>
      </c>
      <c r="C2218">
        <v>2141001</v>
      </c>
      <c r="D2218" t="s">
        <v>35</v>
      </c>
      <c r="E2218" t="s">
        <v>120</v>
      </c>
      <c r="F2218" s="3">
        <v>138.6</v>
      </c>
      <c r="G2218" s="3">
        <v>0</v>
      </c>
      <c r="H2218" s="3">
        <v>138.6</v>
      </c>
      <c r="I2218" t="s">
        <v>114</v>
      </c>
    </row>
    <row r="2219" spans="1:9" x14ac:dyDescent="0.35">
      <c r="A2219" s="2">
        <v>45473</v>
      </c>
      <c r="B2219">
        <v>86</v>
      </c>
      <c r="C2219">
        <v>6121046</v>
      </c>
      <c r="D2219" t="s">
        <v>94</v>
      </c>
      <c r="E2219" t="s">
        <v>95</v>
      </c>
      <c r="F2219" s="3">
        <v>109.98</v>
      </c>
      <c r="G2219" s="3">
        <v>0</v>
      </c>
      <c r="H2219" s="3">
        <v>109.98</v>
      </c>
      <c r="I2219" t="s">
        <v>114</v>
      </c>
    </row>
    <row r="2220" spans="1:9" x14ac:dyDescent="0.35">
      <c r="A2220" s="2">
        <v>45473</v>
      </c>
      <c r="B2220">
        <v>86</v>
      </c>
      <c r="C2220">
        <v>2141002</v>
      </c>
      <c r="D2220" t="s">
        <v>36</v>
      </c>
      <c r="E2220" t="s">
        <v>121</v>
      </c>
      <c r="F2220" s="3">
        <v>27.3</v>
      </c>
      <c r="G2220" s="3">
        <v>0</v>
      </c>
      <c r="H2220" s="3">
        <v>27.3</v>
      </c>
      <c r="I2220" t="s">
        <v>114</v>
      </c>
    </row>
    <row r="2221" spans="1:9" x14ac:dyDescent="0.35">
      <c r="A2221" s="2">
        <v>45473</v>
      </c>
      <c r="B2221">
        <v>86</v>
      </c>
      <c r="C2221">
        <v>6121040</v>
      </c>
      <c r="D2221" t="s">
        <v>98</v>
      </c>
      <c r="E2221" t="s">
        <v>99</v>
      </c>
      <c r="F2221" s="3">
        <v>98.98</v>
      </c>
      <c r="G2221" s="3">
        <v>0</v>
      </c>
      <c r="H2221" s="3">
        <v>98.98</v>
      </c>
      <c r="I2221" t="s">
        <v>114</v>
      </c>
    </row>
    <row r="2222" spans="1:9" x14ac:dyDescent="0.35">
      <c r="A2222" s="2">
        <v>45473</v>
      </c>
      <c r="B2222">
        <v>86</v>
      </c>
      <c r="C2222">
        <v>5131006</v>
      </c>
      <c r="D2222" t="s">
        <v>125</v>
      </c>
      <c r="E2222" t="s">
        <v>868</v>
      </c>
      <c r="F2222" s="3">
        <v>1850</v>
      </c>
      <c r="G2222" s="3">
        <v>0</v>
      </c>
      <c r="H2222" s="3">
        <v>1850</v>
      </c>
      <c r="I2222" t="s">
        <v>114</v>
      </c>
    </row>
    <row r="2223" spans="1:9" x14ac:dyDescent="0.35">
      <c r="A2223" s="2">
        <v>45473</v>
      </c>
      <c r="B2223">
        <v>86</v>
      </c>
      <c r="C2223">
        <v>2161001</v>
      </c>
      <c r="D2223" t="s">
        <v>93</v>
      </c>
      <c r="E2223" t="s">
        <v>1802</v>
      </c>
      <c r="F2223" s="3">
        <v>783.73</v>
      </c>
      <c r="G2223" s="3">
        <v>0</v>
      </c>
      <c r="H2223" s="3">
        <v>783.73</v>
      </c>
      <c r="I2223" t="s">
        <v>114</v>
      </c>
    </row>
    <row r="2224" spans="1:9" x14ac:dyDescent="0.35">
      <c r="A2224" s="2">
        <v>45473</v>
      </c>
      <c r="B2224">
        <v>86</v>
      </c>
      <c r="C2224">
        <v>5131006</v>
      </c>
      <c r="D2224" t="s">
        <v>125</v>
      </c>
      <c r="E2224" t="s">
        <v>868</v>
      </c>
      <c r="F2224" s="3">
        <v>2600</v>
      </c>
      <c r="G2224" s="3">
        <v>0</v>
      </c>
      <c r="H2224" s="3">
        <v>2600</v>
      </c>
      <c r="I2224" t="s">
        <v>114</v>
      </c>
    </row>
    <row r="2225" spans="1:9" x14ac:dyDescent="0.35">
      <c r="A2225" s="2">
        <v>45473</v>
      </c>
      <c r="B2225">
        <v>86</v>
      </c>
      <c r="C2225">
        <v>1112003</v>
      </c>
      <c r="D2225" t="s">
        <v>22</v>
      </c>
      <c r="E2225" t="s">
        <v>862</v>
      </c>
      <c r="F2225" s="3">
        <v>0</v>
      </c>
      <c r="G2225" s="3">
        <v>5608.59</v>
      </c>
      <c r="H2225" s="3">
        <v>-5608.59</v>
      </c>
      <c r="I2225" t="s">
        <v>114</v>
      </c>
    </row>
    <row r="2226" spans="1:9" x14ac:dyDescent="0.35">
      <c r="A2226" s="2">
        <v>45473</v>
      </c>
      <c r="B2226">
        <v>86</v>
      </c>
      <c r="C2226">
        <v>1112003</v>
      </c>
      <c r="D2226" t="s">
        <v>22</v>
      </c>
      <c r="E2226" t="s">
        <v>749</v>
      </c>
      <c r="F2226" s="3">
        <v>6250</v>
      </c>
      <c r="G2226" s="3">
        <v>0</v>
      </c>
      <c r="H2226" s="3">
        <v>6250</v>
      </c>
      <c r="I2226" t="s">
        <v>114</v>
      </c>
    </row>
    <row r="2227" spans="1:9" x14ac:dyDescent="0.35">
      <c r="A2227" s="2">
        <v>45473</v>
      </c>
      <c r="B2227">
        <v>86</v>
      </c>
      <c r="C2227">
        <v>1111001</v>
      </c>
      <c r="D2227" t="s">
        <v>16</v>
      </c>
      <c r="E2227" t="s">
        <v>869</v>
      </c>
      <c r="F2227" s="3">
        <v>0</v>
      </c>
      <c r="G2227" s="3">
        <v>250</v>
      </c>
      <c r="H2227" s="3">
        <v>-250</v>
      </c>
      <c r="I2227" t="s">
        <v>114</v>
      </c>
    </row>
    <row r="2228" spans="1:9" x14ac:dyDescent="0.35">
      <c r="A2228" s="2">
        <v>45473</v>
      </c>
      <c r="B2228">
        <v>86</v>
      </c>
      <c r="C2228">
        <v>1111001</v>
      </c>
      <c r="D2228" t="s">
        <v>16</v>
      </c>
      <c r="E2228" t="s">
        <v>111</v>
      </c>
      <c r="F2228" s="3">
        <v>0</v>
      </c>
      <c r="G2228" s="3">
        <v>6000</v>
      </c>
      <c r="H2228" s="3">
        <v>-6000</v>
      </c>
      <c r="I2228" t="s">
        <v>114</v>
      </c>
    </row>
    <row r="2229" spans="1:9" x14ac:dyDescent="0.35">
      <c r="A2229" s="2">
        <v>45473</v>
      </c>
      <c r="B2229">
        <v>86</v>
      </c>
      <c r="C2229">
        <v>5131016</v>
      </c>
      <c r="D2229" t="s">
        <v>238</v>
      </c>
      <c r="E2229" t="s">
        <v>870</v>
      </c>
      <c r="F2229" s="3">
        <v>1095</v>
      </c>
      <c r="G2229" s="3">
        <v>0</v>
      </c>
      <c r="H2229" s="3">
        <v>1095</v>
      </c>
      <c r="I2229" t="s">
        <v>871</v>
      </c>
    </row>
    <row r="2230" spans="1:9" x14ac:dyDescent="0.35">
      <c r="A2230" s="2">
        <v>45473</v>
      </c>
      <c r="B2230">
        <v>86</v>
      </c>
      <c r="C2230">
        <v>2114001</v>
      </c>
      <c r="D2230" t="s">
        <v>97</v>
      </c>
      <c r="E2230" t="s">
        <v>870</v>
      </c>
      <c r="F2230" s="3">
        <v>0</v>
      </c>
      <c r="G2230" s="3">
        <v>1095</v>
      </c>
      <c r="H2230" s="3">
        <v>-1095</v>
      </c>
      <c r="I2230" t="s">
        <v>871</v>
      </c>
    </row>
    <row r="2231" spans="1:9" x14ac:dyDescent="0.35">
      <c r="A2231" s="2">
        <v>45473</v>
      </c>
      <c r="B2231">
        <v>86</v>
      </c>
      <c r="C2231">
        <v>6121023</v>
      </c>
      <c r="D2231" t="s">
        <v>49</v>
      </c>
      <c r="E2231" t="s">
        <v>872</v>
      </c>
      <c r="F2231" s="3">
        <v>735</v>
      </c>
      <c r="G2231" s="3">
        <v>0</v>
      </c>
      <c r="H2231" s="3">
        <v>735</v>
      </c>
      <c r="I2231" t="s">
        <v>871</v>
      </c>
    </row>
    <row r="2232" spans="1:9" x14ac:dyDescent="0.35">
      <c r="A2232" s="2">
        <v>45473</v>
      </c>
      <c r="B2232">
        <v>86</v>
      </c>
      <c r="C2232">
        <v>2114001</v>
      </c>
      <c r="D2232" t="s">
        <v>97</v>
      </c>
      <c r="E2232" t="s">
        <v>872</v>
      </c>
      <c r="F2232" s="3">
        <v>0</v>
      </c>
      <c r="G2232" s="3">
        <v>735</v>
      </c>
      <c r="H2232" s="3">
        <v>-735</v>
      </c>
      <c r="I2232" t="s">
        <v>871</v>
      </c>
    </row>
    <row r="2233" spans="1:9" x14ac:dyDescent="0.35">
      <c r="A2233" s="2">
        <v>45473</v>
      </c>
      <c r="B2233">
        <v>86</v>
      </c>
      <c r="C2233">
        <v>2114010</v>
      </c>
      <c r="D2233" t="s">
        <v>48</v>
      </c>
      <c r="E2233" t="s">
        <v>873</v>
      </c>
      <c r="F2233" s="3">
        <v>3250.99</v>
      </c>
      <c r="G2233" s="3">
        <v>0</v>
      </c>
      <c r="H2233" s="3">
        <v>3250.99</v>
      </c>
      <c r="I2233" t="s">
        <v>871</v>
      </c>
    </row>
    <row r="2234" spans="1:9" x14ac:dyDescent="0.35">
      <c r="A2234" s="2">
        <v>45473</v>
      </c>
      <c r="B2234">
        <v>86</v>
      </c>
      <c r="C2234">
        <v>2114001</v>
      </c>
      <c r="D2234" t="s">
        <v>97</v>
      </c>
      <c r="E2234" t="s">
        <v>873</v>
      </c>
      <c r="F2234" s="3">
        <v>0</v>
      </c>
      <c r="G2234" s="3">
        <v>3250.99</v>
      </c>
      <c r="H2234" s="3">
        <v>-3250.99</v>
      </c>
      <c r="I2234" t="s">
        <v>871</v>
      </c>
    </row>
    <row r="2235" spans="1:9" x14ac:dyDescent="0.35">
      <c r="A2235" s="2">
        <v>45473</v>
      </c>
      <c r="B2235">
        <v>86</v>
      </c>
      <c r="C2235">
        <v>5131015</v>
      </c>
      <c r="D2235" t="s">
        <v>766</v>
      </c>
      <c r="E2235" t="s">
        <v>874</v>
      </c>
      <c r="F2235" s="3">
        <v>3069.61</v>
      </c>
      <c r="G2235" s="3">
        <v>0</v>
      </c>
      <c r="H2235" s="3">
        <v>3069.61</v>
      </c>
      <c r="I2235" t="s">
        <v>768</v>
      </c>
    </row>
    <row r="2236" spans="1:9" x14ac:dyDescent="0.35">
      <c r="A2236" s="2">
        <v>45473</v>
      </c>
      <c r="B2236">
        <v>86</v>
      </c>
      <c r="C2236">
        <v>2124010</v>
      </c>
      <c r="D2236" t="s">
        <v>769</v>
      </c>
      <c r="E2236" t="s">
        <v>874</v>
      </c>
      <c r="F2236" s="3">
        <v>0</v>
      </c>
      <c r="G2236" s="3">
        <v>3069.61</v>
      </c>
      <c r="H2236" s="3">
        <v>-3069.61</v>
      </c>
      <c r="I2236" t="s">
        <v>768</v>
      </c>
    </row>
    <row r="2237" spans="1:9" x14ac:dyDescent="0.35">
      <c r="A2237" s="2">
        <v>45473</v>
      </c>
      <c r="B2237">
        <v>86</v>
      </c>
      <c r="C2237">
        <v>2161001</v>
      </c>
      <c r="D2237" t="s">
        <v>93</v>
      </c>
      <c r="E2237" t="s">
        <v>511</v>
      </c>
      <c r="F2237" s="3">
        <v>1577.15</v>
      </c>
      <c r="G2237" s="3">
        <v>0</v>
      </c>
      <c r="H2237" s="3">
        <v>1577.15</v>
      </c>
      <c r="I2237" t="s">
        <v>871</v>
      </c>
    </row>
    <row r="2238" spans="1:9" x14ac:dyDescent="0.35">
      <c r="A2238" s="2">
        <v>45473</v>
      </c>
      <c r="B2238">
        <v>86</v>
      </c>
      <c r="C2238">
        <v>2114001</v>
      </c>
      <c r="D2238" t="s">
        <v>97</v>
      </c>
      <c r="E2238" t="s">
        <v>511</v>
      </c>
      <c r="F2238" s="3">
        <v>0</v>
      </c>
      <c r="G2238" s="3">
        <v>1577.15</v>
      </c>
      <c r="H2238" s="3">
        <v>-1577.15</v>
      </c>
      <c r="I2238" t="s">
        <v>871</v>
      </c>
    </row>
    <row r="2239" spans="1:9" x14ac:dyDescent="0.35">
      <c r="A2239" s="2">
        <v>45488</v>
      </c>
      <c r="B2239">
        <v>87</v>
      </c>
      <c r="C2239">
        <v>6121018</v>
      </c>
      <c r="D2239" t="s">
        <v>150</v>
      </c>
      <c r="E2239" t="s">
        <v>151</v>
      </c>
      <c r="F2239" s="3">
        <v>6474</v>
      </c>
      <c r="G2239" s="3">
        <v>0</v>
      </c>
      <c r="H2239" s="3">
        <v>6474</v>
      </c>
      <c r="I2239" t="s">
        <v>875</v>
      </c>
    </row>
    <row r="2240" spans="1:9" x14ac:dyDescent="0.35">
      <c r="A2240" s="2">
        <v>45488</v>
      </c>
      <c r="B2240">
        <v>87</v>
      </c>
      <c r="C2240">
        <v>1141001</v>
      </c>
      <c r="D2240" t="s">
        <v>153</v>
      </c>
      <c r="E2240" t="s">
        <v>151</v>
      </c>
      <c r="F2240" s="3">
        <v>1035.8399999999999</v>
      </c>
      <c r="G2240" s="3">
        <v>0</v>
      </c>
      <c r="H2240" s="3">
        <v>1035.8399999999999</v>
      </c>
      <c r="I2240" t="s">
        <v>875</v>
      </c>
    </row>
    <row r="2241" spans="1:9" x14ac:dyDescent="0.35">
      <c r="A2241" s="2">
        <v>45488</v>
      </c>
      <c r="B2241">
        <v>87</v>
      </c>
      <c r="C2241">
        <v>2124009</v>
      </c>
      <c r="D2241" t="s">
        <v>154</v>
      </c>
      <c r="E2241" t="s">
        <v>151</v>
      </c>
      <c r="F2241" s="3">
        <v>0</v>
      </c>
      <c r="G2241" s="3">
        <v>776.88</v>
      </c>
      <c r="H2241" s="3">
        <v>-776.88</v>
      </c>
      <c r="I2241" t="s">
        <v>1438</v>
      </c>
    </row>
    <row r="2242" spans="1:9" x14ac:dyDescent="0.35">
      <c r="A2242" s="2">
        <v>45488</v>
      </c>
      <c r="B2242">
        <v>87</v>
      </c>
      <c r="C2242">
        <v>2122003</v>
      </c>
      <c r="D2242" t="s">
        <v>308</v>
      </c>
      <c r="E2242" t="s">
        <v>151</v>
      </c>
      <c r="F2242" s="3">
        <v>0</v>
      </c>
      <c r="G2242" s="3">
        <v>129.47999999999999</v>
      </c>
      <c r="H2242" s="3">
        <v>-129.47999999999999</v>
      </c>
      <c r="I2242" t="s">
        <v>875</v>
      </c>
    </row>
    <row r="2243" spans="1:9" x14ac:dyDescent="0.35">
      <c r="A2243" s="2">
        <v>45488</v>
      </c>
      <c r="B2243">
        <v>87</v>
      </c>
      <c r="C2243">
        <v>2114010</v>
      </c>
      <c r="D2243" t="s">
        <v>48</v>
      </c>
      <c r="E2243" t="s">
        <v>151</v>
      </c>
      <c r="F2243" s="3">
        <v>0</v>
      </c>
      <c r="G2243" s="3">
        <v>6603.48</v>
      </c>
      <c r="H2243" s="3">
        <v>-6603.48</v>
      </c>
      <c r="I2243" t="s">
        <v>875</v>
      </c>
    </row>
    <row r="2244" spans="1:9" x14ac:dyDescent="0.35">
      <c r="A2244" s="2">
        <v>45488</v>
      </c>
      <c r="B2244">
        <v>87</v>
      </c>
      <c r="C2244">
        <v>6121023</v>
      </c>
      <c r="D2244" t="s">
        <v>49</v>
      </c>
      <c r="E2244" t="s">
        <v>172</v>
      </c>
      <c r="F2244" s="3">
        <v>80.819999999999993</v>
      </c>
      <c r="G2244" s="3">
        <v>0</v>
      </c>
      <c r="H2244" s="3">
        <v>80.819999999999993</v>
      </c>
      <c r="I2244" t="s">
        <v>876</v>
      </c>
    </row>
    <row r="2245" spans="1:9" x14ac:dyDescent="0.35">
      <c r="A2245" s="2">
        <v>45488</v>
      </c>
      <c r="B2245">
        <v>87</v>
      </c>
      <c r="C2245">
        <v>2114010</v>
      </c>
      <c r="D2245" t="s">
        <v>48</v>
      </c>
      <c r="E2245" t="s">
        <v>172</v>
      </c>
      <c r="F2245" s="3">
        <v>0</v>
      </c>
      <c r="G2245" s="3">
        <v>80.819999999999993</v>
      </c>
      <c r="H2245" s="3">
        <v>-80.819999999999993</v>
      </c>
      <c r="I2245" t="s">
        <v>876</v>
      </c>
    </row>
    <row r="2246" spans="1:9" x14ac:dyDescent="0.35">
      <c r="A2246" s="2">
        <v>45488</v>
      </c>
      <c r="B2246">
        <v>87</v>
      </c>
      <c r="C2246">
        <v>6121023</v>
      </c>
      <c r="D2246" t="s">
        <v>49</v>
      </c>
      <c r="E2246" t="s">
        <v>159</v>
      </c>
      <c r="F2246" s="3">
        <v>183.07</v>
      </c>
      <c r="G2246" s="3">
        <v>0</v>
      </c>
      <c r="H2246" s="3">
        <v>183.07</v>
      </c>
      <c r="I2246" t="s">
        <v>877</v>
      </c>
    </row>
    <row r="2247" spans="1:9" x14ac:dyDescent="0.35">
      <c r="A2247" s="2">
        <v>45488</v>
      </c>
      <c r="B2247">
        <v>87</v>
      </c>
      <c r="C2247">
        <v>2114010</v>
      </c>
      <c r="D2247" t="s">
        <v>48</v>
      </c>
      <c r="E2247" t="s">
        <v>159</v>
      </c>
      <c r="F2247" s="3">
        <v>0</v>
      </c>
      <c r="G2247" s="3">
        <v>183.07</v>
      </c>
      <c r="H2247" s="3">
        <v>-183.07</v>
      </c>
      <c r="I2247" t="s">
        <v>877</v>
      </c>
    </row>
    <row r="2248" spans="1:9" x14ac:dyDescent="0.35">
      <c r="A2248" s="2">
        <v>45488</v>
      </c>
      <c r="B2248">
        <v>87</v>
      </c>
      <c r="C2248">
        <v>4112003</v>
      </c>
      <c r="D2248" t="s">
        <v>58</v>
      </c>
      <c r="E2248" t="s">
        <v>59</v>
      </c>
      <c r="F2248" s="3">
        <v>0</v>
      </c>
      <c r="G2248" s="3">
        <v>4647.24</v>
      </c>
      <c r="H2248" s="3">
        <v>-4647.24</v>
      </c>
      <c r="I2248" t="s">
        <v>878</v>
      </c>
    </row>
    <row r="2249" spans="1:9" x14ac:dyDescent="0.35">
      <c r="A2249" s="2">
        <v>45488</v>
      </c>
      <c r="B2249">
        <v>87</v>
      </c>
      <c r="C2249">
        <v>2121001</v>
      </c>
      <c r="D2249" t="s">
        <v>27</v>
      </c>
      <c r="E2249" t="s">
        <v>59</v>
      </c>
      <c r="F2249" s="3">
        <v>0</v>
      </c>
      <c r="G2249" s="3">
        <v>743.56</v>
      </c>
      <c r="H2249" s="3">
        <v>-743.56</v>
      </c>
      <c r="I2249" t="s">
        <v>878</v>
      </c>
    </row>
    <row r="2250" spans="1:9" x14ac:dyDescent="0.35">
      <c r="A2250" s="2">
        <v>45488</v>
      </c>
      <c r="B2250">
        <v>87</v>
      </c>
      <c r="C2250">
        <v>1111001</v>
      </c>
      <c r="D2250" t="s">
        <v>16</v>
      </c>
      <c r="E2250" t="s">
        <v>59</v>
      </c>
      <c r="F2250" s="3">
        <v>5390.8</v>
      </c>
      <c r="G2250" s="3">
        <v>0</v>
      </c>
      <c r="H2250" s="3">
        <v>5390.8</v>
      </c>
      <c r="I2250" t="s">
        <v>878</v>
      </c>
    </row>
    <row r="2251" spans="1:9" x14ac:dyDescent="0.35">
      <c r="A2251" s="2">
        <v>45488</v>
      </c>
      <c r="B2251">
        <v>87</v>
      </c>
      <c r="C2251">
        <v>4112003</v>
      </c>
      <c r="D2251" t="s">
        <v>58</v>
      </c>
      <c r="E2251" t="s">
        <v>59</v>
      </c>
      <c r="F2251" s="3">
        <v>0</v>
      </c>
      <c r="G2251" s="3">
        <v>8147.2</v>
      </c>
      <c r="H2251" s="3">
        <v>-8147.2</v>
      </c>
      <c r="I2251" t="s">
        <v>879</v>
      </c>
    </row>
    <row r="2252" spans="1:9" x14ac:dyDescent="0.35">
      <c r="A2252" s="2">
        <v>45488</v>
      </c>
      <c r="B2252">
        <v>87</v>
      </c>
      <c r="C2252">
        <v>2121001</v>
      </c>
      <c r="D2252" t="s">
        <v>27</v>
      </c>
      <c r="E2252" t="s">
        <v>59</v>
      </c>
      <c r="F2252" s="3">
        <v>0</v>
      </c>
      <c r="G2252" s="3">
        <v>1303.55</v>
      </c>
      <c r="H2252" s="3">
        <v>-1303.55</v>
      </c>
      <c r="I2252" t="s">
        <v>879</v>
      </c>
    </row>
    <row r="2253" spans="1:9" x14ac:dyDescent="0.35">
      <c r="A2253" s="2">
        <v>45488</v>
      </c>
      <c r="B2253">
        <v>87</v>
      </c>
      <c r="C2253">
        <v>1111001</v>
      </c>
      <c r="D2253" t="s">
        <v>16</v>
      </c>
      <c r="E2253" t="s">
        <v>59</v>
      </c>
      <c r="F2253" s="3">
        <v>9450.75</v>
      </c>
      <c r="G2253" s="3">
        <v>0</v>
      </c>
      <c r="H2253" s="3">
        <v>9450.75</v>
      </c>
      <c r="I2253" t="s">
        <v>879</v>
      </c>
    </row>
    <row r="2254" spans="1:9" x14ac:dyDescent="0.35">
      <c r="A2254" s="2">
        <v>45488</v>
      </c>
      <c r="B2254">
        <v>87</v>
      </c>
      <c r="C2254">
        <v>4112003</v>
      </c>
      <c r="D2254" t="s">
        <v>58</v>
      </c>
      <c r="E2254" t="s">
        <v>59</v>
      </c>
      <c r="F2254" s="3">
        <v>0</v>
      </c>
      <c r="G2254" s="3">
        <v>6742.9</v>
      </c>
      <c r="H2254" s="3">
        <v>-6742.9</v>
      </c>
      <c r="I2254" t="s">
        <v>880</v>
      </c>
    </row>
    <row r="2255" spans="1:9" x14ac:dyDescent="0.35">
      <c r="A2255" s="2">
        <v>45488</v>
      </c>
      <c r="B2255">
        <v>87</v>
      </c>
      <c r="C2255">
        <v>2121001</v>
      </c>
      <c r="D2255" t="s">
        <v>27</v>
      </c>
      <c r="E2255" t="s">
        <v>59</v>
      </c>
      <c r="F2255" s="3">
        <v>0</v>
      </c>
      <c r="G2255" s="3">
        <v>1078.8599999999999</v>
      </c>
      <c r="H2255" s="3">
        <v>-1078.8599999999999</v>
      </c>
      <c r="I2255" t="s">
        <v>880</v>
      </c>
    </row>
    <row r="2256" spans="1:9" x14ac:dyDescent="0.35">
      <c r="A2256" s="2">
        <v>45488</v>
      </c>
      <c r="B2256">
        <v>87</v>
      </c>
      <c r="C2256">
        <v>1111001</v>
      </c>
      <c r="D2256" t="s">
        <v>16</v>
      </c>
      <c r="E2256" t="s">
        <v>59</v>
      </c>
      <c r="F2256" s="3">
        <v>7821.76</v>
      </c>
      <c r="G2256" s="3">
        <v>0</v>
      </c>
      <c r="H2256" s="3">
        <v>7821.76</v>
      </c>
      <c r="I2256" t="s">
        <v>880</v>
      </c>
    </row>
    <row r="2257" spans="1:9" x14ac:dyDescent="0.35">
      <c r="A2257" s="2">
        <v>45488</v>
      </c>
      <c r="B2257">
        <v>87</v>
      </c>
      <c r="C2257">
        <v>4112003</v>
      </c>
      <c r="D2257" t="s">
        <v>58</v>
      </c>
      <c r="E2257" t="s">
        <v>59</v>
      </c>
      <c r="F2257" s="3">
        <v>0</v>
      </c>
      <c r="G2257" s="3">
        <v>6828.12</v>
      </c>
      <c r="H2257" s="3">
        <v>-6828.12</v>
      </c>
      <c r="I2257" t="s">
        <v>881</v>
      </c>
    </row>
    <row r="2258" spans="1:9" x14ac:dyDescent="0.35">
      <c r="A2258" s="2">
        <v>45488</v>
      </c>
      <c r="B2258">
        <v>87</v>
      </c>
      <c r="C2258">
        <v>2121001</v>
      </c>
      <c r="D2258" t="s">
        <v>27</v>
      </c>
      <c r="E2258" t="s">
        <v>59</v>
      </c>
      <c r="F2258" s="3">
        <v>0</v>
      </c>
      <c r="G2258" s="3">
        <v>1092.5</v>
      </c>
      <c r="H2258" s="3">
        <v>-1092.5</v>
      </c>
      <c r="I2258" t="s">
        <v>881</v>
      </c>
    </row>
    <row r="2259" spans="1:9" x14ac:dyDescent="0.35">
      <c r="A2259" s="2">
        <v>45488</v>
      </c>
      <c r="B2259">
        <v>87</v>
      </c>
      <c r="C2259">
        <v>1111001</v>
      </c>
      <c r="D2259" t="s">
        <v>16</v>
      </c>
      <c r="E2259" t="s">
        <v>59</v>
      </c>
      <c r="F2259" s="3">
        <v>7920.62</v>
      </c>
      <c r="G2259" s="3">
        <v>0</v>
      </c>
      <c r="H2259" s="3">
        <v>7920.62</v>
      </c>
      <c r="I2259" t="s">
        <v>881</v>
      </c>
    </row>
    <row r="2260" spans="1:9" x14ac:dyDescent="0.35">
      <c r="A2260" s="2">
        <v>45488</v>
      </c>
      <c r="B2260">
        <v>87</v>
      </c>
      <c r="C2260">
        <v>4112003</v>
      </c>
      <c r="D2260" t="s">
        <v>58</v>
      </c>
      <c r="E2260" t="s">
        <v>59</v>
      </c>
      <c r="F2260" s="3">
        <v>0</v>
      </c>
      <c r="G2260" s="3">
        <v>6259.08</v>
      </c>
      <c r="H2260" s="3">
        <v>-6259.08</v>
      </c>
      <c r="I2260" t="s">
        <v>882</v>
      </c>
    </row>
    <row r="2261" spans="1:9" x14ac:dyDescent="0.35">
      <c r="A2261" s="2">
        <v>45488</v>
      </c>
      <c r="B2261">
        <v>87</v>
      </c>
      <c r="C2261">
        <v>2121001</v>
      </c>
      <c r="D2261" t="s">
        <v>27</v>
      </c>
      <c r="E2261" t="s">
        <v>59</v>
      </c>
      <c r="F2261" s="3">
        <v>0</v>
      </c>
      <c r="G2261" s="3">
        <v>1001.45</v>
      </c>
      <c r="H2261" s="3">
        <v>-1001.45</v>
      </c>
      <c r="I2261" t="s">
        <v>882</v>
      </c>
    </row>
    <row r="2262" spans="1:9" x14ac:dyDescent="0.35">
      <c r="A2262" s="2">
        <v>45488</v>
      </c>
      <c r="B2262">
        <v>87</v>
      </c>
      <c r="C2262">
        <v>1111001</v>
      </c>
      <c r="D2262" t="s">
        <v>16</v>
      </c>
      <c r="E2262" t="s">
        <v>59</v>
      </c>
      <c r="F2262" s="3">
        <v>7260.53</v>
      </c>
      <c r="G2262" s="3">
        <v>0</v>
      </c>
      <c r="H2262" s="3">
        <v>7260.53</v>
      </c>
      <c r="I2262" t="s">
        <v>882</v>
      </c>
    </row>
    <row r="2263" spans="1:9" x14ac:dyDescent="0.35">
      <c r="A2263" s="2">
        <v>45488</v>
      </c>
      <c r="B2263">
        <v>87</v>
      </c>
      <c r="C2263">
        <v>4112003</v>
      </c>
      <c r="D2263" t="s">
        <v>58</v>
      </c>
      <c r="E2263" t="s">
        <v>59</v>
      </c>
      <c r="F2263" s="3">
        <v>0</v>
      </c>
      <c r="G2263" s="3">
        <v>6353.95</v>
      </c>
      <c r="H2263" s="3">
        <v>-6353.95</v>
      </c>
      <c r="I2263" t="s">
        <v>883</v>
      </c>
    </row>
    <row r="2264" spans="1:9" x14ac:dyDescent="0.35">
      <c r="A2264" s="2">
        <v>45488</v>
      </c>
      <c r="B2264">
        <v>87</v>
      </c>
      <c r="C2264">
        <v>2121001</v>
      </c>
      <c r="D2264" t="s">
        <v>27</v>
      </c>
      <c r="E2264" t="s">
        <v>59</v>
      </c>
      <c r="F2264" s="3">
        <v>0</v>
      </c>
      <c r="G2264" s="3">
        <v>1016.63</v>
      </c>
      <c r="H2264" s="3">
        <v>-1016.63</v>
      </c>
      <c r="I2264" t="s">
        <v>883</v>
      </c>
    </row>
    <row r="2265" spans="1:9" x14ac:dyDescent="0.35">
      <c r="A2265" s="2">
        <v>45488</v>
      </c>
      <c r="B2265">
        <v>87</v>
      </c>
      <c r="C2265">
        <v>1111001</v>
      </c>
      <c r="D2265" t="s">
        <v>16</v>
      </c>
      <c r="E2265" t="s">
        <v>59</v>
      </c>
      <c r="F2265" s="3">
        <v>7370.58</v>
      </c>
      <c r="G2265" s="3">
        <v>0</v>
      </c>
      <c r="H2265" s="3">
        <v>7370.58</v>
      </c>
      <c r="I2265" t="s">
        <v>883</v>
      </c>
    </row>
    <row r="2266" spans="1:9" x14ac:dyDescent="0.35">
      <c r="A2266" s="2">
        <v>45488</v>
      </c>
      <c r="B2266">
        <v>87</v>
      </c>
      <c r="C2266">
        <v>4112003</v>
      </c>
      <c r="D2266" t="s">
        <v>58</v>
      </c>
      <c r="E2266" t="s">
        <v>59</v>
      </c>
      <c r="F2266" s="3">
        <v>0</v>
      </c>
      <c r="G2266" s="3">
        <v>1422.47</v>
      </c>
      <c r="H2266" s="3">
        <v>-1422.47</v>
      </c>
      <c r="I2266" t="s">
        <v>884</v>
      </c>
    </row>
    <row r="2267" spans="1:9" x14ac:dyDescent="0.35">
      <c r="A2267" s="2">
        <v>45488</v>
      </c>
      <c r="B2267">
        <v>87</v>
      </c>
      <c r="C2267">
        <v>2121001</v>
      </c>
      <c r="D2267" t="s">
        <v>27</v>
      </c>
      <c r="E2267" t="s">
        <v>59</v>
      </c>
      <c r="F2267" s="3">
        <v>0</v>
      </c>
      <c r="G2267" s="3">
        <v>227.6</v>
      </c>
      <c r="H2267" s="3">
        <v>-227.6</v>
      </c>
      <c r="I2267" t="s">
        <v>884</v>
      </c>
    </row>
    <row r="2268" spans="1:9" x14ac:dyDescent="0.35">
      <c r="A2268" s="2">
        <v>45488</v>
      </c>
      <c r="B2268">
        <v>87</v>
      </c>
      <c r="C2268">
        <v>1111001</v>
      </c>
      <c r="D2268" t="s">
        <v>16</v>
      </c>
      <c r="E2268" t="s">
        <v>59</v>
      </c>
      <c r="F2268" s="3">
        <v>1650.07</v>
      </c>
      <c r="G2268" s="3">
        <v>0</v>
      </c>
      <c r="H2268" s="3">
        <v>1650.07</v>
      </c>
      <c r="I2268" t="s">
        <v>884</v>
      </c>
    </row>
    <row r="2269" spans="1:9" x14ac:dyDescent="0.35">
      <c r="A2269" s="2">
        <v>45488</v>
      </c>
      <c r="B2269">
        <v>87</v>
      </c>
      <c r="C2269">
        <v>4112003</v>
      </c>
      <c r="D2269" t="s">
        <v>58</v>
      </c>
      <c r="E2269" t="s">
        <v>59</v>
      </c>
      <c r="F2269" s="3">
        <v>0</v>
      </c>
      <c r="G2269" s="3">
        <v>4836.76</v>
      </c>
      <c r="H2269" s="3">
        <v>-4836.76</v>
      </c>
      <c r="I2269" t="s">
        <v>885</v>
      </c>
    </row>
    <row r="2270" spans="1:9" x14ac:dyDescent="0.35">
      <c r="A2270" s="2">
        <v>45488</v>
      </c>
      <c r="B2270">
        <v>87</v>
      </c>
      <c r="C2270">
        <v>2121001</v>
      </c>
      <c r="D2270" t="s">
        <v>27</v>
      </c>
      <c r="E2270" t="s">
        <v>59</v>
      </c>
      <c r="F2270" s="3">
        <v>0</v>
      </c>
      <c r="G2270" s="3">
        <v>773.88</v>
      </c>
      <c r="H2270" s="3">
        <v>-773.88</v>
      </c>
      <c r="I2270" t="s">
        <v>885</v>
      </c>
    </row>
    <row r="2271" spans="1:9" x14ac:dyDescent="0.35">
      <c r="A2271" s="2">
        <v>45488</v>
      </c>
      <c r="B2271">
        <v>87</v>
      </c>
      <c r="C2271">
        <v>1111001</v>
      </c>
      <c r="D2271" t="s">
        <v>16</v>
      </c>
      <c r="E2271" t="s">
        <v>59</v>
      </c>
      <c r="F2271" s="3">
        <v>5610.64</v>
      </c>
      <c r="G2271" s="3">
        <v>0</v>
      </c>
      <c r="H2271" s="3">
        <v>5610.64</v>
      </c>
      <c r="I2271" t="s">
        <v>885</v>
      </c>
    </row>
    <row r="2272" spans="1:9" x14ac:dyDescent="0.35">
      <c r="A2272" s="2">
        <v>45488</v>
      </c>
      <c r="B2272">
        <v>87</v>
      </c>
      <c r="C2272">
        <v>4112003</v>
      </c>
      <c r="D2272" t="s">
        <v>58</v>
      </c>
      <c r="E2272" t="s">
        <v>59</v>
      </c>
      <c r="F2272" s="3">
        <v>0</v>
      </c>
      <c r="G2272" s="3">
        <v>5785.22</v>
      </c>
      <c r="H2272" s="3">
        <v>-5785.22</v>
      </c>
      <c r="I2272" t="s">
        <v>886</v>
      </c>
    </row>
    <row r="2273" spans="1:9" x14ac:dyDescent="0.35">
      <c r="A2273" s="2">
        <v>45488</v>
      </c>
      <c r="B2273">
        <v>87</v>
      </c>
      <c r="C2273">
        <v>2121001</v>
      </c>
      <c r="D2273" t="s">
        <v>27</v>
      </c>
      <c r="E2273" t="s">
        <v>59</v>
      </c>
      <c r="F2273" s="3">
        <v>0</v>
      </c>
      <c r="G2273" s="3">
        <v>925.64</v>
      </c>
      <c r="H2273" s="3">
        <v>-925.64</v>
      </c>
      <c r="I2273" t="s">
        <v>886</v>
      </c>
    </row>
    <row r="2274" spans="1:9" x14ac:dyDescent="0.35">
      <c r="A2274" s="2">
        <v>45488</v>
      </c>
      <c r="B2274">
        <v>87</v>
      </c>
      <c r="C2274">
        <v>1111001</v>
      </c>
      <c r="D2274" t="s">
        <v>16</v>
      </c>
      <c r="E2274" t="s">
        <v>59</v>
      </c>
      <c r="F2274" s="3">
        <v>6710.86</v>
      </c>
      <c r="G2274" s="3">
        <v>0</v>
      </c>
      <c r="H2274" s="3">
        <v>6710.86</v>
      </c>
      <c r="I2274" t="s">
        <v>886</v>
      </c>
    </row>
    <row r="2275" spans="1:9" x14ac:dyDescent="0.35">
      <c r="A2275" s="2">
        <v>45488</v>
      </c>
      <c r="B2275">
        <v>87</v>
      </c>
      <c r="C2275">
        <v>4112003</v>
      </c>
      <c r="D2275" t="s">
        <v>58</v>
      </c>
      <c r="E2275" t="s">
        <v>59</v>
      </c>
      <c r="F2275" s="3">
        <v>0</v>
      </c>
      <c r="G2275" s="3">
        <v>4656.62</v>
      </c>
      <c r="H2275" s="3">
        <v>-4656.62</v>
      </c>
      <c r="I2275" t="s">
        <v>887</v>
      </c>
    </row>
    <row r="2276" spans="1:9" x14ac:dyDescent="0.35">
      <c r="A2276" s="2">
        <v>45488</v>
      </c>
      <c r="B2276">
        <v>87</v>
      </c>
      <c r="C2276">
        <v>2121001</v>
      </c>
      <c r="D2276" t="s">
        <v>27</v>
      </c>
      <c r="E2276" t="s">
        <v>59</v>
      </c>
      <c r="F2276" s="3">
        <v>0</v>
      </c>
      <c r="G2276" s="3">
        <v>745.06</v>
      </c>
      <c r="H2276" s="3">
        <v>-745.06</v>
      </c>
      <c r="I2276" t="s">
        <v>887</v>
      </c>
    </row>
    <row r="2277" spans="1:9" x14ac:dyDescent="0.35">
      <c r="A2277" s="2">
        <v>45488</v>
      </c>
      <c r="B2277">
        <v>87</v>
      </c>
      <c r="C2277">
        <v>1111001</v>
      </c>
      <c r="D2277" t="s">
        <v>16</v>
      </c>
      <c r="E2277" t="s">
        <v>59</v>
      </c>
      <c r="F2277" s="3">
        <v>5401.68</v>
      </c>
      <c r="G2277" s="3">
        <v>0</v>
      </c>
      <c r="H2277" s="3">
        <v>5401.68</v>
      </c>
      <c r="I2277" t="s">
        <v>887</v>
      </c>
    </row>
    <row r="2278" spans="1:9" x14ac:dyDescent="0.35">
      <c r="A2278" s="2">
        <v>45488</v>
      </c>
      <c r="B2278">
        <v>87</v>
      </c>
      <c r="C2278">
        <v>4112003</v>
      </c>
      <c r="D2278" t="s">
        <v>58</v>
      </c>
      <c r="E2278" t="s">
        <v>59</v>
      </c>
      <c r="F2278" s="3">
        <v>0</v>
      </c>
      <c r="G2278" s="3">
        <v>4855.78</v>
      </c>
      <c r="H2278" s="3">
        <v>-4855.78</v>
      </c>
      <c r="I2278" t="s">
        <v>888</v>
      </c>
    </row>
    <row r="2279" spans="1:9" x14ac:dyDescent="0.35">
      <c r="A2279" s="2">
        <v>45488</v>
      </c>
      <c r="B2279">
        <v>87</v>
      </c>
      <c r="C2279">
        <v>2121001</v>
      </c>
      <c r="D2279" t="s">
        <v>27</v>
      </c>
      <c r="E2279" t="s">
        <v>59</v>
      </c>
      <c r="F2279" s="3">
        <v>0</v>
      </c>
      <c r="G2279" s="3">
        <v>776.92</v>
      </c>
      <c r="H2279" s="3">
        <v>-776.92</v>
      </c>
      <c r="I2279" t="s">
        <v>888</v>
      </c>
    </row>
    <row r="2280" spans="1:9" x14ac:dyDescent="0.35">
      <c r="A2280" s="2">
        <v>45488</v>
      </c>
      <c r="B2280">
        <v>87</v>
      </c>
      <c r="C2280">
        <v>1111001</v>
      </c>
      <c r="D2280" t="s">
        <v>16</v>
      </c>
      <c r="E2280" t="s">
        <v>59</v>
      </c>
      <c r="F2280" s="3">
        <v>5632.7</v>
      </c>
      <c r="G2280" s="3">
        <v>0</v>
      </c>
      <c r="H2280" s="3">
        <v>5632.7</v>
      </c>
      <c r="I2280" t="s">
        <v>888</v>
      </c>
    </row>
    <row r="2281" spans="1:9" x14ac:dyDescent="0.35">
      <c r="A2281" s="2">
        <v>45488</v>
      </c>
      <c r="B2281">
        <v>87</v>
      </c>
      <c r="C2281">
        <v>4112003</v>
      </c>
      <c r="D2281" t="s">
        <v>58</v>
      </c>
      <c r="E2281" t="s">
        <v>59</v>
      </c>
      <c r="F2281" s="3">
        <v>0</v>
      </c>
      <c r="G2281" s="3">
        <v>5690.24</v>
      </c>
      <c r="H2281" s="3">
        <v>-5690.24</v>
      </c>
      <c r="I2281" t="s">
        <v>889</v>
      </c>
    </row>
    <row r="2282" spans="1:9" x14ac:dyDescent="0.35">
      <c r="A2282" s="2">
        <v>45488</v>
      </c>
      <c r="B2282">
        <v>87</v>
      </c>
      <c r="C2282">
        <v>2121001</v>
      </c>
      <c r="D2282" t="s">
        <v>27</v>
      </c>
      <c r="E2282" t="s">
        <v>59</v>
      </c>
      <c r="F2282" s="3">
        <v>0</v>
      </c>
      <c r="G2282" s="3">
        <v>910.44</v>
      </c>
      <c r="H2282" s="3">
        <v>-910.44</v>
      </c>
      <c r="I2282" t="s">
        <v>889</v>
      </c>
    </row>
    <row r="2283" spans="1:9" x14ac:dyDescent="0.35">
      <c r="A2283" s="2">
        <v>45488</v>
      </c>
      <c r="B2283">
        <v>87</v>
      </c>
      <c r="C2283">
        <v>1111001</v>
      </c>
      <c r="D2283" t="s">
        <v>16</v>
      </c>
      <c r="E2283" t="s">
        <v>59</v>
      </c>
      <c r="F2283" s="3">
        <v>6600.68</v>
      </c>
      <c r="G2283" s="3">
        <v>0</v>
      </c>
      <c r="H2283" s="3">
        <v>6600.68</v>
      </c>
      <c r="I2283" t="s">
        <v>889</v>
      </c>
    </row>
    <row r="2284" spans="1:9" x14ac:dyDescent="0.35">
      <c r="A2284" s="2">
        <v>45488</v>
      </c>
      <c r="B2284">
        <v>87</v>
      </c>
      <c r="C2284">
        <v>4112003</v>
      </c>
      <c r="D2284" t="s">
        <v>58</v>
      </c>
      <c r="E2284" t="s">
        <v>59</v>
      </c>
      <c r="F2284" s="3">
        <v>0</v>
      </c>
      <c r="G2284" s="3">
        <v>4552.08</v>
      </c>
      <c r="H2284" s="3">
        <v>-4552.08</v>
      </c>
      <c r="I2284" t="s">
        <v>890</v>
      </c>
    </row>
    <row r="2285" spans="1:9" x14ac:dyDescent="0.35">
      <c r="A2285" s="2">
        <v>45488</v>
      </c>
      <c r="B2285">
        <v>87</v>
      </c>
      <c r="C2285">
        <v>2121001</v>
      </c>
      <c r="D2285" t="s">
        <v>27</v>
      </c>
      <c r="E2285" t="s">
        <v>59</v>
      </c>
      <c r="F2285" s="3">
        <v>0</v>
      </c>
      <c r="G2285" s="3">
        <v>728.33</v>
      </c>
      <c r="H2285" s="3">
        <v>-728.33</v>
      </c>
      <c r="I2285" t="s">
        <v>890</v>
      </c>
    </row>
    <row r="2286" spans="1:9" x14ac:dyDescent="0.35">
      <c r="A2286" s="2">
        <v>45488</v>
      </c>
      <c r="B2286">
        <v>87</v>
      </c>
      <c r="C2286">
        <v>1111001</v>
      </c>
      <c r="D2286" t="s">
        <v>16</v>
      </c>
      <c r="E2286" t="s">
        <v>59</v>
      </c>
      <c r="F2286" s="3">
        <v>5280.41</v>
      </c>
      <c r="G2286" s="3">
        <v>0</v>
      </c>
      <c r="H2286" s="3">
        <v>5280.41</v>
      </c>
      <c r="I2286" t="s">
        <v>890</v>
      </c>
    </row>
    <row r="2287" spans="1:9" x14ac:dyDescent="0.35">
      <c r="A2287" s="2">
        <v>45488</v>
      </c>
      <c r="B2287">
        <v>87</v>
      </c>
      <c r="C2287">
        <v>4112003</v>
      </c>
      <c r="D2287" t="s">
        <v>58</v>
      </c>
      <c r="E2287" t="s">
        <v>59</v>
      </c>
      <c r="F2287" s="3">
        <v>0</v>
      </c>
      <c r="G2287" s="3">
        <v>3319.4</v>
      </c>
      <c r="H2287" s="3">
        <v>-3319.4</v>
      </c>
      <c r="I2287" t="s">
        <v>891</v>
      </c>
    </row>
    <row r="2288" spans="1:9" x14ac:dyDescent="0.35">
      <c r="A2288" s="2">
        <v>45488</v>
      </c>
      <c r="B2288">
        <v>87</v>
      </c>
      <c r="C2288">
        <v>2121001</v>
      </c>
      <c r="D2288" t="s">
        <v>27</v>
      </c>
      <c r="E2288" t="s">
        <v>59</v>
      </c>
      <c r="F2288" s="3">
        <v>0</v>
      </c>
      <c r="G2288" s="3">
        <v>531.1</v>
      </c>
      <c r="H2288" s="3">
        <v>-531.1</v>
      </c>
      <c r="I2288" t="s">
        <v>891</v>
      </c>
    </row>
    <row r="2289" spans="1:9" x14ac:dyDescent="0.35">
      <c r="A2289" s="2">
        <v>45488</v>
      </c>
      <c r="B2289">
        <v>87</v>
      </c>
      <c r="C2289">
        <v>1111001</v>
      </c>
      <c r="D2289" t="s">
        <v>16</v>
      </c>
      <c r="E2289" t="s">
        <v>59</v>
      </c>
      <c r="F2289" s="3">
        <v>3850.5</v>
      </c>
      <c r="G2289" s="3">
        <v>0</v>
      </c>
      <c r="H2289" s="3">
        <v>3850.5</v>
      </c>
      <c r="I2289" t="s">
        <v>891</v>
      </c>
    </row>
    <row r="2290" spans="1:9" x14ac:dyDescent="0.35">
      <c r="A2290" s="2">
        <v>45488</v>
      </c>
      <c r="B2290">
        <v>87</v>
      </c>
      <c r="C2290">
        <v>4112003</v>
      </c>
      <c r="D2290" t="s">
        <v>58</v>
      </c>
      <c r="E2290" t="s">
        <v>59</v>
      </c>
      <c r="F2290" s="3">
        <v>0</v>
      </c>
      <c r="G2290" s="3">
        <v>4267.7299999999996</v>
      </c>
      <c r="H2290" s="3">
        <v>-4267.7299999999996</v>
      </c>
      <c r="I2290" t="s">
        <v>892</v>
      </c>
    </row>
    <row r="2291" spans="1:9" x14ac:dyDescent="0.35">
      <c r="A2291" s="2">
        <v>45488</v>
      </c>
      <c r="B2291">
        <v>87</v>
      </c>
      <c r="C2291">
        <v>2121001</v>
      </c>
      <c r="D2291" t="s">
        <v>27</v>
      </c>
      <c r="E2291" t="s">
        <v>59</v>
      </c>
      <c r="F2291" s="3">
        <v>0</v>
      </c>
      <c r="G2291" s="3">
        <v>682.84</v>
      </c>
      <c r="H2291" s="3">
        <v>-682.84</v>
      </c>
      <c r="I2291" t="s">
        <v>892</v>
      </c>
    </row>
    <row r="2292" spans="1:9" x14ac:dyDescent="0.35">
      <c r="A2292" s="2">
        <v>45488</v>
      </c>
      <c r="B2292">
        <v>87</v>
      </c>
      <c r="C2292">
        <v>1111001</v>
      </c>
      <c r="D2292" t="s">
        <v>16</v>
      </c>
      <c r="E2292" t="s">
        <v>59</v>
      </c>
      <c r="F2292" s="3">
        <v>4950.57</v>
      </c>
      <c r="G2292" s="3">
        <v>0</v>
      </c>
      <c r="H2292" s="3">
        <v>4950.57</v>
      </c>
      <c r="I2292" t="s">
        <v>892</v>
      </c>
    </row>
    <row r="2293" spans="1:9" x14ac:dyDescent="0.35">
      <c r="A2293" s="2">
        <v>45488</v>
      </c>
      <c r="B2293">
        <v>87</v>
      </c>
      <c r="C2293">
        <v>4112004</v>
      </c>
      <c r="D2293" t="s">
        <v>74</v>
      </c>
      <c r="E2293" t="s">
        <v>197</v>
      </c>
      <c r="F2293" s="3">
        <v>0</v>
      </c>
      <c r="G2293" s="3">
        <v>15673.46</v>
      </c>
      <c r="H2293" s="3">
        <v>-15673.46</v>
      </c>
      <c r="I2293" t="s">
        <v>893</v>
      </c>
    </row>
    <row r="2294" spans="1:9" x14ac:dyDescent="0.35">
      <c r="A2294" s="2">
        <v>45488</v>
      </c>
      <c r="B2294">
        <v>87</v>
      </c>
      <c r="C2294">
        <v>2121001</v>
      </c>
      <c r="D2294" t="s">
        <v>27</v>
      </c>
      <c r="E2294" t="s">
        <v>197</v>
      </c>
      <c r="F2294" s="3">
        <v>0</v>
      </c>
      <c r="G2294" s="3">
        <v>2507.75</v>
      </c>
      <c r="H2294" s="3">
        <v>-2507.75</v>
      </c>
      <c r="I2294" t="s">
        <v>893</v>
      </c>
    </row>
    <row r="2295" spans="1:9" x14ac:dyDescent="0.35">
      <c r="A2295" s="2">
        <v>45488</v>
      </c>
      <c r="B2295">
        <v>87</v>
      </c>
      <c r="C2295">
        <v>1141002</v>
      </c>
      <c r="D2295" t="s">
        <v>23</v>
      </c>
      <c r="E2295" t="s">
        <v>197</v>
      </c>
      <c r="F2295" s="3">
        <v>1880.82</v>
      </c>
      <c r="G2295" s="3">
        <v>0</v>
      </c>
      <c r="H2295" s="3">
        <v>1880.82</v>
      </c>
      <c r="I2295" t="s">
        <v>1438</v>
      </c>
    </row>
    <row r="2296" spans="1:9" x14ac:dyDescent="0.35">
      <c r="A2296" s="2">
        <v>45488</v>
      </c>
      <c r="B2296">
        <v>87</v>
      </c>
      <c r="C2296">
        <v>1142001</v>
      </c>
      <c r="D2296" t="s">
        <v>199</v>
      </c>
      <c r="E2296" t="s">
        <v>197</v>
      </c>
      <c r="F2296" s="3">
        <v>313.47000000000003</v>
      </c>
      <c r="G2296" s="3">
        <v>0</v>
      </c>
      <c r="H2296" s="3">
        <v>313.47000000000003</v>
      </c>
      <c r="I2296" t="s">
        <v>893</v>
      </c>
    </row>
    <row r="2297" spans="1:9" x14ac:dyDescent="0.35">
      <c r="A2297" s="2">
        <v>45488</v>
      </c>
      <c r="B2297">
        <v>87</v>
      </c>
      <c r="C2297">
        <v>6121040</v>
      </c>
      <c r="D2297" t="s">
        <v>98</v>
      </c>
      <c r="E2297" t="s">
        <v>197</v>
      </c>
      <c r="F2297" s="3">
        <v>363.62</v>
      </c>
      <c r="G2297" s="3">
        <v>0</v>
      </c>
      <c r="H2297" s="3">
        <v>363.62</v>
      </c>
      <c r="I2297" t="s">
        <v>893</v>
      </c>
    </row>
    <row r="2298" spans="1:9" x14ac:dyDescent="0.35">
      <c r="A2298" s="2">
        <v>45488</v>
      </c>
      <c r="B2298">
        <v>87</v>
      </c>
      <c r="C2298">
        <v>1111001</v>
      </c>
      <c r="D2298" t="s">
        <v>16</v>
      </c>
      <c r="E2298" t="s">
        <v>197</v>
      </c>
      <c r="F2298" s="3">
        <v>15623.3</v>
      </c>
      <c r="G2298" s="3">
        <v>0</v>
      </c>
      <c r="H2298" s="3">
        <v>15623.3</v>
      </c>
      <c r="I2298" t="s">
        <v>893</v>
      </c>
    </row>
    <row r="2299" spans="1:9" x14ac:dyDescent="0.35">
      <c r="A2299" s="2">
        <v>45488</v>
      </c>
      <c r="B2299">
        <v>87</v>
      </c>
      <c r="C2299">
        <v>4112004</v>
      </c>
      <c r="D2299" t="s">
        <v>74</v>
      </c>
      <c r="E2299" t="s">
        <v>197</v>
      </c>
      <c r="F2299" s="3">
        <v>0</v>
      </c>
      <c r="G2299" s="3">
        <v>21956.89</v>
      </c>
      <c r="H2299" s="3">
        <v>-21956.89</v>
      </c>
      <c r="I2299" t="s">
        <v>894</v>
      </c>
    </row>
    <row r="2300" spans="1:9" x14ac:dyDescent="0.35">
      <c r="A2300" s="2">
        <v>45488</v>
      </c>
      <c r="B2300">
        <v>87</v>
      </c>
      <c r="C2300">
        <v>2121001</v>
      </c>
      <c r="D2300" t="s">
        <v>27</v>
      </c>
      <c r="E2300" t="s">
        <v>197</v>
      </c>
      <c r="F2300" s="3">
        <v>0</v>
      </c>
      <c r="G2300" s="3">
        <v>3513.1</v>
      </c>
      <c r="H2300" s="3">
        <v>-3513.1</v>
      </c>
      <c r="I2300" t="s">
        <v>894</v>
      </c>
    </row>
    <row r="2301" spans="1:9" x14ac:dyDescent="0.35">
      <c r="A2301" s="2">
        <v>45488</v>
      </c>
      <c r="B2301">
        <v>87</v>
      </c>
      <c r="C2301">
        <v>1141002</v>
      </c>
      <c r="D2301" t="s">
        <v>23</v>
      </c>
      <c r="E2301" t="s">
        <v>197</v>
      </c>
      <c r="F2301" s="3">
        <v>2634.83</v>
      </c>
      <c r="G2301" s="3">
        <v>0</v>
      </c>
      <c r="H2301" s="3">
        <v>2634.83</v>
      </c>
      <c r="I2301" t="s">
        <v>894</v>
      </c>
    </row>
    <row r="2302" spans="1:9" x14ac:dyDescent="0.35">
      <c r="A2302" s="2">
        <v>45488</v>
      </c>
      <c r="B2302">
        <v>87</v>
      </c>
      <c r="C2302">
        <v>1142001</v>
      </c>
      <c r="D2302" t="s">
        <v>199</v>
      </c>
      <c r="E2302" t="s">
        <v>197</v>
      </c>
      <c r="F2302" s="3">
        <v>439.14</v>
      </c>
      <c r="G2302" s="3">
        <v>0</v>
      </c>
      <c r="H2302" s="3">
        <v>439.14</v>
      </c>
      <c r="I2302" t="s">
        <v>894</v>
      </c>
    </row>
    <row r="2303" spans="1:9" x14ac:dyDescent="0.35">
      <c r="A2303" s="2">
        <v>45488</v>
      </c>
      <c r="B2303">
        <v>87</v>
      </c>
      <c r="C2303">
        <v>6121040</v>
      </c>
      <c r="D2303" t="s">
        <v>98</v>
      </c>
      <c r="E2303" t="s">
        <v>197</v>
      </c>
      <c r="F2303" s="3">
        <v>509.4</v>
      </c>
      <c r="G2303" s="3">
        <v>0</v>
      </c>
      <c r="H2303" s="3">
        <v>509.4</v>
      </c>
      <c r="I2303" t="s">
        <v>894</v>
      </c>
    </row>
    <row r="2304" spans="1:9" x14ac:dyDescent="0.35">
      <c r="A2304" s="2">
        <v>45488</v>
      </c>
      <c r="B2304">
        <v>87</v>
      </c>
      <c r="C2304">
        <v>1111001</v>
      </c>
      <c r="D2304" t="s">
        <v>16</v>
      </c>
      <c r="E2304" t="s">
        <v>197</v>
      </c>
      <c r="F2304" s="3">
        <v>21886.62</v>
      </c>
      <c r="G2304" s="3">
        <v>0</v>
      </c>
      <c r="H2304" s="3">
        <v>21886.62</v>
      </c>
      <c r="I2304" t="s">
        <v>894</v>
      </c>
    </row>
    <row r="2305" spans="1:9" x14ac:dyDescent="0.35">
      <c r="A2305" s="2">
        <v>45488</v>
      </c>
      <c r="B2305">
        <v>87</v>
      </c>
      <c r="C2305">
        <v>1142004</v>
      </c>
      <c r="D2305" t="s">
        <v>83</v>
      </c>
      <c r="E2305" t="s">
        <v>502</v>
      </c>
      <c r="F2305" s="3">
        <v>1159.95</v>
      </c>
      <c r="G2305" s="3">
        <v>0</v>
      </c>
      <c r="H2305" s="3">
        <v>1159.95</v>
      </c>
      <c r="I2305" t="s">
        <v>503</v>
      </c>
    </row>
    <row r="2306" spans="1:9" x14ac:dyDescent="0.35">
      <c r="A2306" s="2">
        <v>45488</v>
      </c>
      <c r="B2306">
        <v>87</v>
      </c>
      <c r="C2306">
        <v>2124004</v>
      </c>
      <c r="D2306" t="s">
        <v>29</v>
      </c>
      <c r="E2306" t="s">
        <v>502</v>
      </c>
      <c r="F2306" s="3">
        <v>0</v>
      </c>
      <c r="G2306" s="3">
        <v>1159.95</v>
      </c>
      <c r="H2306" s="3">
        <v>-1159.95</v>
      </c>
      <c r="I2306" t="s">
        <v>503</v>
      </c>
    </row>
    <row r="2307" spans="1:9" x14ac:dyDescent="0.35">
      <c r="A2307" s="2">
        <v>45488</v>
      </c>
      <c r="B2307">
        <v>87</v>
      </c>
      <c r="C2307">
        <v>2121001</v>
      </c>
      <c r="D2307" t="s">
        <v>27</v>
      </c>
      <c r="E2307" t="s">
        <v>501</v>
      </c>
      <c r="F2307" s="3">
        <v>18559.21</v>
      </c>
      <c r="G2307" s="3">
        <v>0</v>
      </c>
      <c r="H2307" s="3">
        <v>18559.21</v>
      </c>
      <c r="I2307" t="s">
        <v>82</v>
      </c>
    </row>
    <row r="2308" spans="1:9" x14ac:dyDescent="0.35">
      <c r="A2308" s="2">
        <v>45488</v>
      </c>
      <c r="B2308">
        <v>87</v>
      </c>
      <c r="C2308">
        <v>1141001</v>
      </c>
      <c r="D2308" t="s">
        <v>153</v>
      </c>
      <c r="E2308" t="s">
        <v>501</v>
      </c>
      <c r="F2308" s="3">
        <v>0</v>
      </c>
      <c r="G2308" s="3">
        <v>1035.8399999999999</v>
      </c>
      <c r="H2308" s="3">
        <v>-1035.8399999999999</v>
      </c>
      <c r="I2308" t="s">
        <v>82</v>
      </c>
    </row>
    <row r="2309" spans="1:9" x14ac:dyDescent="0.35">
      <c r="A2309" s="2">
        <v>45488</v>
      </c>
      <c r="B2309">
        <v>87</v>
      </c>
      <c r="C2309">
        <v>1141002</v>
      </c>
      <c r="D2309" t="s">
        <v>23</v>
      </c>
      <c r="E2309" t="s">
        <v>501</v>
      </c>
      <c r="F2309" s="3">
        <v>0</v>
      </c>
      <c r="G2309" s="3">
        <v>4515.6499999999996</v>
      </c>
      <c r="H2309" s="3">
        <v>-4515.6499999999996</v>
      </c>
      <c r="I2309" t="s">
        <v>82</v>
      </c>
    </row>
    <row r="2310" spans="1:9" x14ac:dyDescent="0.35">
      <c r="A2310" s="2">
        <v>45488</v>
      </c>
      <c r="B2310">
        <v>87</v>
      </c>
      <c r="C2310">
        <v>2121003</v>
      </c>
      <c r="D2310" t="s">
        <v>28</v>
      </c>
      <c r="E2310" t="s">
        <v>501</v>
      </c>
      <c r="F2310" s="3">
        <v>0</v>
      </c>
      <c r="G2310" s="3">
        <v>13007.72</v>
      </c>
      <c r="H2310" s="3">
        <v>-13007.72</v>
      </c>
      <c r="I2310" t="s">
        <v>82</v>
      </c>
    </row>
    <row r="2311" spans="1:9" x14ac:dyDescent="0.35">
      <c r="A2311" s="2">
        <v>45488</v>
      </c>
      <c r="B2311">
        <v>87</v>
      </c>
      <c r="C2311">
        <v>5131001</v>
      </c>
      <c r="D2311" t="s">
        <v>86</v>
      </c>
      <c r="E2311" t="s">
        <v>895</v>
      </c>
      <c r="F2311" s="3">
        <v>520</v>
      </c>
      <c r="G2311" s="3">
        <v>0</v>
      </c>
      <c r="H2311" s="3">
        <v>520</v>
      </c>
      <c r="I2311" t="s">
        <v>574</v>
      </c>
    </row>
    <row r="2312" spans="1:9" x14ac:dyDescent="0.35">
      <c r="A2312" s="2">
        <v>45488</v>
      </c>
      <c r="B2312">
        <v>87</v>
      </c>
      <c r="C2312">
        <v>5131005</v>
      </c>
      <c r="D2312" t="s">
        <v>205</v>
      </c>
      <c r="E2312" t="s">
        <v>895</v>
      </c>
      <c r="F2312" s="3">
        <v>5841.6</v>
      </c>
      <c r="G2312" s="3">
        <v>0</v>
      </c>
      <c r="H2312" s="3">
        <v>5841.6</v>
      </c>
      <c r="I2312" t="s">
        <v>574</v>
      </c>
    </row>
    <row r="2313" spans="1:9" x14ac:dyDescent="0.35">
      <c r="A2313" s="2">
        <v>45488</v>
      </c>
      <c r="B2313">
        <v>87</v>
      </c>
      <c r="C2313">
        <v>5131008</v>
      </c>
      <c r="D2313" t="s">
        <v>89</v>
      </c>
      <c r="E2313" t="s">
        <v>895</v>
      </c>
      <c r="F2313" s="3">
        <v>109.2</v>
      </c>
      <c r="G2313" s="3">
        <v>0</v>
      </c>
      <c r="H2313" s="3">
        <v>109.2</v>
      </c>
      <c r="I2313" t="s">
        <v>574</v>
      </c>
    </row>
    <row r="2314" spans="1:9" x14ac:dyDescent="0.35">
      <c r="A2314" s="2">
        <v>45488</v>
      </c>
      <c r="B2314">
        <v>87</v>
      </c>
      <c r="C2314">
        <v>5131009</v>
      </c>
      <c r="D2314" t="s">
        <v>90</v>
      </c>
      <c r="E2314" t="s">
        <v>895</v>
      </c>
      <c r="F2314" s="3">
        <v>21.67</v>
      </c>
      <c r="G2314" s="3">
        <v>0</v>
      </c>
      <c r="H2314" s="3">
        <v>21.67</v>
      </c>
      <c r="I2314" t="s">
        <v>574</v>
      </c>
    </row>
    <row r="2315" spans="1:9" x14ac:dyDescent="0.35">
      <c r="A2315" s="2">
        <v>45488</v>
      </c>
      <c r="B2315">
        <v>87</v>
      </c>
      <c r="C2315">
        <v>5131010</v>
      </c>
      <c r="D2315" t="s">
        <v>91</v>
      </c>
      <c r="E2315" t="s">
        <v>895</v>
      </c>
      <c r="F2315" s="3">
        <v>43.33</v>
      </c>
      <c r="G2315" s="3">
        <v>0</v>
      </c>
      <c r="H2315" s="3">
        <v>43.33</v>
      </c>
      <c r="I2315" t="s">
        <v>574</v>
      </c>
    </row>
    <row r="2316" spans="1:9" x14ac:dyDescent="0.35">
      <c r="A2316" s="2">
        <v>45488</v>
      </c>
      <c r="B2316">
        <v>87</v>
      </c>
      <c r="C2316">
        <v>5131012</v>
      </c>
      <c r="D2316" t="s">
        <v>206</v>
      </c>
      <c r="E2316" t="s">
        <v>895</v>
      </c>
      <c r="F2316" s="3">
        <v>57.2</v>
      </c>
      <c r="G2316" s="3">
        <v>0</v>
      </c>
      <c r="H2316" s="3">
        <v>57.2</v>
      </c>
      <c r="I2316" t="s">
        <v>574</v>
      </c>
    </row>
    <row r="2317" spans="1:9" x14ac:dyDescent="0.35">
      <c r="A2317" s="2">
        <v>45488</v>
      </c>
      <c r="B2317">
        <v>87</v>
      </c>
      <c r="C2317">
        <v>5131013</v>
      </c>
      <c r="D2317" t="s">
        <v>92</v>
      </c>
      <c r="E2317" t="s">
        <v>895</v>
      </c>
      <c r="F2317" s="3">
        <v>10.4</v>
      </c>
      <c r="G2317" s="3">
        <v>0</v>
      </c>
      <c r="H2317" s="3">
        <v>10.4</v>
      </c>
      <c r="I2317" t="s">
        <v>574</v>
      </c>
    </row>
    <row r="2318" spans="1:9" x14ac:dyDescent="0.35">
      <c r="A2318" s="2">
        <v>45488</v>
      </c>
      <c r="B2318">
        <v>87</v>
      </c>
      <c r="C2318">
        <v>5131014</v>
      </c>
      <c r="D2318" t="s">
        <v>207</v>
      </c>
      <c r="E2318" t="s">
        <v>895</v>
      </c>
      <c r="F2318" s="3">
        <v>10.4</v>
      </c>
      <c r="G2318" s="3">
        <v>0</v>
      </c>
      <c r="H2318" s="3">
        <v>10.4</v>
      </c>
      <c r="I2318" t="s">
        <v>574</v>
      </c>
    </row>
    <row r="2319" spans="1:9" x14ac:dyDescent="0.35">
      <c r="A2319" s="2">
        <v>45488</v>
      </c>
      <c r="B2319">
        <v>87</v>
      </c>
      <c r="C2319">
        <v>2131002</v>
      </c>
      <c r="D2319" t="s">
        <v>31</v>
      </c>
      <c r="E2319" t="s">
        <v>895</v>
      </c>
      <c r="F2319" s="3">
        <v>0</v>
      </c>
      <c r="G2319" s="3">
        <v>20.8</v>
      </c>
      <c r="H2319" s="3">
        <v>-20.8</v>
      </c>
      <c r="I2319" t="s">
        <v>574</v>
      </c>
    </row>
    <row r="2320" spans="1:9" x14ac:dyDescent="0.35">
      <c r="A2320" s="2">
        <v>45488</v>
      </c>
      <c r="B2320">
        <v>87</v>
      </c>
      <c r="C2320">
        <v>2131003</v>
      </c>
      <c r="D2320" t="s">
        <v>32</v>
      </c>
      <c r="E2320" t="s">
        <v>895</v>
      </c>
      <c r="F2320" s="3">
        <v>0</v>
      </c>
      <c r="G2320" s="3">
        <v>2.6</v>
      </c>
      <c r="H2320" s="3">
        <v>-2.6</v>
      </c>
      <c r="I2320" t="s">
        <v>574</v>
      </c>
    </row>
    <row r="2321" spans="1:9" x14ac:dyDescent="0.35">
      <c r="A2321" s="2">
        <v>45488</v>
      </c>
      <c r="B2321">
        <v>87</v>
      </c>
      <c r="C2321">
        <v>2131004</v>
      </c>
      <c r="D2321" t="s">
        <v>33</v>
      </c>
      <c r="E2321" t="s">
        <v>895</v>
      </c>
      <c r="F2321" s="3">
        <v>0</v>
      </c>
      <c r="G2321" s="3">
        <v>5.2</v>
      </c>
      <c r="H2321" s="3">
        <v>-5.2</v>
      </c>
      <c r="I2321" t="s">
        <v>574</v>
      </c>
    </row>
    <row r="2322" spans="1:9" x14ac:dyDescent="0.35">
      <c r="A2322" s="2">
        <v>45488</v>
      </c>
      <c r="B2322">
        <v>87</v>
      </c>
      <c r="C2322">
        <v>2141001</v>
      </c>
      <c r="D2322" t="s">
        <v>35</v>
      </c>
      <c r="E2322" t="s">
        <v>895</v>
      </c>
      <c r="F2322" s="3">
        <v>0</v>
      </c>
      <c r="G2322" s="3">
        <v>57.2</v>
      </c>
      <c r="H2322" s="3">
        <v>-57.2</v>
      </c>
      <c r="I2322" t="s">
        <v>574</v>
      </c>
    </row>
    <row r="2323" spans="1:9" x14ac:dyDescent="0.35">
      <c r="A2323" s="2">
        <v>45488</v>
      </c>
      <c r="B2323">
        <v>87</v>
      </c>
      <c r="C2323">
        <v>2141002</v>
      </c>
      <c r="D2323" t="s">
        <v>36</v>
      </c>
      <c r="E2323" t="s">
        <v>895</v>
      </c>
      <c r="F2323" s="3">
        <v>0</v>
      </c>
      <c r="G2323" s="3">
        <v>10.4</v>
      </c>
      <c r="H2323" s="3">
        <v>-10.4</v>
      </c>
      <c r="I2323" t="s">
        <v>574</v>
      </c>
    </row>
    <row r="2324" spans="1:9" x14ac:dyDescent="0.35">
      <c r="A2324" s="2">
        <v>45488</v>
      </c>
      <c r="B2324">
        <v>87</v>
      </c>
      <c r="C2324">
        <v>2141003</v>
      </c>
      <c r="D2324" t="s">
        <v>37</v>
      </c>
      <c r="E2324" t="s">
        <v>895</v>
      </c>
      <c r="F2324" s="3">
        <v>0</v>
      </c>
      <c r="G2324" s="3">
        <v>10.4</v>
      </c>
      <c r="H2324" s="3">
        <v>-10.4</v>
      </c>
      <c r="I2324" t="s">
        <v>574</v>
      </c>
    </row>
    <row r="2325" spans="1:9" x14ac:dyDescent="0.35">
      <c r="A2325" s="2">
        <v>45488</v>
      </c>
      <c r="B2325">
        <v>87</v>
      </c>
      <c r="C2325">
        <v>2161004</v>
      </c>
      <c r="D2325" t="s">
        <v>38</v>
      </c>
      <c r="E2325" t="s">
        <v>895</v>
      </c>
      <c r="F2325" s="3">
        <v>0</v>
      </c>
      <c r="G2325" s="3">
        <v>21.67</v>
      </c>
      <c r="H2325" s="3">
        <v>-21.67</v>
      </c>
      <c r="I2325" t="s">
        <v>574</v>
      </c>
    </row>
    <row r="2326" spans="1:9" x14ac:dyDescent="0.35">
      <c r="A2326" s="2">
        <v>45488</v>
      </c>
      <c r="B2326">
        <v>87</v>
      </c>
      <c r="C2326">
        <v>2161005</v>
      </c>
      <c r="D2326" t="s">
        <v>39</v>
      </c>
      <c r="E2326" t="s">
        <v>895</v>
      </c>
      <c r="F2326" s="3">
        <v>0</v>
      </c>
      <c r="G2326" s="3">
        <v>43.33</v>
      </c>
      <c r="H2326" s="3">
        <v>-43.33</v>
      </c>
      <c r="I2326" t="s">
        <v>574</v>
      </c>
    </row>
    <row r="2327" spans="1:9" x14ac:dyDescent="0.35">
      <c r="A2327" s="2">
        <v>45488</v>
      </c>
      <c r="B2327">
        <v>87</v>
      </c>
      <c r="C2327">
        <v>2241001</v>
      </c>
      <c r="D2327" t="s">
        <v>40</v>
      </c>
      <c r="E2327" t="s">
        <v>895</v>
      </c>
      <c r="F2327" s="3">
        <v>0</v>
      </c>
      <c r="G2327" s="3">
        <v>109.2</v>
      </c>
      <c r="H2327" s="3">
        <v>-109.2</v>
      </c>
      <c r="I2327" t="s">
        <v>574</v>
      </c>
    </row>
    <row r="2328" spans="1:9" x14ac:dyDescent="0.35">
      <c r="A2328" s="2">
        <v>45488</v>
      </c>
      <c r="B2328">
        <v>87</v>
      </c>
      <c r="C2328">
        <v>2161001</v>
      </c>
      <c r="D2328" t="s">
        <v>93</v>
      </c>
      <c r="E2328" t="s">
        <v>895</v>
      </c>
      <c r="F2328" s="3">
        <v>0</v>
      </c>
      <c r="G2328" s="3">
        <v>6333</v>
      </c>
      <c r="H2328" s="3">
        <v>-6333</v>
      </c>
      <c r="I2328" t="s">
        <v>574</v>
      </c>
    </row>
    <row r="2329" spans="1:9" x14ac:dyDescent="0.35">
      <c r="A2329" s="2">
        <v>45488</v>
      </c>
      <c r="B2329">
        <v>87</v>
      </c>
      <c r="C2329">
        <v>2114001</v>
      </c>
      <c r="D2329" t="s">
        <v>97</v>
      </c>
      <c r="E2329" t="s">
        <v>1768</v>
      </c>
      <c r="F2329" s="3">
        <v>7695</v>
      </c>
      <c r="G2329" s="3">
        <v>0</v>
      </c>
      <c r="H2329" s="3">
        <v>7695</v>
      </c>
      <c r="I2329" t="s">
        <v>480</v>
      </c>
    </row>
    <row r="2330" spans="1:9" x14ac:dyDescent="0.35">
      <c r="A2330" s="2">
        <v>45488</v>
      </c>
      <c r="B2330">
        <v>87</v>
      </c>
      <c r="C2330">
        <v>6121046</v>
      </c>
      <c r="D2330" t="s">
        <v>94</v>
      </c>
      <c r="E2330" t="s">
        <v>95</v>
      </c>
      <c r="F2330" s="3">
        <v>225.96</v>
      </c>
      <c r="G2330" s="3">
        <v>0</v>
      </c>
      <c r="H2330" s="3">
        <v>225.96</v>
      </c>
      <c r="I2330" t="s">
        <v>480</v>
      </c>
    </row>
    <row r="2331" spans="1:9" x14ac:dyDescent="0.35">
      <c r="A2331" s="2">
        <v>45488</v>
      </c>
      <c r="B2331">
        <v>87</v>
      </c>
      <c r="C2331">
        <v>6121040</v>
      </c>
      <c r="D2331" t="s">
        <v>98</v>
      </c>
      <c r="E2331" t="s">
        <v>99</v>
      </c>
      <c r="F2331" s="3">
        <v>99.04</v>
      </c>
      <c r="G2331" s="3">
        <v>0</v>
      </c>
      <c r="H2331" s="3">
        <v>99.04</v>
      </c>
      <c r="I2331" t="s">
        <v>480</v>
      </c>
    </row>
    <row r="2332" spans="1:9" x14ac:dyDescent="0.35">
      <c r="A2332" s="2">
        <v>45488</v>
      </c>
      <c r="B2332">
        <v>87</v>
      </c>
      <c r="C2332">
        <v>6121019</v>
      </c>
      <c r="D2332" t="s">
        <v>100</v>
      </c>
      <c r="E2332" t="s">
        <v>896</v>
      </c>
      <c r="F2332" s="3">
        <v>835</v>
      </c>
      <c r="G2332" s="3">
        <v>0</v>
      </c>
      <c r="H2332" s="3">
        <v>835</v>
      </c>
      <c r="I2332" t="s">
        <v>480</v>
      </c>
    </row>
    <row r="2333" spans="1:9" x14ac:dyDescent="0.35">
      <c r="A2333" s="2">
        <v>45488</v>
      </c>
      <c r="B2333">
        <v>87</v>
      </c>
      <c r="C2333">
        <v>1111001</v>
      </c>
      <c r="D2333" t="s">
        <v>16</v>
      </c>
      <c r="E2333" t="s">
        <v>897</v>
      </c>
      <c r="F2333" s="3">
        <v>2900</v>
      </c>
      <c r="G2333" s="3">
        <v>0</v>
      </c>
      <c r="H2333" s="3">
        <v>2900</v>
      </c>
      <c r="I2333" t="s">
        <v>480</v>
      </c>
    </row>
    <row r="2334" spans="1:9" x14ac:dyDescent="0.35">
      <c r="A2334" s="2">
        <v>45488</v>
      </c>
      <c r="B2334">
        <v>87</v>
      </c>
      <c r="C2334">
        <v>1112001</v>
      </c>
      <c r="D2334" t="s">
        <v>20</v>
      </c>
      <c r="E2334" t="s">
        <v>815</v>
      </c>
      <c r="F2334" s="3">
        <v>0</v>
      </c>
      <c r="G2334" s="3">
        <v>11755</v>
      </c>
      <c r="H2334" s="3">
        <v>-11755</v>
      </c>
      <c r="I2334" t="s">
        <v>480</v>
      </c>
    </row>
    <row r="2335" spans="1:9" x14ac:dyDescent="0.35">
      <c r="A2335" s="2">
        <v>45488</v>
      </c>
      <c r="B2335">
        <v>87</v>
      </c>
      <c r="C2335">
        <v>1112001</v>
      </c>
      <c r="D2335" t="s">
        <v>20</v>
      </c>
      <c r="E2335" t="s">
        <v>749</v>
      </c>
      <c r="F2335" s="3">
        <v>11823.21</v>
      </c>
      <c r="G2335" s="3">
        <v>0</v>
      </c>
      <c r="H2335" s="3">
        <v>11823.21</v>
      </c>
      <c r="I2335" t="s">
        <v>480</v>
      </c>
    </row>
    <row r="2336" spans="1:9" x14ac:dyDescent="0.35">
      <c r="A2336" s="2">
        <v>45488</v>
      </c>
      <c r="B2336">
        <v>87</v>
      </c>
      <c r="C2336">
        <v>1111001</v>
      </c>
      <c r="D2336" t="s">
        <v>16</v>
      </c>
      <c r="E2336" t="s">
        <v>112</v>
      </c>
      <c r="F2336" s="3">
        <v>0</v>
      </c>
      <c r="G2336" s="3">
        <v>10220.799999999999</v>
      </c>
      <c r="H2336" s="3">
        <v>-10220.799999999999</v>
      </c>
      <c r="I2336" t="s">
        <v>480</v>
      </c>
    </row>
    <row r="2337" spans="1:9" x14ac:dyDescent="0.35">
      <c r="A2337" s="2">
        <v>45488</v>
      </c>
      <c r="B2337">
        <v>87</v>
      </c>
      <c r="C2337">
        <v>1111001</v>
      </c>
      <c r="D2337" t="s">
        <v>16</v>
      </c>
      <c r="E2337" t="s">
        <v>350</v>
      </c>
      <c r="F2337" s="3">
        <v>0</v>
      </c>
      <c r="G2337" s="3">
        <v>1602.41</v>
      </c>
      <c r="H2337" s="3">
        <v>-1602.41</v>
      </c>
      <c r="I2337" t="s">
        <v>480</v>
      </c>
    </row>
    <row r="2338" spans="1:9" x14ac:dyDescent="0.35">
      <c r="A2338" s="2">
        <v>45488</v>
      </c>
      <c r="B2338">
        <v>87</v>
      </c>
      <c r="C2338">
        <v>6121040</v>
      </c>
      <c r="D2338" t="s">
        <v>98</v>
      </c>
      <c r="E2338" t="s">
        <v>99</v>
      </c>
      <c r="F2338" s="3">
        <v>2969.45</v>
      </c>
      <c r="G2338" s="3">
        <v>0</v>
      </c>
      <c r="H2338" s="3">
        <v>2969.45</v>
      </c>
      <c r="I2338" t="s">
        <v>507</v>
      </c>
    </row>
    <row r="2339" spans="1:9" x14ac:dyDescent="0.35">
      <c r="A2339" s="2">
        <v>45488</v>
      </c>
      <c r="B2339">
        <v>87</v>
      </c>
      <c r="C2339">
        <v>6121046</v>
      </c>
      <c r="D2339" t="s">
        <v>94</v>
      </c>
      <c r="E2339" t="s">
        <v>95</v>
      </c>
      <c r="F2339" s="3">
        <v>2224.58</v>
      </c>
      <c r="G2339" s="3">
        <v>0</v>
      </c>
      <c r="H2339" s="3">
        <v>2224.58</v>
      </c>
      <c r="I2339" t="s">
        <v>507</v>
      </c>
    </row>
    <row r="2340" spans="1:9" x14ac:dyDescent="0.35">
      <c r="A2340" s="2">
        <v>45488</v>
      </c>
      <c r="B2340">
        <v>87</v>
      </c>
      <c r="C2340">
        <v>2114001</v>
      </c>
      <c r="D2340" t="s">
        <v>97</v>
      </c>
      <c r="E2340" t="s">
        <v>1768</v>
      </c>
      <c r="F2340" s="3">
        <v>23030</v>
      </c>
      <c r="G2340" s="3">
        <v>0</v>
      </c>
      <c r="H2340" s="3">
        <v>23030</v>
      </c>
      <c r="I2340" t="s">
        <v>507</v>
      </c>
    </row>
    <row r="2341" spans="1:9" x14ac:dyDescent="0.35">
      <c r="A2341" s="2">
        <v>45488</v>
      </c>
      <c r="B2341">
        <v>87</v>
      </c>
      <c r="C2341">
        <v>2114010</v>
      </c>
      <c r="D2341" t="s">
        <v>48</v>
      </c>
      <c r="E2341" t="s">
        <v>105</v>
      </c>
      <c r="F2341" s="3">
        <v>6603.48</v>
      </c>
      <c r="G2341" s="3">
        <v>0</v>
      </c>
      <c r="H2341" s="3">
        <v>6603.48</v>
      </c>
      <c r="I2341" t="s">
        <v>507</v>
      </c>
    </row>
    <row r="2342" spans="1:9" x14ac:dyDescent="0.35">
      <c r="A2342" s="2">
        <v>45488</v>
      </c>
      <c r="B2342">
        <v>87</v>
      </c>
      <c r="C2342">
        <v>1111001</v>
      </c>
      <c r="D2342" t="s">
        <v>16</v>
      </c>
      <c r="E2342" t="s">
        <v>213</v>
      </c>
      <c r="F2342" s="3">
        <v>25700</v>
      </c>
      <c r="G2342" s="3">
        <v>0</v>
      </c>
      <c r="H2342" s="3">
        <v>25700</v>
      </c>
      <c r="I2342" t="s">
        <v>507</v>
      </c>
    </row>
    <row r="2343" spans="1:9" x14ac:dyDescent="0.35">
      <c r="A2343" s="2">
        <v>45488</v>
      </c>
      <c r="B2343">
        <v>87</v>
      </c>
      <c r="C2343">
        <v>6121020</v>
      </c>
      <c r="D2343" t="s">
        <v>129</v>
      </c>
      <c r="E2343" t="s">
        <v>283</v>
      </c>
      <c r="F2343" s="3">
        <v>2232.15</v>
      </c>
      <c r="G2343" s="3">
        <v>0</v>
      </c>
      <c r="H2343" s="3">
        <v>2232.15</v>
      </c>
      <c r="I2343" t="s">
        <v>507</v>
      </c>
    </row>
    <row r="2344" spans="1:9" x14ac:dyDescent="0.35">
      <c r="A2344" s="2">
        <v>45488</v>
      </c>
      <c r="B2344">
        <v>87</v>
      </c>
      <c r="C2344">
        <v>1111001</v>
      </c>
      <c r="D2344" t="s">
        <v>16</v>
      </c>
      <c r="E2344" t="s">
        <v>131</v>
      </c>
      <c r="F2344" s="3">
        <v>228</v>
      </c>
      <c r="G2344" s="3">
        <v>0</v>
      </c>
      <c r="H2344" s="3">
        <v>228</v>
      </c>
      <c r="I2344" t="s">
        <v>507</v>
      </c>
    </row>
    <row r="2345" spans="1:9" x14ac:dyDescent="0.35">
      <c r="A2345" s="2">
        <v>45488</v>
      </c>
      <c r="B2345">
        <v>87</v>
      </c>
      <c r="C2345">
        <v>5132010</v>
      </c>
      <c r="D2345" t="s">
        <v>211</v>
      </c>
      <c r="E2345" t="s">
        <v>898</v>
      </c>
      <c r="F2345" s="3">
        <v>6150</v>
      </c>
      <c r="G2345" s="3">
        <v>0</v>
      </c>
      <c r="H2345" s="3">
        <v>6150</v>
      </c>
      <c r="I2345" t="s">
        <v>507</v>
      </c>
    </row>
    <row r="2346" spans="1:9" x14ac:dyDescent="0.35">
      <c r="A2346" s="2">
        <v>45488</v>
      </c>
      <c r="B2346">
        <v>87</v>
      </c>
      <c r="C2346">
        <v>6121025</v>
      </c>
      <c r="D2346" t="s">
        <v>134</v>
      </c>
      <c r="E2346" t="s">
        <v>135</v>
      </c>
      <c r="F2346" s="3">
        <v>3823.04</v>
      </c>
      <c r="G2346" s="3">
        <v>0</v>
      </c>
      <c r="H2346" s="3">
        <v>3823.04</v>
      </c>
      <c r="I2346" t="s">
        <v>507</v>
      </c>
    </row>
    <row r="2347" spans="1:9" x14ac:dyDescent="0.35">
      <c r="A2347" s="2">
        <v>45488</v>
      </c>
      <c r="B2347">
        <v>87</v>
      </c>
      <c r="C2347">
        <v>5132007</v>
      </c>
      <c r="D2347" t="s">
        <v>355</v>
      </c>
      <c r="E2347" t="s">
        <v>807</v>
      </c>
      <c r="F2347" s="3">
        <v>720</v>
      </c>
      <c r="G2347" s="3">
        <v>0</v>
      </c>
      <c r="H2347" s="3">
        <v>720</v>
      </c>
      <c r="I2347" t="s">
        <v>507</v>
      </c>
    </row>
    <row r="2348" spans="1:9" x14ac:dyDescent="0.35">
      <c r="A2348" s="2">
        <v>45488</v>
      </c>
      <c r="B2348">
        <v>87</v>
      </c>
      <c r="C2348">
        <v>2122003</v>
      </c>
      <c r="D2348" t="s">
        <v>308</v>
      </c>
      <c r="E2348" t="s">
        <v>548</v>
      </c>
      <c r="F2348" s="3">
        <v>130.08000000000001</v>
      </c>
      <c r="G2348" s="3">
        <v>0</v>
      </c>
      <c r="H2348" s="3">
        <v>130.08000000000001</v>
      </c>
      <c r="I2348" t="s">
        <v>507</v>
      </c>
    </row>
    <row r="2349" spans="1:9" x14ac:dyDescent="0.35">
      <c r="A2349" s="2">
        <v>45488</v>
      </c>
      <c r="B2349">
        <v>87</v>
      </c>
      <c r="C2349">
        <v>1111001</v>
      </c>
      <c r="D2349" t="s">
        <v>16</v>
      </c>
      <c r="E2349" t="s">
        <v>899</v>
      </c>
      <c r="F2349" s="3">
        <v>547.04999999999995</v>
      </c>
      <c r="G2349" s="3">
        <v>0</v>
      </c>
      <c r="H2349" s="3">
        <v>547.04999999999995</v>
      </c>
      <c r="I2349" t="s">
        <v>507</v>
      </c>
    </row>
    <row r="2350" spans="1:9" x14ac:dyDescent="0.35">
      <c r="A2350" s="2">
        <v>45488</v>
      </c>
      <c r="B2350">
        <v>87</v>
      </c>
      <c r="C2350">
        <v>2124004</v>
      </c>
      <c r="D2350" t="s">
        <v>29</v>
      </c>
      <c r="E2350" t="s">
        <v>119</v>
      </c>
      <c r="F2350" s="3">
        <v>1087.3699999999999</v>
      </c>
      <c r="G2350" s="3">
        <v>0</v>
      </c>
      <c r="H2350" s="3">
        <v>1087.3699999999999</v>
      </c>
      <c r="I2350" t="s">
        <v>507</v>
      </c>
    </row>
    <row r="2351" spans="1:9" x14ac:dyDescent="0.35">
      <c r="A2351" s="2">
        <v>45488</v>
      </c>
      <c r="B2351">
        <v>87</v>
      </c>
      <c r="C2351">
        <v>2124007</v>
      </c>
      <c r="D2351" t="s">
        <v>30</v>
      </c>
      <c r="E2351" t="s">
        <v>214</v>
      </c>
      <c r="F2351" s="3">
        <v>344.17</v>
      </c>
      <c r="G2351" s="3">
        <v>0</v>
      </c>
      <c r="H2351" s="3">
        <v>344.17</v>
      </c>
      <c r="I2351" t="s">
        <v>507</v>
      </c>
    </row>
    <row r="2352" spans="1:9" x14ac:dyDescent="0.35">
      <c r="A2352" s="2">
        <v>45488</v>
      </c>
      <c r="B2352">
        <v>87</v>
      </c>
      <c r="C2352">
        <v>2114010</v>
      </c>
      <c r="D2352" t="s">
        <v>48</v>
      </c>
      <c r="E2352" t="s">
        <v>492</v>
      </c>
      <c r="F2352" s="3">
        <v>853.43</v>
      </c>
      <c r="G2352" s="3">
        <v>0</v>
      </c>
      <c r="H2352" s="3">
        <v>853.43</v>
      </c>
      <c r="I2352" t="s">
        <v>507</v>
      </c>
    </row>
    <row r="2353" spans="1:9" x14ac:dyDescent="0.35">
      <c r="A2353" s="2">
        <v>45488</v>
      </c>
      <c r="B2353">
        <v>87</v>
      </c>
      <c r="C2353">
        <v>5131006</v>
      </c>
      <c r="D2353" t="s">
        <v>125</v>
      </c>
      <c r="E2353" t="s">
        <v>900</v>
      </c>
      <c r="F2353" s="3">
        <v>3400</v>
      </c>
      <c r="G2353" s="3">
        <v>0</v>
      </c>
      <c r="H2353" s="3">
        <v>3400</v>
      </c>
      <c r="I2353" t="s">
        <v>507</v>
      </c>
    </row>
    <row r="2354" spans="1:9" x14ac:dyDescent="0.35">
      <c r="A2354" s="2">
        <v>45488</v>
      </c>
      <c r="B2354">
        <v>87</v>
      </c>
      <c r="C2354">
        <v>5131006</v>
      </c>
      <c r="D2354" t="s">
        <v>125</v>
      </c>
      <c r="E2354" t="s">
        <v>282</v>
      </c>
      <c r="F2354" s="3">
        <v>19000</v>
      </c>
      <c r="G2354" s="3">
        <v>0</v>
      </c>
      <c r="H2354" s="3">
        <v>19000</v>
      </c>
      <c r="I2354" t="s">
        <v>507</v>
      </c>
    </row>
    <row r="2355" spans="1:9" x14ac:dyDescent="0.35">
      <c r="A2355" s="2">
        <v>45488</v>
      </c>
      <c r="B2355">
        <v>87</v>
      </c>
      <c r="C2355">
        <v>1111001</v>
      </c>
      <c r="D2355" t="s">
        <v>16</v>
      </c>
      <c r="E2355" t="s">
        <v>132</v>
      </c>
      <c r="F2355" s="3">
        <v>12800</v>
      </c>
      <c r="G2355" s="3">
        <v>0</v>
      </c>
      <c r="H2355" s="3">
        <v>12800</v>
      </c>
      <c r="I2355" t="s">
        <v>507</v>
      </c>
    </row>
    <row r="2356" spans="1:9" x14ac:dyDescent="0.35">
      <c r="A2356" s="2">
        <v>45488</v>
      </c>
      <c r="B2356">
        <v>87</v>
      </c>
      <c r="C2356">
        <v>2161001</v>
      </c>
      <c r="D2356" t="s">
        <v>93</v>
      </c>
      <c r="E2356" t="s">
        <v>1803</v>
      </c>
      <c r="F2356" s="3">
        <v>891.85</v>
      </c>
      <c r="G2356" s="3">
        <v>0</v>
      </c>
      <c r="H2356" s="3">
        <v>891.85</v>
      </c>
      <c r="I2356" t="s">
        <v>507</v>
      </c>
    </row>
    <row r="2357" spans="1:9" x14ac:dyDescent="0.35">
      <c r="A2357" s="2">
        <v>45488</v>
      </c>
      <c r="B2357">
        <v>87</v>
      </c>
      <c r="C2357">
        <v>2161001</v>
      </c>
      <c r="D2357" t="s">
        <v>93</v>
      </c>
      <c r="E2357" t="s">
        <v>1804</v>
      </c>
      <c r="F2357" s="3">
        <v>791.85</v>
      </c>
      <c r="G2357" s="3">
        <v>0</v>
      </c>
      <c r="H2357" s="3">
        <v>791.85</v>
      </c>
      <c r="I2357" t="s">
        <v>507</v>
      </c>
    </row>
    <row r="2358" spans="1:9" x14ac:dyDescent="0.35">
      <c r="A2358" s="2">
        <v>45488</v>
      </c>
      <c r="B2358">
        <v>87</v>
      </c>
      <c r="C2358">
        <v>2161001</v>
      </c>
      <c r="D2358" t="s">
        <v>93</v>
      </c>
      <c r="E2358" t="s">
        <v>1803</v>
      </c>
      <c r="F2358" s="3">
        <v>791.85</v>
      </c>
      <c r="G2358" s="3">
        <v>0</v>
      </c>
      <c r="H2358" s="3">
        <v>791.85</v>
      </c>
      <c r="I2358" t="s">
        <v>507</v>
      </c>
    </row>
    <row r="2359" spans="1:9" x14ac:dyDescent="0.35">
      <c r="A2359" s="2">
        <v>45488</v>
      </c>
      <c r="B2359">
        <v>87</v>
      </c>
      <c r="C2359">
        <v>2161001</v>
      </c>
      <c r="D2359" t="s">
        <v>93</v>
      </c>
      <c r="E2359" t="s">
        <v>1803</v>
      </c>
      <c r="F2359" s="3">
        <v>791.85</v>
      </c>
      <c r="G2359" s="3">
        <v>0</v>
      </c>
      <c r="H2359" s="3">
        <v>791.85</v>
      </c>
      <c r="I2359" t="s">
        <v>507</v>
      </c>
    </row>
    <row r="2360" spans="1:9" x14ac:dyDescent="0.35">
      <c r="A2360" s="2">
        <v>45488</v>
      </c>
      <c r="B2360">
        <v>87</v>
      </c>
      <c r="C2360">
        <v>2161001</v>
      </c>
      <c r="D2360" t="s">
        <v>93</v>
      </c>
      <c r="E2360" t="s">
        <v>1803</v>
      </c>
      <c r="F2360" s="3">
        <v>791.85</v>
      </c>
      <c r="G2360" s="3">
        <v>0</v>
      </c>
      <c r="H2360" s="3">
        <v>791.85</v>
      </c>
      <c r="I2360" t="s">
        <v>507</v>
      </c>
    </row>
    <row r="2361" spans="1:9" x14ac:dyDescent="0.35">
      <c r="A2361" s="2">
        <v>45488</v>
      </c>
      <c r="B2361">
        <v>87</v>
      </c>
      <c r="C2361">
        <v>6121023</v>
      </c>
      <c r="D2361" t="s">
        <v>49</v>
      </c>
      <c r="E2361" t="s">
        <v>901</v>
      </c>
      <c r="F2361" s="3">
        <v>1600</v>
      </c>
      <c r="G2361" s="3">
        <v>0</v>
      </c>
      <c r="H2361" s="3">
        <v>1600</v>
      </c>
      <c r="I2361" t="s">
        <v>507</v>
      </c>
    </row>
    <row r="2362" spans="1:9" x14ac:dyDescent="0.35">
      <c r="A2362" s="2">
        <v>45488</v>
      </c>
      <c r="B2362">
        <v>87</v>
      </c>
      <c r="C2362">
        <v>2161001</v>
      </c>
      <c r="D2362" t="s">
        <v>93</v>
      </c>
      <c r="E2362" t="s">
        <v>902</v>
      </c>
      <c r="F2362" s="3">
        <v>1590.4</v>
      </c>
      <c r="G2362" s="3">
        <v>0</v>
      </c>
      <c r="H2362" s="3">
        <v>1590.4</v>
      </c>
      <c r="I2362" t="s">
        <v>507</v>
      </c>
    </row>
    <row r="2363" spans="1:9" x14ac:dyDescent="0.35">
      <c r="A2363" s="2">
        <v>45488</v>
      </c>
      <c r="B2363">
        <v>87</v>
      </c>
      <c r="C2363">
        <v>5132002</v>
      </c>
      <c r="D2363" t="s">
        <v>115</v>
      </c>
      <c r="E2363" t="s">
        <v>903</v>
      </c>
      <c r="F2363" s="3">
        <v>3750</v>
      </c>
      <c r="G2363" s="3">
        <v>0</v>
      </c>
      <c r="H2363" s="3">
        <v>3750</v>
      </c>
      <c r="I2363" t="s">
        <v>507</v>
      </c>
    </row>
    <row r="2364" spans="1:9" x14ac:dyDescent="0.35">
      <c r="A2364" s="2">
        <v>45488</v>
      </c>
      <c r="B2364">
        <v>87</v>
      </c>
      <c r="C2364">
        <v>1112002</v>
      </c>
      <c r="D2364" t="s">
        <v>21</v>
      </c>
      <c r="E2364" t="s">
        <v>758</v>
      </c>
      <c r="F2364" s="3">
        <v>0</v>
      </c>
      <c r="G2364" s="3">
        <v>122842.45</v>
      </c>
      <c r="H2364" s="3">
        <v>-122842.45</v>
      </c>
      <c r="I2364" t="s">
        <v>507</v>
      </c>
    </row>
    <row r="2365" spans="1:9" x14ac:dyDescent="0.35">
      <c r="A2365" s="2">
        <v>45488</v>
      </c>
      <c r="B2365">
        <v>87</v>
      </c>
      <c r="C2365">
        <v>1112002</v>
      </c>
      <c r="D2365" t="s">
        <v>21</v>
      </c>
      <c r="E2365" t="s">
        <v>749</v>
      </c>
      <c r="F2365" s="3">
        <v>123921.46</v>
      </c>
      <c r="G2365" s="3">
        <v>0</v>
      </c>
      <c r="H2365" s="3">
        <v>123921.46</v>
      </c>
      <c r="I2365" t="s">
        <v>507</v>
      </c>
    </row>
    <row r="2366" spans="1:9" x14ac:dyDescent="0.35">
      <c r="A2366" s="2">
        <v>45488</v>
      </c>
      <c r="B2366">
        <v>87</v>
      </c>
      <c r="C2366">
        <v>1111001</v>
      </c>
      <c r="D2366" t="s">
        <v>16</v>
      </c>
      <c r="E2366" t="s">
        <v>904</v>
      </c>
      <c r="F2366" s="3">
        <v>0</v>
      </c>
      <c r="G2366" s="3">
        <v>1826</v>
      </c>
      <c r="H2366" s="3">
        <v>-1826</v>
      </c>
      <c r="I2366" t="s">
        <v>507</v>
      </c>
    </row>
    <row r="2367" spans="1:9" x14ac:dyDescent="0.35">
      <c r="A2367" s="2">
        <v>45488</v>
      </c>
      <c r="B2367">
        <v>87</v>
      </c>
      <c r="C2367">
        <v>1111001</v>
      </c>
      <c r="D2367" t="s">
        <v>16</v>
      </c>
      <c r="E2367" t="s">
        <v>138</v>
      </c>
      <c r="F2367" s="3">
        <v>0</v>
      </c>
      <c r="G2367" s="3">
        <v>1700</v>
      </c>
      <c r="H2367" s="3">
        <v>-1700</v>
      </c>
      <c r="I2367" t="s">
        <v>507</v>
      </c>
    </row>
    <row r="2368" spans="1:9" x14ac:dyDescent="0.35">
      <c r="A2368" s="2">
        <v>45488</v>
      </c>
      <c r="B2368">
        <v>87</v>
      </c>
      <c r="C2368">
        <v>1111001</v>
      </c>
      <c r="D2368" t="s">
        <v>16</v>
      </c>
      <c r="E2368" t="s">
        <v>139</v>
      </c>
      <c r="F2368" s="3">
        <v>0</v>
      </c>
      <c r="G2368" s="3">
        <v>21886.62</v>
      </c>
      <c r="H2368" s="3">
        <v>-21886.62</v>
      </c>
      <c r="I2368" t="s">
        <v>507</v>
      </c>
    </row>
    <row r="2369" spans="1:9" x14ac:dyDescent="0.35">
      <c r="A2369" s="2">
        <v>45488</v>
      </c>
      <c r="B2369">
        <v>87</v>
      </c>
      <c r="C2369">
        <v>1111001</v>
      </c>
      <c r="D2369" t="s">
        <v>16</v>
      </c>
      <c r="E2369" t="s">
        <v>108</v>
      </c>
      <c r="F2369" s="3">
        <v>0</v>
      </c>
      <c r="G2369" s="3">
        <v>10000</v>
      </c>
      <c r="H2369" s="3">
        <v>-10000</v>
      </c>
      <c r="I2369" t="s">
        <v>507</v>
      </c>
    </row>
    <row r="2370" spans="1:9" x14ac:dyDescent="0.35">
      <c r="A2370" s="2">
        <v>45488</v>
      </c>
      <c r="B2370">
        <v>87</v>
      </c>
      <c r="C2370">
        <v>4141003</v>
      </c>
      <c r="D2370" t="s">
        <v>141</v>
      </c>
      <c r="E2370" t="s">
        <v>142</v>
      </c>
      <c r="F2370" s="3">
        <v>0</v>
      </c>
      <c r="G2370" s="3">
        <v>122.21</v>
      </c>
      <c r="H2370" s="3">
        <v>-122.21</v>
      </c>
      <c r="I2370" t="s">
        <v>507</v>
      </c>
    </row>
    <row r="2371" spans="1:9" x14ac:dyDescent="0.35">
      <c r="A2371" s="2">
        <v>45488</v>
      </c>
      <c r="B2371">
        <v>87</v>
      </c>
      <c r="C2371">
        <v>1111001</v>
      </c>
      <c r="D2371" t="s">
        <v>16</v>
      </c>
      <c r="E2371" t="s">
        <v>137</v>
      </c>
      <c r="F2371" s="3">
        <v>0</v>
      </c>
      <c r="G2371" s="3">
        <v>88386.63</v>
      </c>
      <c r="H2371" s="3">
        <v>-88386.63</v>
      </c>
      <c r="I2371" t="s">
        <v>507</v>
      </c>
    </row>
    <row r="2372" spans="1:9" x14ac:dyDescent="0.35">
      <c r="A2372" s="2">
        <v>45488</v>
      </c>
      <c r="B2372">
        <v>87</v>
      </c>
      <c r="C2372">
        <v>6121046</v>
      </c>
      <c r="D2372" t="s">
        <v>94</v>
      </c>
      <c r="E2372" t="s">
        <v>95</v>
      </c>
      <c r="F2372" s="3">
        <v>737.65</v>
      </c>
      <c r="G2372" s="3">
        <v>0</v>
      </c>
      <c r="H2372" s="3">
        <v>737.65</v>
      </c>
      <c r="I2372" t="s">
        <v>114</v>
      </c>
    </row>
    <row r="2373" spans="1:9" x14ac:dyDescent="0.35">
      <c r="A2373" s="2">
        <v>45488</v>
      </c>
      <c r="B2373">
        <v>87</v>
      </c>
      <c r="C2373">
        <v>6121040</v>
      </c>
      <c r="D2373" t="s">
        <v>98</v>
      </c>
      <c r="E2373" t="s">
        <v>99</v>
      </c>
      <c r="F2373" s="3">
        <v>861.58</v>
      </c>
      <c r="G2373" s="3">
        <v>0</v>
      </c>
      <c r="H2373" s="3">
        <v>861.58</v>
      </c>
      <c r="I2373" t="s">
        <v>114</v>
      </c>
    </row>
    <row r="2374" spans="1:9" x14ac:dyDescent="0.35">
      <c r="A2374" s="2">
        <v>45488</v>
      </c>
      <c r="B2374">
        <v>87</v>
      </c>
      <c r="C2374">
        <v>2114001</v>
      </c>
      <c r="D2374" t="s">
        <v>97</v>
      </c>
      <c r="E2374" t="s">
        <v>1768</v>
      </c>
      <c r="F2374" s="3">
        <v>8700</v>
      </c>
      <c r="G2374" s="3">
        <v>0</v>
      </c>
      <c r="H2374" s="3">
        <v>8700</v>
      </c>
      <c r="I2374" t="s">
        <v>114</v>
      </c>
    </row>
    <row r="2375" spans="1:9" x14ac:dyDescent="0.35">
      <c r="A2375" s="2">
        <v>45488</v>
      </c>
      <c r="B2375">
        <v>87</v>
      </c>
      <c r="C2375">
        <v>6121019</v>
      </c>
      <c r="D2375" t="s">
        <v>100</v>
      </c>
      <c r="E2375" t="s">
        <v>483</v>
      </c>
      <c r="F2375" s="3">
        <v>483.8</v>
      </c>
      <c r="G2375" s="3">
        <v>0</v>
      </c>
      <c r="H2375" s="3">
        <v>483.8</v>
      </c>
      <c r="I2375" t="s">
        <v>114</v>
      </c>
    </row>
    <row r="2376" spans="1:9" x14ac:dyDescent="0.35">
      <c r="A2376" s="2">
        <v>45488</v>
      </c>
      <c r="B2376">
        <v>87</v>
      </c>
      <c r="C2376">
        <v>6121031</v>
      </c>
      <c r="D2376" t="s">
        <v>209</v>
      </c>
      <c r="E2376" t="s">
        <v>905</v>
      </c>
      <c r="F2376" s="3">
        <v>10400</v>
      </c>
      <c r="G2376" s="3">
        <v>0</v>
      </c>
      <c r="H2376" s="3">
        <v>10400</v>
      </c>
      <c r="I2376" t="s">
        <v>114</v>
      </c>
    </row>
    <row r="2377" spans="1:9" x14ac:dyDescent="0.35">
      <c r="A2377" s="2">
        <v>45488</v>
      </c>
      <c r="B2377">
        <v>87</v>
      </c>
      <c r="C2377">
        <v>2141003</v>
      </c>
      <c r="D2377" t="s">
        <v>37</v>
      </c>
      <c r="E2377" t="s">
        <v>549</v>
      </c>
      <c r="F2377" s="3">
        <v>54.6</v>
      </c>
      <c r="G2377" s="3">
        <v>0</v>
      </c>
      <c r="H2377" s="3">
        <v>54.6</v>
      </c>
      <c r="I2377" t="s">
        <v>114</v>
      </c>
    </row>
    <row r="2378" spans="1:9" x14ac:dyDescent="0.35">
      <c r="A2378" s="2">
        <v>45488</v>
      </c>
      <c r="B2378">
        <v>87</v>
      </c>
      <c r="C2378">
        <v>5132010</v>
      </c>
      <c r="D2378" t="s">
        <v>211</v>
      </c>
      <c r="E2378" t="s">
        <v>906</v>
      </c>
      <c r="F2378" s="3">
        <v>4100</v>
      </c>
      <c r="G2378" s="3">
        <v>0</v>
      </c>
      <c r="H2378" s="3">
        <v>4100</v>
      </c>
      <c r="I2378" t="s">
        <v>114</v>
      </c>
    </row>
    <row r="2379" spans="1:9" x14ac:dyDescent="0.35">
      <c r="A2379" s="2">
        <v>45488</v>
      </c>
      <c r="B2379">
        <v>87</v>
      </c>
      <c r="C2379">
        <v>2124010</v>
      </c>
      <c r="D2379" t="s">
        <v>769</v>
      </c>
      <c r="E2379" t="s">
        <v>907</v>
      </c>
      <c r="F2379" s="3">
        <v>3069.61</v>
      </c>
      <c r="G2379" s="3">
        <v>0</v>
      </c>
      <c r="H2379" s="3">
        <v>3069.61</v>
      </c>
      <c r="I2379" t="s">
        <v>114</v>
      </c>
    </row>
    <row r="2380" spans="1:9" x14ac:dyDescent="0.35">
      <c r="A2380" s="2">
        <v>45488</v>
      </c>
      <c r="B2380">
        <v>87</v>
      </c>
      <c r="C2380">
        <v>2141001</v>
      </c>
      <c r="D2380" t="s">
        <v>35</v>
      </c>
      <c r="E2380" t="s">
        <v>551</v>
      </c>
      <c r="F2380" s="3">
        <v>138.6</v>
      </c>
      <c r="G2380" s="3">
        <v>0</v>
      </c>
      <c r="H2380" s="3">
        <v>138.6</v>
      </c>
      <c r="I2380" t="s">
        <v>114</v>
      </c>
    </row>
    <row r="2381" spans="1:9" x14ac:dyDescent="0.35">
      <c r="A2381" s="2">
        <v>45488</v>
      </c>
      <c r="B2381">
        <v>87</v>
      </c>
      <c r="C2381">
        <v>2141002</v>
      </c>
      <c r="D2381" t="s">
        <v>36</v>
      </c>
      <c r="E2381" t="s">
        <v>550</v>
      </c>
      <c r="F2381" s="3">
        <v>27.3</v>
      </c>
      <c r="G2381" s="3">
        <v>0</v>
      </c>
      <c r="H2381" s="3">
        <v>27.3</v>
      </c>
      <c r="I2381" t="s">
        <v>114</v>
      </c>
    </row>
    <row r="2382" spans="1:9" x14ac:dyDescent="0.35">
      <c r="A2382" s="2">
        <v>45488</v>
      </c>
      <c r="B2382">
        <v>87</v>
      </c>
      <c r="C2382">
        <v>5131016</v>
      </c>
      <c r="D2382" t="s">
        <v>238</v>
      </c>
      <c r="E2382" t="s">
        <v>908</v>
      </c>
      <c r="F2382" s="3">
        <v>1200</v>
      </c>
      <c r="G2382" s="3">
        <v>0</v>
      </c>
      <c r="H2382" s="3">
        <v>1200</v>
      </c>
      <c r="I2382" t="s">
        <v>114</v>
      </c>
    </row>
    <row r="2383" spans="1:9" x14ac:dyDescent="0.35">
      <c r="A2383" s="2">
        <v>45488</v>
      </c>
      <c r="B2383">
        <v>87</v>
      </c>
      <c r="C2383">
        <v>1111001</v>
      </c>
      <c r="D2383" t="s">
        <v>16</v>
      </c>
      <c r="E2383" t="s">
        <v>118</v>
      </c>
      <c r="F2383" s="3">
        <v>1700</v>
      </c>
      <c r="G2383" s="3">
        <v>0</v>
      </c>
      <c r="H2383" s="3">
        <v>1700</v>
      </c>
      <c r="I2383" t="s">
        <v>114</v>
      </c>
    </row>
    <row r="2384" spans="1:9" x14ac:dyDescent="0.35">
      <c r="A2384" s="2">
        <v>45488</v>
      </c>
      <c r="B2384">
        <v>87</v>
      </c>
      <c r="C2384">
        <v>5131006</v>
      </c>
      <c r="D2384" t="s">
        <v>125</v>
      </c>
      <c r="E2384" t="s">
        <v>909</v>
      </c>
      <c r="F2384" s="3">
        <v>7800</v>
      </c>
      <c r="G2384" s="3">
        <v>0</v>
      </c>
      <c r="H2384" s="3">
        <v>7800</v>
      </c>
      <c r="I2384" t="s">
        <v>114</v>
      </c>
    </row>
    <row r="2385" spans="1:9" x14ac:dyDescent="0.35">
      <c r="A2385" s="2">
        <v>45488</v>
      </c>
      <c r="B2385">
        <v>87</v>
      </c>
      <c r="C2385">
        <v>5132002</v>
      </c>
      <c r="D2385" t="s">
        <v>115</v>
      </c>
      <c r="E2385" t="s">
        <v>910</v>
      </c>
      <c r="F2385" s="3">
        <v>16250</v>
      </c>
      <c r="G2385" s="3">
        <v>0</v>
      </c>
      <c r="H2385" s="3">
        <v>16250</v>
      </c>
      <c r="I2385" t="s">
        <v>114</v>
      </c>
    </row>
    <row r="2386" spans="1:9" x14ac:dyDescent="0.35">
      <c r="A2386" s="2">
        <v>45488</v>
      </c>
      <c r="B2386">
        <v>87</v>
      </c>
      <c r="C2386">
        <v>1112003</v>
      </c>
      <c r="D2386" t="s">
        <v>22</v>
      </c>
      <c r="E2386" t="s">
        <v>815</v>
      </c>
      <c r="F2386" s="3">
        <v>0</v>
      </c>
      <c r="G2386" s="3">
        <v>55523.14</v>
      </c>
      <c r="H2386" s="3">
        <v>-55523.14</v>
      </c>
      <c r="I2386" t="s">
        <v>114</v>
      </c>
    </row>
    <row r="2387" spans="1:9" x14ac:dyDescent="0.35">
      <c r="A2387" s="2">
        <v>45488</v>
      </c>
      <c r="B2387">
        <v>87</v>
      </c>
      <c r="C2387">
        <v>1112003</v>
      </c>
      <c r="D2387" t="s">
        <v>22</v>
      </c>
      <c r="E2387" t="s">
        <v>749</v>
      </c>
      <c r="F2387" s="3">
        <v>55780</v>
      </c>
      <c r="G2387" s="3">
        <v>0</v>
      </c>
      <c r="H2387" s="3">
        <v>55780</v>
      </c>
      <c r="I2387" t="s">
        <v>114</v>
      </c>
    </row>
    <row r="2388" spans="1:9" x14ac:dyDescent="0.35">
      <c r="A2388" s="2">
        <v>45488</v>
      </c>
      <c r="B2388">
        <v>87</v>
      </c>
      <c r="C2388">
        <v>1111001</v>
      </c>
      <c r="D2388" t="s">
        <v>16</v>
      </c>
      <c r="E2388" t="s">
        <v>111</v>
      </c>
      <c r="F2388" s="3">
        <v>0</v>
      </c>
      <c r="G2388" s="3">
        <v>37600</v>
      </c>
      <c r="H2388" s="3">
        <v>-37600</v>
      </c>
      <c r="I2388" t="s">
        <v>114</v>
      </c>
    </row>
    <row r="2389" spans="1:9" x14ac:dyDescent="0.35">
      <c r="A2389" s="2">
        <v>45488</v>
      </c>
      <c r="B2389">
        <v>87</v>
      </c>
      <c r="C2389">
        <v>1111001</v>
      </c>
      <c r="D2389" t="s">
        <v>16</v>
      </c>
      <c r="E2389" t="s">
        <v>299</v>
      </c>
      <c r="F2389" s="3">
        <v>0</v>
      </c>
      <c r="G2389" s="3">
        <v>1400</v>
      </c>
      <c r="H2389" s="3">
        <v>-1400</v>
      </c>
      <c r="I2389" t="s">
        <v>114</v>
      </c>
    </row>
    <row r="2390" spans="1:9" x14ac:dyDescent="0.35">
      <c r="A2390" s="2">
        <v>45488</v>
      </c>
      <c r="B2390">
        <v>87</v>
      </c>
      <c r="C2390">
        <v>1111001</v>
      </c>
      <c r="D2390" t="s">
        <v>16</v>
      </c>
      <c r="E2390" t="s">
        <v>911</v>
      </c>
      <c r="F2390" s="3">
        <v>0</v>
      </c>
      <c r="G2390" s="3">
        <v>900</v>
      </c>
      <c r="H2390" s="3">
        <v>-900</v>
      </c>
      <c r="I2390" t="s">
        <v>114</v>
      </c>
    </row>
    <row r="2391" spans="1:9" x14ac:dyDescent="0.35">
      <c r="A2391" s="2">
        <v>45488</v>
      </c>
      <c r="B2391">
        <v>87</v>
      </c>
      <c r="C2391">
        <v>1111001</v>
      </c>
      <c r="D2391" t="s">
        <v>16</v>
      </c>
      <c r="E2391" t="s">
        <v>138</v>
      </c>
      <c r="F2391" s="3">
        <v>0</v>
      </c>
      <c r="G2391" s="3">
        <v>2280</v>
      </c>
      <c r="H2391" s="3">
        <v>-2280</v>
      </c>
      <c r="I2391" t="s">
        <v>114</v>
      </c>
    </row>
    <row r="2392" spans="1:9" x14ac:dyDescent="0.35">
      <c r="A2392" s="2">
        <v>45488</v>
      </c>
      <c r="B2392">
        <v>87</v>
      </c>
      <c r="C2392">
        <v>1111001</v>
      </c>
      <c r="D2392" t="s">
        <v>16</v>
      </c>
      <c r="E2392" t="s">
        <v>1805</v>
      </c>
      <c r="F2392" s="3">
        <v>0</v>
      </c>
      <c r="G2392" s="3">
        <v>12000</v>
      </c>
      <c r="H2392" s="3">
        <v>-12000</v>
      </c>
      <c r="I2392" t="s">
        <v>114</v>
      </c>
    </row>
    <row r="2393" spans="1:9" x14ac:dyDescent="0.35">
      <c r="A2393" s="2">
        <v>45488</v>
      </c>
      <c r="B2393">
        <v>87</v>
      </c>
      <c r="C2393">
        <v>1111001</v>
      </c>
      <c r="D2393" t="s">
        <v>16</v>
      </c>
      <c r="E2393" t="s">
        <v>912</v>
      </c>
      <c r="F2393" s="3">
        <v>0</v>
      </c>
      <c r="G2393" s="3">
        <v>1600</v>
      </c>
      <c r="H2393" s="3">
        <v>-1600</v>
      </c>
      <c r="I2393" t="s">
        <v>114</v>
      </c>
    </row>
    <row r="2394" spans="1:9" x14ac:dyDescent="0.35">
      <c r="A2394" s="2">
        <v>45488</v>
      </c>
      <c r="B2394">
        <v>87</v>
      </c>
      <c r="C2394">
        <v>5131016</v>
      </c>
      <c r="D2394" t="s">
        <v>238</v>
      </c>
      <c r="E2394" t="s">
        <v>913</v>
      </c>
      <c r="F2394" s="3">
        <v>1095</v>
      </c>
      <c r="G2394" s="3">
        <v>0</v>
      </c>
      <c r="H2394" s="3">
        <v>1095</v>
      </c>
      <c r="I2394" t="s">
        <v>144</v>
      </c>
    </row>
    <row r="2395" spans="1:9" x14ac:dyDescent="0.35">
      <c r="A2395" s="2">
        <v>45488</v>
      </c>
      <c r="B2395">
        <v>87</v>
      </c>
      <c r="C2395">
        <v>2114001</v>
      </c>
      <c r="D2395" t="s">
        <v>97</v>
      </c>
      <c r="E2395" t="s">
        <v>913</v>
      </c>
      <c r="F2395" s="3">
        <v>0</v>
      </c>
      <c r="G2395" s="3">
        <v>1095</v>
      </c>
      <c r="H2395" s="3">
        <v>-1095</v>
      </c>
      <c r="I2395" t="s">
        <v>144</v>
      </c>
    </row>
    <row r="2396" spans="1:9" x14ac:dyDescent="0.35">
      <c r="A2396" s="2">
        <v>45488</v>
      </c>
      <c r="B2396">
        <v>87</v>
      </c>
      <c r="C2396">
        <v>6121023</v>
      </c>
      <c r="D2396" t="s">
        <v>49</v>
      </c>
      <c r="E2396" t="s">
        <v>914</v>
      </c>
      <c r="F2396" s="3">
        <v>1040</v>
      </c>
      <c r="G2396" s="3">
        <v>0</v>
      </c>
      <c r="H2396" s="3">
        <v>1040</v>
      </c>
      <c r="I2396" t="s">
        <v>144</v>
      </c>
    </row>
    <row r="2397" spans="1:9" x14ac:dyDescent="0.35">
      <c r="A2397" s="2">
        <v>45488</v>
      </c>
      <c r="B2397">
        <v>87</v>
      </c>
      <c r="C2397">
        <v>2114001</v>
      </c>
      <c r="D2397" t="s">
        <v>97</v>
      </c>
      <c r="E2397" t="s">
        <v>914</v>
      </c>
      <c r="F2397" s="3">
        <v>0</v>
      </c>
      <c r="G2397" s="3">
        <v>1040</v>
      </c>
      <c r="H2397" s="3">
        <v>-1040</v>
      </c>
      <c r="I2397" t="s">
        <v>144</v>
      </c>
    </row>
    <row r="2398" spans="1:9" x14ac:dyDescent="0.35">
      <c r="A2398" s="2">
        <v>45488</v>
      </c>
      <c r="B2398">
        <v>87</v>
      </c>
      <c r="C2398">
        <v>2114010</v>
      </c>
      <c r="D2398" t="s">
        <v>48</v>
      </c>
      <c r="E2398" t="s">
        <v>915</v>
      </c>
      <c r="F2398" s="3">
        <v>0</v>
      </c>
      <c r="G2398" s="3">
        <v>589.54</v>
      </c>
      <c r="H2398" s="3">
        <v>-589.54</v>
      </c>
      <c r="I2398" t="s">
        <v>144</v>
      </c>
    </row>
    <row r="2399" spans="1:9" x14ac:dyDescent="0.35">
      <c r="A2399" s="2">
        <v>45488</v>
      </c>
      <c r="B2399">
        <v>87</v>
      </c>
      <c r="C2399">
        <v>2114001</v>
      </c>
      <c r="D2399" t="s">
        <v>97</v>
      </c>
      <c r="E2399" t="s">
        <v>915</v>
      </c>
      <c r="F2399" s="3">
        <v>589.54</v>
      </c>
      <c r="G2399" s="3">
        <v>0</v>
      </c>
      <c r="H2399" s="3">
        <v>589.54</v>
      </c>
      <c r="I2399" t="s">
        <v>144</v>
      </c>
    </row>
    <row r="2400" spans="1:9" x14ac:dyDescent="0.35">
      <c r="A2400" s="2">
        <v>45504</v>
      </c>
      <c r="B2400">
        <v>88</v>
      </c>
      <c r="C2400">
        <v>6121023</v>
      </c>
      <c r="D2400" t="s">
        <v>49</v>
      </c>
      <c r="E2400" t="s">
        <v>52</v>
      </c>
      <c r="F2400" s="3">
        <v>1241.58</v>
      </c>
      <c r="G2400" s="3">
        <v>0</v>
      </c>
      <c r="H2400" s="3">
        <v>1241.58</v>
      </c>
      <c r="I2400" t="s">
        <v>916</v>
      </c>
    </row>
    <row r="2401" spans="1:9" x14ac:dyDescent="0.35">
      <c r="A2401" s="2">
        <v>45504</v>
      </c>
      <c r="B2401">
        <v>88</v>
      </c>
      <c r="C2401">
        <v>2114010</v>
      </c>
      <c r="D2401" t="s">
        <v>48</v>
      </c>
      <c r="E2401" t="s">
        <v>52</v>
      </c>
      <c r="F2401" s="3">
        <v>0</v>
      </c>
      <c r="G2401" s="3">
        <v>1241.58</v>
      </c>
      <c r="H2401" s="3">
        <v>-1241.58</v>
      </c>
      <c r="I2401" t="s">
        <v>916</v>
      </c>
    </row>
    <row r="2402" spans="1:9" x14ac:dyDescent="0.35">
      <c r="A2402" s="2">
        <v>45504</v>
      </c>
      <c r="B2402">
        <v>88</v>
      </c>
      <c r="C2402">
        <v>6121023</v>
      </c>
      <c r="D2402" t="s">
        <v>49</v>
      </c>
      <c r="E2402" t="s">
        <v>166</v>
      </c>
      <c r="F2402" s="3">
        <v>273.12</v>
      </c>
      <c r="G2402" s="3">
        <v>0</v>
      </c>
      <c r="H2402" s="3">
        <v>273.12</v>
      </c>
      <c r="I2402" t="s">
        <v>917</v>
      </c>
    </row>
    <row r="2403" spans="1:9" x14ac:dyDescent="0.35">
      <c r="A2403" s="2">
        <v>45504</v>
      </c>
      <c r="B2403">
        <v>88</v>
      </c>
      <c r="C2403">
        <v>6121046</v>
      </c>
      <c r="D2403" t="s">
        <v>94</v>
      </c>
      <c r="E2403" t="s">
        <v>166</v>
      </c>
      <c r="F2403" s="3">
        <v>8.19</v>
      </c>
      <c r="G2403" s="3">
        <v>0</v>
      </c>
      <c r="H2403" s="3">
        <v>8.19</v>
      </c>
      <c r="I2403" t="s">
        <v>917</v>
      </c>
    </row>
    <row r="2404" spans="1:9" x14ac:dyDescent="0.35">
      <c r="A2404" s="2">
        <v>45504</v>
      </c>
      <c r="B2404">
        <v>88</v>
      </c>
      <c r="C2404">
        <v>2114010</v>
      </c>
      <c r="D2404" t="s">
        <v>48</v>
      </c>
      <c r="E2404" t="s">
        <v>166</v>
      </c>
      <c r="F2404" s="3">
        <v>0</v>
      </c>
      <c r="G2404" s="3">
        <v>8.19</v>
      </c>
      <c r="H2404" s="3">
        <v>-8.19</v>
      </c>
      <c r="I2404" t="s">
        <v>917</v>
      </c>
    </row>
    <row r="2405" spans="1:9" x14ac:dyDescent="0.35">
      <c r="A2405" s="2">
        <v>45504</v>
      </c>
      <c r="B2405">
        <v>88</v>
      </c>
      <c r="C2405">
        <v>2114010</v>
      </c>
      <c r="D2405" t="s">
        <v>48</v>
      </c>
      <c r="E2405" t="s">
        <v>166</v>
      </c>
      <c r="F2405" s="3">
        <v>0</v>
      </c>
      <c r="G2405" s="3">
        <v>273.12</v>
      </c>
      <c r="H2405" s="3">
        <v>-273.12</v>
      </c>
      <c r="I2405" t="s">
        <v>917</v>
      </c>
    </row>
    <row r="2406" spans="1:9" x14ac:dyDescent="0.35">
      <c r="A2406" s="2">
        <v>45504</v>
      </c>
      <c r="B2406">
        <v>88</v>
      </c>
      <c r="C2406">
        <v>6121023</v>
      </c>
      <c r="D2406" t="s">
        <v>49</v>
      </c>
      <c r="E2406" t="s">
        <v>52</v>
      </c>
      <c r="F2406" s="3">
        <v>807.69</v>
      </c>
      <c r="G2406" s="3">
        <v>0</v>
      </c>
      <c r="H2406" s="3">
        <v>807.69</v>
      </c>
      <c r="I2406" t="s">
        <v>918</v>
      </c>
    </row>
    <row r="2407" spans="1:9" x14ac:dyDescent="0.35">
      <c r="A2407" s="2">
        <v>45504</v>
      </c>
      <c r="B2407">
        <v>88</v>
      </c>
      <c r="C2407">
        <v>2114010</v>
      </c>
      <c r="D2407" t="s">
        <v>48</v>
      </c>
      <c r="E2407" t="s">
        <v>52</v>
      </c>
      <c r="F2407" s="3">
        <v>0</v>
      </c>
      <c r="G2407" s="3">
        <v>807.69</v>
      </c>
      <c r="H2407" s="3">
        <v>-807.69</v>
      </c>
      <c r="I2407" t="s">
        <v>918</v>
      </c>
    </row>
    <row r="2408" spans="1:9" x14ac:dyDescent="0.35">
      <c r="A2408" s="2">
        <v>45504</v>
      </c>
      <c r="B2408">
        <v>88</v>
      </c>
      <c r="C2408">
        <v>6121023</v>
      </c>
      <c r="D2408" t="s">
        <v>49</v>
      </c>
      <c r="E2408" t="s">
        <v>660</v>
      </c>
      <c r="F2408" s="3">
        <v>1353.21</v>
      </c>
      <c r="G2408" s="3">
        <v>0</v>
      </c>
      <c r="H2408" s="3">
        <v>1353.21</v>
      </c>
      <c r="I2408" t="s">
        <v>919</v>
      </c>
    </row>
    <row r="2409" spans="1:9" x14ac:dyDescent="0.35">
      <c r="A2409" s="2">
        <v>45504</v>
      </c>
      <c r="B2409">
        <v>88</v>
      </c>
      <c r="C2409">
        <v>2114010</v>
      </c>
      <c r="D2409" t="s">
        <v>48</v>
      </c>
      <c r="E2409" t="s">
        <v>660</v>
      </c>
      <c r="F2409" s="3">
        <v>0</v>
      </c>
      <c r="G2409" s="3">
        <v>1353.21</v>
      </c>
      <c r="H2409" s="3">
        <v>-1353.21</v>
      </c>
      <c r="I2409" t="s">
        <v>919</v>
      </c>
    </row>
    <row r="2410" spans="1:9" x14ac:dyDescent="0.35">
      <c r="A2410" s="2">
        <v>45504</v>
      </c>
      <c r="B2410">
        <v>88</v>
      </c>
      <c r="C2410">
        <v>6121023</v>
      </c>
      <c r="D2410" t="s">
        <v>49</v>
      </c>
      <c r="E2410" t="s">
        <v>159</v>
      </c>
      <c r="F2410" s="3">
        <v>170.04</v>
      </c>
      <c r="G2410" s="3">
        <v>0</v>
      </c>
      <c r="H2410" s="3">
        <v>170.04</v>
      </c>
      <c r="I2410" t="s">
        <v>920</v>
      </c>
    </row>
    <row r="2411" spans="1:9" x14ac:dyDescent="0.35">
      <c r="A2411" s="2">
        <v>45504</v>
      </c>
      <c r="B2411">
        <v>88</v>
      </c>
      <c r="C2411">
        <v>2114010</v>
      </c>
      <c r="D2411" t="s">
        <v>48</v>
      </c>
      <c r="E2411" t="s">
        <v>159</v>
      </c>
      <c r="F2411" s="3">
        <v>0</v>
      </c>
      <c r="G2411" s="3">
        <v>170.04</v>
      </c>
      <c r="H2411" s="3">
        <v>-170.04</v>
      </c>
      <c r="I2411" t="s">
        <v>920</v>
      </c>
    </row>
    <row r="2412" spans="1:9" x14ac:dyDescent="0.35">
      <c r="A2412" s="2">
        <v>45504</v>
      </c>
      <c r="B2412">
        <v>88</v>
      </c>
      <c r="C2412">
        <v>6121023</v>
      </c>
      <c r="D2412" t="s">
        <v>49</v>
      </c>
      <c r="E2412" t="s">
        <v>172</v>
      </c>
      <c r="F2412" s="3">
        <v>81.03</v>
      </c>
      <c r="G2412" s="3">
        <v>0</v>
      </c>
      <c r="H2412" s="3">
        <v>81.03</v>
      </c>
      <c r="I2412" t="s">
        <v>921</v>
      </c>
    </row>
    <row r="2413" spans="1:9" x14ac:dyDescent="0.35">
      <c r="A2413" s="2">
        <v>45504</v>
      </c>
      <c r="B2413">
        <v>88</v>
      </c>
      <c r="C2413">
        <v>2114010</v>
      </c>
      <c r="D2413" t="s">
        <v>48</v>
      </c>
      <c r="E2413" t="s">
        <v>172</v>
      </c>
      <c r="F2413" s="3">
        <v>0</v>
      </c>
      <c r="G2413" s="3">
        <v>81.03</v>
      </c>
      <c r="H2413" s="3">
        <v>-81.03</v>
      </c>
      <c r="I2413" t="s">
        <v>921</v>
      </c>
    </row>
    <row r="2414" spans="1:9" x14ac:dyDescent="0.35">
      <c r="A2414" s="2">
        <v>45504</v>
      </c>
      <c r="B2414">
        <v>88</v>
      </c>
      <c r="C2414">
        <v>6121023</v>
      </c>
      <c r="D2414" t="s">
        <v>49</v>
      </c>
      <c r="E2414" t="s">
        <v>166</v>
      </c>
      <c r="F2414" s="3">
        <v>1088.75</v>
      </c>
      <c r="G2414" s="3">
        <v>0</v>
      </c>
      <c r="H2414" s="3">
        <v>1088.75</v>
      </c>
      <c r="I2414" t="s">
        <v>922</v>
      </c>
    </row>
    <row r="2415" spans="1:9" x14ac:dyDescent="0.35">
      <c r="A2415" s="2">
        <v>45504</v>
      </c>
      <c r="B2415">
        <v>88</v>
      </c>
      <c r="C2415">
        <v>2114010</v>
      </c>
      <c r="D2415" t="s">
        <v>48</v>
      </c>
      <c r="E2415" t="s">
        <v>166</v>
      </c>
      <c r="F2415" s="3">
        <v>0</v>
      </c>
      <c r="G2415" s="3">
        <v>1088.75</v>
      </c>
      <c r="H2415" s="3">
        <v>-1088.75</v>
      </c>
      <c r="I2415" t="s">
        <v>922</v>
      </c>
    </row>
    <row r="2416" spans="1:9" x14ac:dyDescent="0.35">
      <c r="A2416" s="2">
        <v>45504</v>
      </c>
      <c r="B2416">
        <v>88</v>
      </c>
      <c r="C2416">
        <v>6121023</v>
      </c>
      <c r="D2416" t="s">
        <v>49</v>
      </c>
      <c r="E2416" t="s">
        <v>923</v>
      </c>
      <c r="F2416" s="3">
        <v>182.7</v>
      </c>
      <c r="G2416" s="3">
        <v>0</v>
      </c>
      <c r="H2416" s="3">
        <v>182.7</v>
      </c>
      <c r="I2416" t="s">
        <v>924</v>
      </c>
    </row>
    <row r="2417" spans="1:9" x14ac:dyDescent="0.35">
      <c r="A2417" s="2">
        <v>45504</v>
      </c>
      <c r="B2417">
        <v>88</v>
      </c>
      <c r="C2417">
        <v>2114010</v>
      </c>
      <c r="D2417" t="s">
        <v>48</v>
      </c>
      <c r="E2417" t="s">
        <v>923</v>
      </c>
      <c r="F2417" s="3">
        <v>0</v>
      </c>
      <c r="G2417" s="3">
        <v>182.7</v>
      </c>
      <c r="H2417" s="3">
        <v>-182.7</v>
      </c>
      <c r="I2417" t="s">
        <v>924</v>
      </c>
    </row>
    <row r="2418" spans="1:9" x14ac:dyDescent="0.35">
      <c r="A2418" s="2">
        <v>45504</v>
      </c>
      <c r="B2418">
        <v>88</v>
      </c>
      <c r="C2418">
        <v>4112003</v>
      </c>
      <c r="D2418" t="s">
        <v>58</v>
      </c>
      <c r="E2418" t="s">
        <v>59</v>
      </c>
      <c r="F2418" s="3">
        <v>0</v>
      </c>
      <c r="G2418" s="3">
        <v>6259.26</v>
      </c>
      <c r="H2418" s="3">
        <v>-6259.26</v>
      </c>
      <c r="I2418" t="s">
        <v>925</v>
      </c>
    </row>
    <row r="2419" spans="1:9" x14ac:dyDescent="0.35">
      <c r="A2419" s="2">
        <v>45504</v>
      </c>
      <c r="B2419">
        <v>88</v>
      </c>
      <c r="C2419">
        <v>2121001</v>
      </c>
      <c r="D2419" t="s">
        <v>27</v>
      </c>
      <c r="E2419" t="s">
        <v>59</v>
      </c>
      <c r="F2419" s="3">
        <v>0</v>
      </c>
      <c r="G2419" s="3">
        <v>1001.48</v>
      </c>
      <c r="H2419" s="3">
        <v>-1001.48</v>
      </c>
      <c r="I2419" t="s">
        <v>925</v>
      </c>
    </row>
    <row r="2420" spans="1:9" x14ac:dyDescent="0.35">
      <c r="A2420" s="2">
        <v>45504</v>
      </c>
      <c r="B2420">
        <v>88</v>
      </c>
      <c r="C2420">
        <v>1111001</v>
      </c>
      <c r="D2420" t="s">
        <v>16</v>
      </c>
      <c r="E2420" t="s">
        <v>59</v>
      </c>
      <c r="F2420" s="3">
        <v>7260.74</v>
      </c>
      <c r="G2420" s="3">
        <v>0</v>
      </c>
      <c r="H2420" s="3">
        <v>7260.74</v>
      </c>
      <c r="I2420" t="s">
        <v>925</v>
      </c>
    </row>
    <row r="2421" spans="1:9" x14ac:dyDescent="0.35">
      <c r="A2421" s="2">
        <v>45504</v>
      </c>
      <c r="B2421">
        <v>88</v>
      </c>
      <c r="C2421">
        <v>4112003</v>
      </c>
      <c r="D2421" t="s">
        <v>58</v>
      </c>
      <c r="E2421" t="s">
        <v>59</v>
      </c>
      <c r="F2421" s="3">
        <v>0</v>
      </c>
      <c r="G2421" s="3">
        <v>5974.8</v>
      </c>
      <c r="H2421" s="3">
        <v>-5974.8</v>
      </c>
      <c r="I2421" t="s">
        <v>925</v>
      </c>
    </row>
    <row r="2422" spans="1:9" x14ac:dyDescent="0.35">
      <c r="A2422" s="2">
        <v>45504</v>
      </c>
      <c r="B2422">
        <v>88</v>
      </c>
      <c r="C2422">
        <v>2121001</v>
      </c>
      <c r="D2422" t="s">
        <v>27</v>
      </c>
      <c r="E2422" t="s">
        <v>59</v>
      </c>
      <c r="F2422" s="3">
        <v>0</v>
      </c>
      <c r="G2422" s="3">
        <v>955.97</v>
      </c>
      <c r="H2422" s="3">
        <v>-955.97</v>
      </c>
      <c r="I2422" t="s">
        <v>925</v>
      </c>
    </row>
    <row r="2423" spans="1:9" x14ac:dyDescent="0.35">
      <c r="A2423" s="2">
        <v>45504</v>
      </c>
      <c r="B2423">
        <v>88</v>
      </c>
      <c r="C2423">
        <v>1111001</v>
      </c>
      <c r="D2423" t="s">
        <v>16</v>
      </c>
      <c r="E2423" t="s">
        <v>59</v>
      </c>
      <c r="F2423" s="3">
        <v>6930.77</v>
      </c>
      <c r="G2423" s="3">
        <v>0</v>
      </c>
      <c r="H2423" s="3">
        <v>6930.77</v>
      </c>
      <c r="I2423" t="s">
        <v>925</v>
      </c>
    </row>
    <row r="2424" spans="1:9" x14ac:dyDescent="0.35">
      <c r="A2424" s="2">
        <v>45504</v>
      </c>
      <c r="B2424">
        <v>88</v>
      </c>
      <c r="C2424">
        <v>4112003</v>
      </c>
      <c r="D2424" t="s">
        <v>58</v>
      </c>
      <c r="E2424" t="s">
        <v>59</v>
      </c>
      <c r="F2424" s="3">
        <v>0</v>
      </c>
      <c r="G2424" s="3">
        <v>7122.13</v>
      </c>
      <c r="H2424" s="3">
        <v>-7122.13</v>
      </c>
      <c r="I2424" t="s">
        <v>925</v>
      </c>
    </row>
    <row r="2425" spans="1:9" x14ac:dyDescent="0.35">
      <c r="A2425" s="2">
        <v>45504</v>
      </c>
      <c r="B2425">
        <v>88</v>
      </c>
      <c r="C2425">
        <v>2121001</v>
      </c>
      <c r="D2425" t="s">
        <v>27</v>
      </c>
      <c r="E2425" t="s">
        <v>59</v>
      </c>
      <c r="F2425" s="3">
        <v>0</v>
      </c>
      <c r="G2425" s="3">
        <v>1139.54</v>
      </c>
      <c r="H2425" s="3">
        <v>-1139.54</v>
      </c>
      <c r="I2425" t="s">
        <v>925</v>
      </c>
    </row>
    <row r="2426" spans="1:9" x14ac:dyDescent="0.35">
      <c r="A2426" s="2">
        <v>45504</v>
      </c>
      <c r="B2426">
        <v>88</v>
      </c>
      <c r="C2426">
        <v>1111001</v>
      </c>
      <c r="D2426" t="s">
        <v>16</v>
      </c>
      <c r="E2426" t="s">
        <v>59</v>
      </c>
      <c r="F2426" s="3">
        <v>8261.67</v>
      </c>
      <c r="G2426" s="3">
        <v>0</v>
      </c>
      <c r="H2426" s="3">
        <v>8261.67</v>
      </c>
      <c r="I2426" t="s">
        <v>925</v>
      </c>
    </row>
    <row r="2427" spans="1:9" x14ac:dyDescent="0.35">
      <c r="A2427" s="2">
        <v>45504</v>
      </c>
      <c r="B2427">
        <v>88</v>
      </c>
      <c r="C2427">
        <v>4112003</v>
      </c>
      <c r="D2427" t="s">
        <v>58</v>
      </c>
      <c r="E2427" t="s">
        <v>59</v>
      </c>
      <c r="F2427" s="3">
        <v>0</v>
      </c>
      <c r="G2427" s="3">
        <v>6069.59</v>
      </c>
      <c r="H2427" s="3">
        <v>-6069.59</v>
      </c>
      <c r="I2427" t="s">
        <v>925</v>
      </c>
    </row>
    <row r="2428" spans="1:9" x14ac:dyDescent="0.35">
      <c r="A2428" s="2">
        <v>45504</v>
      </c>
      <c r="B2428">
        <v>88</v>
      </c>
      <c r="C2428">
        <v>2121001</v>
      </c>
      <c r="D2428" t="s">
        <v>27</v>
      </c>
      <c r="E2428" t="s">
        <v>59</v>
      </c>
      <c r="F2428" s="3">
        <v>0</v>
      </c>
      <c r="G2428" s="3">
        <v>971.13</v>
      </c>
      <c r="H2428" s="3">
        <v>-971.13</v>
      </c>
      <c r="I2428" t="s">
        <v>925</v>
      </c>
    </row>
    <row r="2429" spans="1:9" x14ac:dyDescent="0.35">
      <c r="A2429" s="2">
        <v>45504</v>
      </c>
      <c r="B2429">
        <v>88</v>
      </c>
      <c r="C2429">
        <v>1111001</v>
      </c>
      <c r="D2429" t="s">
        <v>16</v>
      </c>
      <c r="E2429" t="s">
        <v>59</v>
      </c>
      <c r="F2429" s="3">
        <v>7040.72</v>
      </c>
      <c r="G2429" s="3">
        <v>0</v>
      </c>
      <c r="H2429" s="3">
        <v>7040.72</v>
      </c>
      <c r="I2429" t="s">
        <v>925</v>
      </c>
    </row>
    <row r="2430" spans="1:9" x14ac:dyDescent="0.35">
      <c r="A2430" s="2">
        <v>45504</v>
      </c>
      <c r="B2430">
        <v>88</v>
      </c>
      <c r="C2430">
        <v>4112003</v>
      </c>
      <c r="D2430" t="s">
        <v>58</v>
      </c>
      <c r="E2430" t="s">
        <v>59</v>
      </c>
      <c r="F2430" s="3">
        <v>0</v>
      </c>
      <c r="G2430" s="3">
        <v>3508.89</v>
      </c>
      <c r="H2430" s="3">
        <v>-3508.89</v>
      </c>
      <c r="I2430" t="s">
        <v>925</v>
      </c>
    </row>
    <row r="2431" spans="1:9" x14ac:dyDescent="0.35">
      <c r="A2431" s="2">
        <v>45504</v>
      </c>
      <c r="B2431">
        <v>88</v>
      </c>
      <c r="C2431">
        <v>2121001</v>
      </c>
      <c r="D2431" t="s">
        <v>27</v>
      </c>
      <c r="E2431" t="s">
        <v>59</v>
      </c>
      <c r="F2431" s="3">
        <v>0</v>
      </c>
      <c r="G2431" s="3">
        <v>561.41999999999996</v>
      </c>
      <c r="H2431" s="3">
        <v>-561.41999999999996</v>
      </c>
      <c r="I2431" t="s">
        <v>925</v>
      </c>
    </row>
    <row r="2432" spans="1:9" x14ac:dyDescent="0.35">
      <c r="A2432" s="2">
        <v>45504</v>
      </c>
      <c r="B2432">
        <v>88</v>
      </c>
      <c r="C2432">
        <v>1111001</v>
      </c>
      <c r="D2432" t="s">
        <v>16</v>
      </c>
      <c r="E2432" t="s">
        <v>59</v>
      </c>
      <c r="F2432" s="3">
        <v>4070.31</v>
      </c>
      <c r="G2432" s="3">
        <v>0</v>
      </c>
      <c r="H2432" s="3">
        <v>4070.31</v>
      </c>
      <c r="I2432" t="s">
        <v>925</v>
      </c>
    </row>
    <row r="2433" spans="1:9" x14ac:dyDescent="0.35">
      <c r="A2433" s="2">
        <v>45504</v>
      </c>
      <c r="B2433">
        <v>88</v>
      </c>
      <c r="C2433">
        <v>4112003</v>
      </c>
      <c r="D2433" t="s">
        <v>58</v>
      </c>
      <c r="E2433" t="s">
        <v>59</v>
      </c>
      <c r="F2433" s="3">
        <v>0</v>
      </c>
      <c r="G2433" s="3">
        <v>189.74</v>
      </c>
      <c r="H2433" s="3">
        <v>-189.74</v>
      </c>
      <c r="I2433" t="s">
        <v>925</v>
      </c>
    </row>
    <row r="2434" spans="1:9" x14ac:dyDescent="0.35">
      <c r="A2434" s="2">
        <v>45504</v>
      </c>
      <c r="B2434">
        <v>88</v>
      </c>
      <c r="C2434">
        <v>2121001</v>
      </c>
      <c r="D2434" t="s">
        <v>27</v>
      </c>
      <c r="E2434" t="s">
        <v>59</v>
      </c>
      <c r="F2434" s="3">
        <v>0</v>
      </c>
      <c r="G2434" s="3">
        <v>30.36</v>
      </c>
      <c r="H2434" s="3">
        <v>-30.36</v>
      </c>
      <c r="I2434" t="s">
        <v>925</v>
      </c>
    </row>
    <row r="2435" spans="1:9" x14ac:dyDescent="0.35">
      <c r="A2435" s="2">
        <v>45504</v>
      </c>
      <c r="B2435">
        <v>88</v>
      </c>
      <c r="C2435">
        <v>1111001</v>
      </c>
      <c r="D2435" t="s">
        <v>16</v>
      </c>
      <c r="E2435" t="s">
        <v>59</v>
      </c>
      <c r="F2435" s="3">
        <v>220.1</v>
      </c>
      <c r="G2435" s="3">
        <v>0</v>
      </c>
      <c r="H2435" s="3">
        <v>220.1</v>
      </c>
      <c r="I2435" t="s">
        <v>925</v>
      </c>
    </row>
    <row r="2436" spans="1:9" x14ac:dyDescent="0.35">
      <c r="A2436" s="2">
        <v>45504</v>
      </c>
      <c r="B2436">
        <v>88</v>
      </c>
      <c r="C2436">
        <v>4112003</v>
      </c>
      <c r="D2436" t="s">
        <v>58</v>
      </c>
      <c r="E2436" t="s">
        <v>59</v>
      </c>
      <c r="F2436" s="3">
        <v>0</v>
      </c>
      <c r="G2436" s="3">
        <v>5388.5</v>
      </c>
      <c r="H2436" s="3">
        <v>-5388.5</v>
      </c>
      <c r="I2436" t="s">
        <v>925</v>
      </c>
    </row>
    <row r="2437" spans="1:9" x14ac:dyDescent="0.35">
      <c r="A2437" s="2">
        <v>45504</v>
      </c>
      <c r="B2437">
        <v>88</v>
      </c>
      <c r="C2437">
        <v>2121001</v>
      </c>
      <c r="D2437" t="s">
        <v>27</v>
      </c>
      <c r="E2437" t="s">
        <v>59</v>
      </c>
      <c r="F2437" s="3">
        <v>0</v>
      </c>
      <c r="G2437" s="3">
        <v>862.16</v>
      </c>
      <c r="H2437" s="3">
        <v>-862.16</v>
      </c>
      <c r="I2437" t="s">
        <v>925</v>
      </c>
    </row>
    <row r="2438" spans="1:9" x14ac:dyDescent="0.35">
      <c r="A2438" s="2">
        <v>45504</v>
      </c>
      <c r="B2438">
        <v>88</v>
      </c>
      <c r="C2438">
        <v>1111001</v>
      </c>
      <c r="D2438" t="s">
        <v>16</v>
      </c>
      <c r="E2438" t="s">
        <v>59</v>
      </c>
      <c r="F2438" s="3">
        <v>6250.66</v>
      </c>
      <c r="G2438" s="3">
        <v>0</v>
      </c>
      <c r="H2438" s="3">
        <v>6250.66</v>
      </c>
      <c r="I2438" t="s">
        <v>925</v>
      </c>
    </row>
    <row r="2439" spans="1:9" x14ac:dyDescent="0.35">
      <c r="A2439" s="2">
        <v>45504</v>
      </c>
      <c r="B2439">
        <v>88</v>
      </c>
      <c r="C2439">
        <v>4112003</v>
      </c>
      <c r="D2439" t="s">
        <v>58</v>
      </c>
      <c r="E2439" t="s">
        <v>59</v>
      </c>
      <c r="F2439" s="3">
        <v>0</v>
      </c>
      <c r="G2439" s="3">
        <v>6638.5</v>
      </c>
      <c r="H2439" s="3">
        <v>-6638.5</v>
      </c>
      <c r="I2439" t="s">
        <v>925</v>
      </c>
    </row>
    <row r="2440" spans="1:9" x14ac:dyDescent="0.35">
      <c r="A2440" s="2">
        <v>45504</v>
      </c>
      <c r="B2440">
        <v>88</v>
      </c>
      <c r="C2440">
        <v>2121001</v>
      </c>
      <c r="D2440" t="s">
        <v>27</v>
      </c>
      <c r="E2440" t="s">
        <v>59</v>
      </c>
      <c r="F2440" s="3">
        <v>0</v>
      </c>
      <c r="G2440" s="3">
        <v>1062.1600000000001</v>
      </c>
      <c r="H2440" s="3">
        <v>-1062.1600000000001</v>
      </c>
      <c r="I2440" t="s">
        <v>925</v>
      </c>
    </row>
    <row r="2441" spans="1:9" x14ac:dyDescent="0.35">
      <c r="A2441" s="2">
        <v>45504</v>
      </c>
      <c r="B2441">
        <v>88</v>
      </c>
      <c r="C2441">
        <v>1111001</v>
      </c>
      <c r="D2441" t="s">
        <v>16</v>
      </c>
      <c r="E2441" t="s">
        <v>59</v>
      </c>
      <c r="F2441" s="3">
        <v>7700.66</v>
      </c>
      <c r="G2441" s="3">
        <v>0</v>
      </c>
      <c r="H2441" s="3">
        <v>7700.66</v>
      </c>
      <c r="I2441" t="s">
        <v>925</v>
      </c>
    </row>
    <row r="2442" spans="1:9" x14ac:dyDescent="0.35">
      <c r="A2442" s="2">
        <v>45504</v>
      </c>
      <c r="B2442">
        <v>88</v>
      </c>
      <c r="C2442">
        <v>4112003</v>
      </c>
      <c r="D2442" t="s">
        <v>58</v>
      </c>
      <c r="E2442" t="s">
        <v>59</v>
      </c>
      <c r="F2442" s="3">
        <v>0</v>
      </c>
      <c r="G2442" s="3">
        <v>4182.4399999999996</v>
      </c>
      <c r="H2442" s="3">
        <v>-4182.4399999999996</v>
      </c>
      <c r="I2442" t="s">
        <v>925</v>
      </c>
    </row>
    <row r="2443" spans="1:9" x14ac:dyDescent="0.35">
      <c r="A2443" s="2">
        <v>45504</v>
      </c>
      <c r="B2443">
        <v>88</v>
      </c>
      <c r="C2443">
        <v>2121001</v>
      </c>
      <c r="D2443" t="s">
        <v>27</v>
      </c>
      <c r="E2443" t="s">
        <v>59</v>
      </c>
      <c r="F2443" s="3">
        <v>0</v>
      </c>
      <c r="G2443" s="3">
        <v>669.19</v>
      </c>
      <c r="H2443" s="3">
        <v>-669.19</v>
      </c>
      <c r="I2443" t="s">
        <v>925</v>
      </c>
    </row>
    <row r="2444" spans="1:9" x14ac:dyDescent="0.35">
      <c r="A2444" s="2">
        <v>45504</v>
      </c>
      <c r="B2444">
        <v>88</v>
      </c>
      <c r="C2444">
        <v>1111001</v>
      </c>
      <c r="D2444" t="s">
        <v>16</v>
      </c>
      <c r="E2444" t="s">
        <v>59</v>
      </c>
      <c r="F2444" s="3">
        <v>4851.63</v>
      </c>
      <c r="G2444" s="3">
        <v>0</v>
      </c>
      <c r="H2444" s="3">
        <v>4851.63</v>
      </c>
      <c r="I2444" t="s">
        <v>925</v>
      </c>
    </row>
    <row r="2445" spans="1:9" x14ac:dyDescent="0.35">
      <c r="A2445" s="2">
        <v>45504</v>
      </c>
      <c r="B2445">
        <v>88</v>
      </c>
      <c r="C2445">
        <v>4112003</v>
      </c>
      <c r="D2445" t="s">
        <v>58</v>
      </c>
      <c r="E2445" t="s">
        <v>59</v>
      </c>
      <c r="F2445" s="3">
        <v>0</v>
      </c>
      <c r="G2445" s="3">
        <v>5595.33</v>
      </c>
      <c r="H2445" s="3">
        <v>-5595.33</v>
      </c>
      <c r="I2445" t="s">
        <v>925</v>
      </c>
    </row>
    <row r="2446" spans="1:9" x14ac:dyDescent="0.35">
      <c r="A2446" s="2">
        <v>45504</v>
      </c>
      <c r="B2446">
        <v>88</v>
      </c>
      <c r="C2446">
        <v>2121001</v>
      </c>
      <c r="D2446" t="s">
        <v>27</v>
      </c>
      <c r="E2446" t="s">
        <v>59</v>
      </c>
      <c r="F2446" s="3">
        <v>0</v>
      </c>
      <c r="G2446" s="3">
        <v>895.25</v>
      </c>
      <c r="H2446" s="3">
        <v>-895.25</v>
      </c>
      <c r="I2446" t="s">
        <v>925</v>
      </c>
    </row>
    <row r="2447" spans="1:9" x14ac:dyDescent="0.35">
      <c r="A2447" s="2">
        <v>45504</v>
      </c>
      <c r="B2447">
        <v>88</v>
      </c>
      <c r="C2447">
        <v>1111001</v>
      </c>
      <c r="D2447" t="s">
        <v>16</v>
      </c>
      <c r="E2447" t="s">
        <v>59</v>
      </c>
      <c r="F2447" s="3">
        <v>6490.58</v>
      </c>
      <c r="G2447" s="3">
        <v>0</v>
      </c>
      <c r="H2447" s="3">
        <v>6490.58</v>
      </c>
      <c r="I2447" t="s">
        <v>925</v>
      </c>
    </row>
    <row r="2448" spans="1:9" x14ac:dyDescent="0.35">
      <c r="A2448" s="2">
        <v>45504</v>
      </c>
      <c r="B2448">
        <v>88</v>
      </c>
      <c r="C2448">
        <v>4112003</v>
      </c>
      <c r="D2448" t="s">
        <v>58</v>
      </c>
      <c r="E2448" t="s">
        <v>59</v>
      </c>
      <c r="F2448" s="3">
        <v>0</v>
      </c>
      <c r="G2448" s="3">
        <v>6733.41</v>
      </c>
      <c r="H2448" s="3">
        <v>-6733.41</v>
      </c>
      <c r="I2448" t="s">
        <v>925</v>
      </c>
    </row>
    <row r="2449" spans="1:9" x14ac:dyDescent="0.35">
      <c r="A2449" s="2">
        <v>45504</v>
      </c>
      <c r="B2449">
        <v>88</v>
      </c>
      <c r="C2449">
        <v>2121001</v>
      </c>
      <c r="D2449" t="s">
        <v>27</v>
      </c>
      <c r="E2449" t="s">
        <v>59</v>
      </c>
      <c r="F2449" s="3">
        <v>0</v>
      </c>
      <c r="G2449" s="3">
        <v>1077.3499999999999</v>
      </c>
      <c r="H2449" s="3">
        <v>-1077.3499999999999</v>
      </c>
      <c r="I2449" t="s">
        <v>925</v>
      </c>
    </row>
    <row r="2450" spans="1:9" x14ac:dyDescent="0.35">
      <c r="A2450" s="2">
        <v>45504</v>
      </c>
      <c r="B2450">
        <v>88</v>
      </c>
      <c r="C2450">
        <v>1111001</v>
      </c>
      <c r="D2450" t="s">
        <v>16</v>
      </c>
      <c r="E2450" t="s">
        <v>59</v>
      </c>
      <c r="F2450" s="3">
        <v>7810.76</v>
      </c>
      <c r="G2450" s="3">
        <v>0</v>
      </c>
      <c r="H2450" s="3">
        <v>7810.76</v>
      </c>
      <c r="I2450" t="s">
        <v>925</v>
      </c>
    </row>
    <row r="2451" spans="1:9" x14ac:dyDescent="0.35">
      <c r="A2451" s="2">
        <v>45504</v>
      </c>
      <c r="B2451">
        <v>88</v>
      </c>
      <c r="C2451">
        <v>4112003</v>
      </c>
      <c r="D2451" t="s">
        <v>58</v>
      </c>
      <c r="E2451" t="s">
        <v>59</v>
      </c>
      <c r="F2451" s="3">
        <v>0</v>
      </c>
      <c r="G2451" s="3">
        <v>2370.98</v>
      </c>
      <c r="H2451" s="3">
        <v>-2370.98</v>
      </c>
      <c r="I2451" t="s">
        <v>925</v>
      </c>
    </row>
    <row r="2452" spans="1:9" x14ac:dyDescent="0.35">
      <c r="A2452" s="2">
        <v>45504</v>
      </c>
      <c r="B2452">
        <v>88</v>
      </c>
      <c r="C2452">
        <v>2121001</v>
      </c>
      <c r="D2452" t="s">
        <v>27</v>
      </c>
      <c r="E2452" t="s">
        <v>59</v>
      </c>
      <c r="F2452" s="3">
        <v>0</v>
      </c>
      <c r="G2452" s="3">
        <v>379.36</v>
      </c>
      <c r="H2452" s="3">
        <v>-379.36</v>
      </c>
      <c r="I2452" t="s">
        <v>925</v>
      </c>
    </row>
    <row r="2453" spans="1:9" x14ac:dyDescent="0.35">
      <c r="A2453" s="2">
        <v>45504</v>
      </c>
      <c r="B2453">
        <v>88</v>
      </c>
      <c r="C2453">
        <v>1111001</v>
      </c>
      <c r="D2453" t="s">
        <v>16</v>
      </c>
      <c r="E2453" t="s">
        <v>59</v>
      </c>
      <c r="F2453" s="3">
        <v>2750.34</v>
      </c>
      <c r="G2453" s="3">
        <v>0</v>
      </c>
      <c r="H2453" s="3">
        <v>2750.34</v>
      </c>
      <c r="I2453" t="s">
        <v>925</v>
      </c>
    </row>
    <row r="2454" spans="1:9" x14ac:dyDescent="0.35">
      <c r="A2454" s="2">
        <v>45504</v>
      </c>
      <c r="B2454">
        <v>88</v>
      </c>
      <c r="C2454">
        <v>4112003</v>
      </c>
      <c r="D2454" t="s">
        <v>58</v>
      </c>
      <c r="E2454" t="s">
        <v>59</v>
      </c>
      <c r="F2454" s="3">
        <v>0</v>
      </c>
      <c r="G2454" s="3">
        <v>758.73</v>
      </c>
      <c r="H2454" s="3">
        <v>-758.73</v>
      </c>
      <c r="I2454" t="s">
        <v>925</v>
      </c>
    </row>
    <row r="2455" spans="1:9" x14ac:dyDescent="0.35">
      <c r="A2455" s="2">
        <v>45504</v>
      </c>
      <c r="B2455">
        <v>88</v>
      </c>
      <c r="C2455">
        <v>2121001</v>
      </c>
      <c r="D2455" t="s">
        <v>27</v>
      </c>
      <c r="E2455" t="s">
        <v>59</v>
      </c>
      <c r="F2455" s="3">
        <v>0</v>
      </c>
      <c r="G2455" s="3">
        <v>121.4</v>
      </c>
      <c r="H2455" s="3">
        <v>-121.4</v>
      </c>
      <c r="I2455" t="s">
        <v>925</v>
      </c>
    </row>
    <row r="2456" spans="1:9" x14ac:dyDescent="0.35">
      <c r="A2456" s="2">
        <v>45504</v>
      </c>
      <c r="B2456">
        <v>88</v>
      </c>
      <c r="C2456">
        <v>1111001</v>
      </c>
      <c r="D2456" t="s">
        <v>16</v>
      </c>
      <c r="E2456" t="s">
        <v>59</v>
      </c>
      <c r="F2456" s="3">
        <v>880.13</v>
      </c>
      <c r="G2456" s="3">
        <v>0</v>
      </c>
      <c r="H2456" s="3">
        <v>880.13</v>
      </c>
      <c r="I2456" t="s">
        <v>925</v>
      </c>
    </row>
    <row r="2457" spans="1:9" x14ac:dyDescent="0.35">
      <c r="A2457" s="2">
        <v>45504</v>
      </c>
      <c r="B2457">
        <v>88</v>
      </c>
      <c r="C2457">
        <v>4112003</v>
      </c>
      <c r="D2457" t="s">
        <v>58</v>
      </c>
      <c r="E2457" t="s">
        <v>59</v>
      </c>
      <c r="F2457" s="3">
        <v>0</v>
      </c>
      <c r="G2457" s="3">
        <v>2474.52</v>
      </c>
      <c r="H2457" s="3">
        <v>-2474.52</v>
      </c>
      <c r="I2457" t="s">
        <v>925</v>
      </c>
    </row>
    <row r="2458" spans="1:9" x14ac:dyDescent="0.35">
      <c r="A2458" s="2">
        <v>45504</v>
      </c>
      <c r="B2458">
        <v>88</v>
      </c>
      <c r="C2458">
        <v>2121001</v>
      </c>
      <c r="D2458" t="s">
        <v>27</v>
      </c>
      <c r="E2458" t="s">
        <v>59</v>
      </c>
      <c r="F2458" s="3">
        <v>0</v>
      </c>
      <c r="G2458" s="3">
        <v>395.92</v>
      </c>
      <c r="H2458" s="3">
        <v>-395.92</v>
      </c>
      <c r="I2458" t="s">
        <v>925</v>
      </c>
    </row>
    <row r="2459" spans="1:9" x14ac:dyDescent="0.35">
      <c r="A2459" s="2">
        <v>45504</v>
      </c>
      <c r="B2459">
        <v>88</v>
      </c>
      <c r="C2459">
        <v>1111001</v>
      </c>
      <c r="D2459" t="s">
        <v>16</v>
      </c>
      <c r="E2459" t="s">
        <v>59</v>
      </c>
      <c r="F2459" s="3">
        <v>2870.44</v>
      </c>
      <c r="G2459" s="3">
        <v>0</v>
      </c>
      <c r="H2459" s="3">
        <v>2870.44</v>
      </c>
      <c r="I2459" t="s">
        <v>925</v>
      </c>
    </row>
    <row r="2460" spans="1:9" x14ac:dyDescent="0.35">
      <c r="A2460" s="2">
        <v>45504</v>
      </c>
      <c r="B2460">
        <v>88</v>
      </c>
      <c r="C2460">
        <v>4112004</v>
      </c>
      <c r="D2460" t="s">
        <v>74</v>
      </c>
      <c r="E2460" t="s">
        <v>740</v>
      </c>
      <c r="F2460" s="3">
        <v>0</v>
      </c>
      <c r="G2460" s="3">
        <v>5805.49</v>
      </c>
      <c r="H2460" s="3">
        <v>-5805.49</v>
      </c>
      <c r="I2460" t="s">
        <v>926</v>
      </c>
    </row>
    <row r="2461" spans="1:9" x14ac:dyDescent="0.35">
      <c r="A2461" s="2">
        <v>45504</v>
      </c>
      <c r="B2461">
        <v>88</v>
      </c>
      <c r="C2461">
        <v>2121001</v>
      </c>
      <c r="D2461" t="s">
        <v>27</v>
      </c>
      <c r="E2461" t="s">
        <v>740</v>
      </c>
      <c r="F2461" s="3">
        <v>0</v>
      </c>
      <c r="G2461" s="3">
        <v>928.88</v>
      </c>
      <c r="H2461" s="3">
        <v>-928.88</v>
      </c>
      <c r="I2461" t="s">
        <v>926</v>
      </c>
    </row>
    <row r="2462" spans="1:9" x14ac:dyDescent="0.35">
      <c r="A2462" s="2">
        <v>45504</v>
      </c>
      <c r="B2462">
        <v>88</v>
      </c>
      <c r="C2462">
        <v>1111001</v>
      </c>
      <c r="D2462" t="s">
        <v>16</v>
      </c>
      <c r="E2462" t="s">
        <v>740</v>
      </c>
      <c r="F2462" s="3">
        <v>202.03</v>
      </c>
      <c r="G2462" s="3">
        <v>0</v>
      </c>
      <c r="H2462" s="3">
        <v>202.03</v>
      </c>
      <c r="I2462" t="s">
        <v>926</v>
      </c>
    </row>
    <row r="2463" spans="1:9" x14ac:dyDescent="0.35">
      <c r="A2463" s="2">
        <v>45504</v>
      </c>
      <c r="B2463">
        <v>88</v>
      </c>
      <c r="C2463">
        <v>2124007</v>
      </c>
      <c r="D2463" t="s">
        <v>30</v>
      </c>
      <c r="E2463" t="s">
        <v>740</v>
      </c>
      <c r="F2463" s="3">
        <v>0</v>
      </c>
      <c r="G2463" s="3">
        <v>202.03</v>
      </c>
      <c r="H2463" s="3">
        <v>-202.03</v>
      </c>
      <c r="I2463" t="s">
        <v>926</v>
      </c>
    </row>
    <row r="2464" spans="1:9" x14ac:dyDescent="0.35">
      <c r="A2464" s="2">
        <v>45504</v>
      </c>
      <c r="B2464">
        <v>88</v>
      </c>
      <c r="C2464">
        <v>1111001</v>
      </c>
      <c r="D2464" t="s">
        <v>16</v>
      </c>
      <c r="E2464" t="s">
        <v>740</v>
      </c>
      <c r="F2464" s="3">
        <v>6734.37</v>
      </c>
      <c r="G2464" s="3">
        <v>0</v>
      </c>
      <c r="H2464" s="3">
        <v>6734.37</v>
      </c>
      <c r="I2464" t="s">
        <v>926</v>
      </c>
    </row>
    <row r="2465" spans="1:9" x14ac:dyDescent="0.35">
      <c r="A2465" s="2">
        <v>45504</v>
      </c>
      <c r="B2465">
        <v>88</v>
      </c>
      <c r="C2465">
        <v>4112004</v>
      </c>
      <c r="D2465" t="s">
        <v>74</v>
      </c>
      <c r="E2465" t="s">
        <v>79</v>
      </c>
      <c r="F2465" s="3">
        <v>0</v>
      </c>
      <c r="G2465" s="3">
        <v>2366.67</v>
      </c>
      <c r="H2465" s="3">
        <v>-2366.67</v>
      </c>
      <c r="I2465" t="s">
        <v>927</v>
      </c>
    </row>
    <row r="2466" spans="1:9" x14ac:dyDescent="0.35">
      <c r="A2466" s="2">
        <v>45504</v>
      </c>
      <c r="B2466">
        <v>88</v>
      </c>
      <c r="C2466">
        <v>2121001</v>
      </c>
      <c r="D2466" t="s">
        <v>27</v>
      </c>
      <c r="E2466" t="s">
        <v>79</v>
      </c>
      <c r="F2466" s="3">
        <v>0</v>
      </c>
      <c r="G2466" s="3">
        <v>378.67</v>
      </c>
      <c r="H2466" s="3">
        <v>-378.67</v>
      </c>
      <c r="I2466" t="s">
        <v>927</v>
      </c>
    </row>
    <row r="2467" spans="1:9" x14ac:dyDescent="0.35">
      <c r="A2467" s="2">
        <v>45504</v>
      </c>
      <c r="B2467">
        <v>88</v>
      </c>
      <c r="C2467">
        <v>1111001</v>
      </c>
      <c r="D2467" t="s">
        <v>16</v>
      </c>
      <c r="E2467" t="s">
        <v>79</v>
      </c>
      <c r="F2467" s="3">
        <v>2745.34</v>
      </c>
      <c r="G2467" s="3">
        <v>0</v>
      </c>
      <c r="H2467" s="3">
        <v>2745.34</v>
      </c>
      <c r="I2467" t="s">
        <v>927</v>
      </c>
    </row>
    <row r="2468" spans="1:9" x14ac:dyDescent="0.35">
      <c r="A2468" s="2">
        <v>45504</v>
      </c>
      <c r="B2468">
        <v>88</v>
      </c>
      <c r="C2468">
        <v>4112004</v>
      </c>
      <c r="D2468" t="s">
        <v>74</v>
      </c>
      <c r="E2468" t="s">
        <v>195</v>
      </c>
      <c r="F2468" s="3">
        <v>0</v>
      </c>
      <c r="G2468" s="3">
        <v>3056.36</v>
      </c>
      <c r="H2468" s="3">
        <v>-3056.36</v>
      </c>
      <c r="I2468" t="s">
        <v>928</v>
      </c>
    </row>
    <row r="2469" spans="1:9" x14ac:dyDescent="0.35">
      <c r="A2469" s="2">
        <v>45504</v>
      </c>
      <c r="B2469">
        <v>88</v>
      </c>
      <c r="C2469">
        <v>2121001</v>
      </c>
      <c r="D2469" t="s">
        <v>27</v>
      </c>
      <c r="E2469" t="s">
        <v>195</v>
      </c>
      <c r="F2469" s="3">
        <v>0</v>
      </c>
      <c r="G2469" s="3">
        <v>489.02</v>
      </c>
      <c r="H2469" s="3">
        <v>-489.02</v>
      </c>
      <c r="I2469" t="s">
        <v>928</v>
      </c>
    </row>
    <row r="2470" spans="1:9" x14ac:dyDescent="0.35">
      <c r="A2470" s="2">
        <v>45504</v>
      </c>
      <c r="B2470">
        <v>88</v>
      </c>
      <c r="C2470">
        <v>1141002</v>
      </c>
      <c r="D2470" t="s">
        <v>23</v>
      </c>
      <c r="E2470" t="s">
        <v>195</v>
      </c>
      <c r="F2470" s="3">
        <v>366.76</v>
      </c>
      <c r="G2470" s="3">
        <v>0</v>
      </c>
      <c r="H2470" s="3">
        <v>366.76</v>
      </c>
      <c r="I2470" t="s">
        <v>1438</v>
      </c>
    </row>
    <row r="2471" spans="1:9" x14ac:dyDescent="0.35">
      <c r="A2471" s="2">
        <v>45504</v>
      </c>
      <c r="B2471">
        <v>88</v>
      </c>
      <c r="C2471">
        <v>1142001</v>
      </c>
      <c r="D2471" t="s">
        <v>199</v>
      </c>
      <c r="E2471" t="s">
        <v>195</v>
      </c>
      <c r="F2471" s="3">
        <v>61.13</v>
      </c>
      <c r="G2471" s="3">
        <v>0</v>
      </c>
      <c r="H2471" s="3">
        <v>61.13</v>
      </c>
      <c r="I2471" t="s">
        <v>1438</v>
      </c>
    </row>
    <row r="2472" spans="1:9" x14ac:dyDescent="0.35">
      <c r="A2472" s="2">
        <v>45504</v>
      </c>
      <c r="B2472">
        <v>88</v>
      </c>
      <c r="C2472">
        <v>1111001</v>
      </c>
      <c r="D2472" t="s">
        <v>16</v>
      </c>
      <c r="E2472" t="s">
        <v>195</v>
      </c>
      <c r="F2472" s="3">
        <v>106.36</v>
      </c>
      <c r="G2472" s="3">
        <v>0</v>
      </c>
      <c r="H2472" s="3">
        <v>106.36</v>
      </c>
      <c r="I2472" t="s">
        <v>928</v>
      </c>
    </row>
    <row r="2473" spans="1:9" x14ac:dyDescent="0.35">
      <c r="A2473" s="2">
        <v>45504</v>
      </c>
      <c r="B2473">
        <v>88</v>
      </c>
      <c r="C2473">
        <v>2124007</v>
      </c>
      <c r="D2473" t="s">
        <v>30</v>
      </c>
      <c r="E2473" t="s">
        <v>195</v>
      </c>
      <c r="F2473" s="3">
        <v>0</v>
      </c>
      <c r="G2473" s="3">
        <v>106.36</v>
      </c>
      <c r="H2473" s="3">
        <v>-106.36</v>
      </c>
      <c r="I2473" t="s">
        <v>928</v>
      </c>
    </row>
    <row r="2474" spans="1:9" x14ac:dyDescent="0.35">
      <c r="A2474" s="2">
        <v>45504</v>
      </c>
      <c r="B2474">
        <v>88</v>
      </c>
      <c r="C2474">
        <v>1111001</v>
      </c>
      <c r="D2474" t="s">
        <v>16</v>
      </c>
      <c r="E2474" t="s">
        <v>195</v>
      </c>
      <c r="F2474" s="3">
        <v>3117.49</v>
      </c>
      <c r="G2474" s="3">
        <v>0</v>
      </c>
      <c r="H2474" s="3">
        <v>3117.49</v>
      </c>
      <c r="I2474" t="s">
        <v>928</v>
      </c>
    </row>
    <row r="2475" spans="1:9" x14ac:dyDescent="0.35">
      <c r="A2475" s="2">
        <v>45504</v>
      </c>
      <c r="B2475">
        <v>88</v>
      </c>
      <c r="C2475">
        <v>4112004</v>
      </c>
      <c r="D2475" t="s">
        <v>74</v>
      </c>
      <c r="E2475" t="s">
        <v>200</v>
      </c>
      <c r="F2475" s="3">
        <v>0</v>
      </c>
      <c r="G2475" s="3">
        <v>1681.04</v>
      </c>
      <c r="H2475" s="3">
        <v>-1681.04</v>
      </c>
      <c r="I2475" t="s">
        <v>929</v>
      </c>
    </row>
    <row r="2476" spans="1:9" x14ac:dyDescent="0.35">
      <c r="A2476" s="2">
        <v>45504</v>
      </c>
      <c r="B2476">
        <v>88</v>
      </c>
      <c r="C2476">
        <v>2121001</v>
      </c>
      <c r="D2476" t="s">
        <v>27</v>
      </c>
      <c r="E2476" t="s">
        <v>200</v>
      </c>
      <c r="F2476" s="3">
        <v>0</v>
      </c>
      <c r="G2476" s="3">
        <v>268.97000000000003</v>
      </c>
      <c r="H2476" s="3">
        <v>-268.97000000000003</v>
      </c>
      <c r="I2476" t="s">
        <v>929</v>
      </c>
    </row>
    <row r="2477" spans="1:9" x14ac:dyDescent="0.35">
      <c r="A2477" s="2">
        <v>45504</v>
      </c>
      <c r="B2477">
        <v>88</v>
      </c>
      <c r="C2477">
        <v>1111001</v>
      </c>
      <c r="D2477" t="s">
        <v>16</v>
      </c>
      <c r="E2477" t="s">
        <v>200</v>
      </c>
      <c r="F2477" s="3">
        <v>1950.01</v>
      </c>
      <c r="G2477" s="3">
        <v>0</v>
      </c>
      <c r="H2477" s="3">
        <v>1950.01</v>
      </c>
      <c r="I2477" t="s">
        <v>929</v>
      </c>
    </row>
    <row r="2478" spans="1:9" x14ac:dyDescent="0.35">
      <c r="A2478" s="2">
        <v>45504</v>
      </c>
      <c r="B2478">
        <v>88</v>
      </c>
      <c r="C2478">
        <v>2121001</v>
      </c>
      <c r="D2478" t="s">
        <v>27</v>
      </c>
      <c r="E2478" t="s">
        <v>930</v>
      </c>
      <c r="F2478" s="3">
        <v>12188.22</v>
      </c>
      <c r="G2478" s="3">
        <v>0</v>
      </c>
      <c r="H2478" s="3">
        <v>12188.22</v>
      </c>
      <c r="I2478" t="s">
        <v>544</v>
      </c>
    </row>
    <row r="2479" spans="1:9" x14ac:dyDescent="0.35">
      <c r="A2479" s="2">
        <v>45504</v>
      </c>
      <c r="B2479">
        <v>88</v>
      </c>
      <c r="C2479">
        <v>1141002</v>
      </c>
      <c r="D2479" t="s">
        <v>23</v>
      </c>
      <c r="E2479" t="s">
        <v>930</v>
      </c>
      <c r="F2479" s="3">
        <v>0</v>
      </c>
      <c r="G2479" s="3">
        <v>366.76</v>
      </c>
      <c r="H2479" s="3">
        <v>-366.76</v>
      </c>
      <c r="I2479" t="s">
        <v>544</v>
      </c>
    </row>
    <row r="2480" spans="1:9" x14ac:dyDescent="0.35">
      <c r="A2480" s="2">
        <v>45504</v>
      </c>
      <c r="B2480">
        <v>88</v>
      </c>
      <c r="C2480">
        <v>2121003</v>
      </c>
      <c r="D2480" t="s">
        <v>28</v>
      </c>
      <c r="E2480" t="s">
        <v>930</v>
      </c>
      <c r="F2480" s="3">
        <v>0</v>
      </c>
      <c r="G2480" s="3">
        <v>11821.46</v>
      </c>
      <c r="H2480" s="3">
        <v>-11821.46</v>
      </c>
      <c r="I2480" t="s">
        <v>544</v>
      </c>
    </row>
    <row r="2481" spans="1:9" x14ac:dyDescent="0.35">
      <c r="A2481" s="2">
        <v>45504</v>
      </c>
      <c r="B2481">
        <v>88</v>
      </c>
      <c r="C2481">
        <v>1142004</v>
      </c>
      <c r="D2481" t="s">
        <v>83</v>
      </c>
      <c r="E2481" t="s">
        <v>502</v>
      </c>
      <c r="F2481" s="3">
        <v>761.76</v>
      </c>
      <c r="G2481" s="3">
        <v>0</v>
      </c>
      <c r="H2481" s="3">
        <v>761.76</v>
      </c>
      <c r="I2481" t="s">
        <v>503</v>
      </c>
    </row>
    <row r="2482" spans="1:9" x14ac:dyDescent="0.35">
      <c r="A2482" s="2">
        <v>45504</v>
      </c>
      <c r="B2482">
        <v>88</v>
      </c>
      <c r="C2482">
        <v>2124004</v>
      </c>
      <c r="D2482" t="s">
        <v>29</v>
      </c>
      <c r="E2482" t="s">
        <v>502</v>
      </c>
      <c r="F2482" s="3">
        <v>0</v>
      </c>
      <c r="G2482" s="3">
        <v>761.76</v>
      </c>
      <c r="H2482" s="3">
        <v>-761.76</v>
      </c>
      <c r="I2482" t="s">
        <v>503</v>
      </c>
    </row>
    <row r="2483" spans="1:9" x14ac:dyDescent="0.35">
      <c r="A2483" s="2">
        <v>45504</v>
      </c>
      <c r="B2483">
        <v>88</v>
      </c>
      <c r="C2483">
        <v>5131001</v>
      </c>
      <c r="D2483" t="s">
        <v>86</v>
      </c>
      <c r="E2483" t="s">
        <v>931</v>
      </c>
      <c r="F2483" s="3">
        <v>520</v>
      </c>
      <c r="G2483" s="3">
        <v>0</v>
      </c>
      <c r="H2483" s="3">
        <v>520</v>
      </c>
      <c r="I2483" t="s">
        <v>574</v>
      </c>
    </row>
    <row r="2484" spans="1:9" x14ac:dyDescent="0.35">
      <c r="A2484" s="2">
        <v>45504</v>
      </c>
      <c r="B2484">
        <v>88</v>
      </c>
      <c r="C2484">
        <v>5131005</v>
      </c>
      <c r="D2484" t="s">
        <v>205</v>
      </c>
      <c r="E2484" t="s">
        <v>931</v>
      </c>
      <c r="F2484" s="3">
        <v>5836.16</v>
      </c>
      <c r="G2484" s="3">
        <v>0</v>
      </c>
      <c r="H2484" s="3">
        <v>5836.16</v>
      </c>
      <c r="I2484" t="s">
        <v>574</v>
      </c>
    </row>
    <row r="2485" spans="1:9" x14ac:dyDescent="0.35">
      <c r="A2485" s="2">
        <v>45504</v>
      </c>
      <c r="B2485">
        <v>88</v>
      </c>
      <c r="C2485">
        <v>5131008</v>
      </c>
      <c r="D2485" t="s">
        <v>89</v>
      </c>
      <c r="E2485" t="s">
        <v>931</v>
      </c>
      <c r="F2485" s="3">
        <v>109.2</v>
      </c>
      <c r="G2485" s="3">
        <v>0</v>
      </c>
      <c r="H2485" s="3">
        <v>109.2</v>
      </c>
      <c r="I2485" t="s">
        <v>574</v>
      </c>
    </row>
    <row r="2486" spans="1:9" x14ac:dyDescent="0.35">
      <c r="A2486" s="2">
        <v>45504</v>
      </c>
      <c r="B2486">
        <v>88</v>
      </c>
      <c r="C2486">
        <v>5131009</v>
      </c>
      <c r="D2486" t="s">
        <v>90</v>
      </c>
      <c r="E2486" t="s">
        <v>931</v>
      </c>
      <c r="F2486" s="3">
        <v>21.67</v>
      </c>
      <c r="G2486" s="3">
        <v>0</v>
      </c>
      <c r="H2486" s="3">
        <v>21.67</v>
      </c>
      <c r="I2486" t="s">
        <v>574</v>
      </c>
    </row>
    <row r="2487" spans="1:9" x14ac:dyDescent="0.35">
      <c r="A2487" s="2">
        <v>45504</v>
      </c>
      <c r="B2487">
        <v>88</v>
      </c>
      <c r="C2487">
        <v>5131010</v>
      </c>
      <c r="D2487" t="s">
        <v>91</v>
      </c>
      <c r="E2487" t="s">
        <v>931</v>
      </c>
      <c r="F2487" s="3">
        <v>43.33</v>
      </c>
      <c r="G2487" s="3">
        <v>0</v>
      </c>
      <c r="H2487" s="3">
        <v>43.33</v>
      </c>
      <c r="I2487" t="s">
        <v>574</v>
      </c>
    </row>
    <row r="2488" spans="1:9" x14ac:dyDescent="0.35">
      <c r="A2488" s="2">
        <v>45504</v>
      </c>
      <c r="B2488">
        <v>88</v>
      </c>
      <c r="C2488">
        <v>5131012</v>
      </c>
      <c r="D2488" t="s">
        <v>206</v>
      </c>
      <c r="E2488" t="s">
        <v>931</v>
      </c>
      <c r="F2488" s="3">
        <v>57.2</v>
      </c>
      <c r="G2488" s="3">
        <v>0</v>
      </c>
      <c r="H2488" s="3">
        <v>57.2</v>
      </c>
      <c r="I2488" t="s">
        <v>574</v>
      </c>
    </row>
    <row r="2489" spans="1:9" x14ac:dyDescent="0.35">
      <c r="A2489" s="2">
        <v>45504</v>
      </c>
      <c r="B2489">
        <v>88</v>
      </c>
      <c r="C2489">
        <v>5131013</v>
      </c>
      <c r="D2489" t="s">
        <v>92</v>
      </c>
      <c r="E2489" t="s">
        <v>931</v>
      </c>
      <c r="F2489" s="3">
        <v>10.4</v>
      </c>
      <c r="G2489" s="3">
        <v>0</v>
      </c>
      <c r="H2489" s="3">
        <v>10.4</v>
      </c>
      <c r="I2489" t="s">
        <v>574</v>
      </c>
    </row>
    <row r="2490" spans="1:9" x14ac:dyDescent="0.35">
      <c r="A2490" s="2">
        <v>45504</v>
      </c>
      <c r="B2490">
        <v>88</v>
      </c>
      <c r="C2490">
        <v>5131014</v>
      </c>
      <c r="D2490" t="s">
        <v>207</v>
      </c>
      <c r="E2490" t="s">
        <v>931</v>
      </c>
      <c r="F2490" s="3">
        <v>10.4</v>
      </c>
      <c r="G2490" s="3">
        <v>0</v>
      </c>
      <c r="H2490" s="3">
        <v>10.4</v>
      </c>
      <c r="I2490" t="s">
        <v>574</v>
      </c>
    </row>
    <row r="2491" spans="1:9" x14ac:dyDescent="0.35">
      <c r="A2491" s="2">
        <v>45504</v>
      </c>
      <c r="B2491">
        <v>88</v>
      </c>
      <c r="C2491">
        <v>2131002</v>
      </c>
      <c r="D2491" t="s">
        <v>31</v>
      </c>
      <c r="E2491" t="s">
        <v>931</v>
      </c>
      <c r="F2491" s="3">
        <v>0</v>
      </c>
      <c r="G2491" s="3">
        <v>20.8</v>
      </c>
      <c r="H2491" s="3">
        <v>-20.8</v>
      </c>
      <c r="I2491" t="s">
        <v>574</v>
      </c>
    </row>
    <row r="2492" spans="1:9" x14ac:dyDescent="0.35">
      <c r="A2492" s="2">
        <v>45504</v>
      </c>
      <c r="B2492">
        <v>88</v>
      </c>
      <c r="C2492">
        <v>2131003</v>
      </c>
      <c r="D2492" t="s">
        <v>32</v>
      </c>
      <c r="E2492" t="s">
        <v>931</v>
      </c>
      <c r="F2492" s="3">
        <v>0</v>
      </c>
      <c r="G2492" s="3">
        <v>2.6</v>
      </c>
      <c r="H2492" s="3">
        <v>-2.6</v>
      </c>
      <c r="I2492" t="s">
        <v>574</v>
      </c>
    </row>
    <row r="2493" spans="1:9" x14ac:dyDescent="0.35">
      <c r="A2493" s="2">
        <v>45504</v>
      </c>
      <c r="B2493">
        <v>88</v>
      </c>
      <c r="C2493">
        <v>2131004</v>
      </c>
      <c r="D2493" t="s">
        <v>33</v>
      </c>
      <c r="E2493" t="s">
        <v>931</v>
      </c>
      <c r="F2493" s="3">
        <v>0</v>
      </c>
      <c r="G2493" s="3">
        <v>5.2</v>
      </c>
      <c r="H2493" s="3">
        <v>-5.2</v>
      </c>
      <c r="I2493" t="s">
        <v>574</v>
      </c>
    </row>
    <row r="2494" spans="1:9" x14ac:dyDescent="0.35">
      <c r="A2494" s="2">
        <v>45504</v>
      </c>
      <c r="B2494">
        <v>88</v>
      </c>
      <c r="C2494">
        <v>2141001</v>
      </c>
      <c r="D2494" t="s">
        <v>35</v>
      </c>
      <c r="E2494" t="s">
        <v>931</v>
      </c>
      <c r="F2494" s="3">
        <v>0</v>
      </c>
      <c r="G2494" s="3">
        <v>57.2</v>
      </c>
      <c r="H2494" s="3">
        <v>-57.2</v>
      </c>
      <c r="I2494" t="s">
        <v>574</v>
      </c>
    </row>
    <row r="2495" spans="1:9" x14ac:dyDescent="0.35">
      <c r="A2495" s="2">
        <v>45504</v>
      </c>
      <c r="B2495">
        <v>88</v>
      </c>
      <c r="C2495">
        <v>2141002</v>
      </c>
      <c r="D2495" t="s">
        <v>36</v>
      </c>
      <c r="E2495" t="s">
        <v>931</v>
      </c>
      <c r="F2495" s="3">
        <v>0</v>
      </c>
      <c r="G2495" s="3">
        <v>10.4</v>
      </c>
      <c r="H2495" s="3">
        <v>-10.4</v>
      </c>
      <c r="I2495" t="s">
        <v>574</v>
      </c>
    </row>
    <row r="2496" spans="1:9" x14ac:dyDescent="0.35">
      <c r="A2496" s="2">
        <v>45504</v>
      </c>
      <c r="B2496">
        <v>88</v>
      </c>
      <c r="C2496">
        <v>2141003</v>
      </c>
      <c r="D2496" t="s">
        <v>37</v>
      </c>
      <c r="E2496" t="s">
        <v>931</v>
      </c>
      <c r="F2496" s="3">
        <v>0</v>
      </c>
      <c r="G2496" s="3">
        <v>10.4</v>
      </c>
      <c r="H2496" s="3">
        <v>-10.4</v>
      </c>
      <c r="I2496" t="s">
        <v>574</v>
      </c>
    </row>
    <row r="2497" spans="1:9" x14ac:dyDescent="0.35">
      <c r="A2497" s="2">
        <v>45504</v>
      </c>
      <c r="B2497">
        <v>88</v>
      </c>
      <c r="C2497">
        <v>2161004</v>
      </c>
      <c r="D2497" t="s">
        <v>38</v>
      </c>
      <c r="E2497" t="s">
        <v>931</v>
      </c>
      <c r="F2497" s="3">
        <v>0</v>
      </c>
      <c r="G2497" s="3">
        <v>21.67</v>
      </c>
      <c r="H2497" s="3">
        <v>-21.67</v>
      </c>
      <c r="I2497" t="s">
        <v>574</v>
      </c>
    </row>
    <row r="2498" spans="1:9" x14ac:dyDescent="0.35">
      <c r="A2498" s="2">
        <v>45504</v>
      </c>
      <c r="B2498">
        <v>88</v>
      </c>
      <c r="C2498">
        <v>2161005</v>
      </c>
      <c r="D2498" t="s">
        <v>39</v>
      </c>
      <c r="E2498" t="s">
        <v>931</v>
      </c>
      <c r="F2498" s="3">
        <v>0</v>
      </c>
      <c r="G2498" s="3">
        <v>43.33</v>
      </c>
      <c r="H2498" s="3">
        <v>-43.33</v>
      </c>
      <c r="I2498" t="s">
        <v>574</v>
      </c>
    </row>
    <row r="2499" spans="1:9" x14ac:dyDescent="0.35">
      <c r="A2499" s="2">
        <v>45504</v>
      </c>
      <c r="B2499">
        <v>88</v>
      </c>
      <c r="C2499">
        <v>2241001</v>
      </c>
      <c r="D2499" t="s">
        <v>40</v>
      </c>
      <c r="E2499" t="s">
        <v>931</v>
      </c>
      <c r="F2499" s="3">
        <v>0</v>
      </c>
      <c r="G2499" s="3">
        <v>109.2</v>
      </c>
      <c r="H2499" s="3">
        <v>-109.2</v>
      </c>
      <c r="I2499" t="s">
        <v>574</v>
      </c>
    </row>
    <row r="2500" spans="1:9" x14ac:dyDescent="0.35">
      <c r="A2500" s="2">
        <v>45504</v>
      </c>
      <c r="B2500">
        <v>88</v>
      </c>
      <c r="C2500">
        <v>2161001</v>
      </c>
      <c r="D2500" t="s">
        <v>93</v>
      </c>
      <c r="E2500" t="s">
        <v>931</v>
      </c>
      <c r="F2500" s="3">
        <v>0</v>
      </c>
      <c r="G2500" s="3">
        <v>6327.56</v>
      </c>
      <c r="H2500" s="3">
        <v>-6327.56</v>
      </c>
      <c r="I2500" t="s">
        <v>574</v>
      </c>
    </row>
    <row r="2501" spans="1:9" x14ac:dyDescent="0.35">
      <c r="A2501" s="2">
        <v>45504</v>
      </c>
      <c r="B2501">
        <v>88</v>
      </c>
      <c r="C2501">
        <v>6121040</v>
      </c>
      <c r="D2501" t="s">
        <v>98</v>
      </c>
      <c r="E2501" t="s">
        <v>99</v>
      </c>
      <c r="F2501" s="3">
        <v>120.49</v>
      </c>
      <c r="G2501" s="3">
        <v>0</v>
      </c>
      <c r="H2501" s="3">
        <v>120.49</v>
      </c>
      <c r="I2501" t="s">
        <v>480</v>
      </c>
    </row>
    <row r="2502" spans="1:9" x14ac:dyDescent="0.35">
      <c r="A2502" s="2">
        <v>45504</v>
      </c>
      <c r="B2502">
        <v>88</v>
      </c>
      <c r="C2502">
        <v>2114001</v>
      </c>
      <c r="D2502" t="s">
        <v>97</v>
      </c>
      <c r="E2502" t="s">
        <v>1768</v>
      </c>
      <c r="F2502" s="3">
        <v>10485</v>
      </c>
      <c r="G2502" s="3">
        <v>0</v>
      </c>
      <c r="H2502" s="3">
        <v>10485</v>
      </c>
      <c r="I2502" t="s">
        <v>480</v>
      </c>
    </row>
    <row r="2503" spans="1:9" x14ac:dyDescent="0.35">
      <c r="A2503" s="2">
        <v>45504</v>
      </c>
      <c r="B2503">
        <v>88</v>
      </c>
      <c r="C2503">
        <v>6121019</v>
      </c>
      <c r="D2503" t="s">
        <v>100</v>
      </c>
      <c r="E2503" t="s">
        <v>896</v>
      </c>
      <c r="F2503" s="3">
        <v>45</v>
      </c>
      <c r="G2503" s="3">
        <v>0</v>
      </c>
      <c r="H2503" s="3">
        <v>45</v>
      </c>
      <c r="I2503" t="s">
        <v>480</v>
      </c>
    </row>
    <row r="2504" spans="1:9" x14ac:dyDescent="0.35">
      <c r="A2504" s="2">
        <v>45504</v>
      </c>
      <c r="B2504">
        <v>88</v>
      </c>
      <c r="C2504">
        <v>2114001</v>
      </c>
      <c r="D2504" t="s">
        <v>97</v>
      </c>
      <c r="E2504" t="s">
        <v>213</v>
      </c>
      <c r="F2504" s="3">
        <v>4650</v>
      </c>
      <c r="G2504" s="3">
        <v>0</v>
      </c>
      <c r="H2504" s="3">
        <v>4650</v>
      </c>
      <c r="I2504" t="s">
        <v>480</v>
      </c>
    </row>
    <row r="2505" spans="1:9" x14ac:dyDescent="0.35">
      <c r="A2505" s="2">
        <v>45504</v>
      </c>
      <c r="B2505">
        <v>88</v>
      </c>
      <c r="C2505">
        <v>2114001</v>
      </c>
      <c r="D2505" t="s">
        <v>97</v>
      </c>
      <c r="E2505" t="s">
        <v>932</v>
      </c>
      <c r="F2505" s="3">
        <v>184</v>
      </c>
      <c r="G2505" s="3">
        <v>0</v>
      </c>
      <c r="H2505" s="3">
        <v>184</v>
      </c>
      <c r="I2505" t="s">
        <v>480</v>
      </c>
    </row>
    <row r="2506" spans="1:9" x14ac:dyDescent="0.35">
      <c r="A2506" s="2">
        <v>45504</v>
      </c>
      <c r="B2506">
        <v>88</v>
      </c>
      <c r="C2506">
        <v>1112001</v>
      </c>
      <c r="D2506" t="s">
        <v>20</v>
      </c>
      <c r="E2506" t="s">
        <v>815</v>
      </c>
      <c r="F2506" s="3">
        <v>0</v>
      </c>
      <c r="G2506" s="3">
        <v>15484.49</v>
      </c>
      <c r="H2506" s="3">
        <v>-15484.49</v>
      </c>
      <c r="I2506" t="s">
        <v>480</v>
      </c>
    </row>
    <row r="2507" spans="1:9" x14ac:dyDescent="0.35">
      <c r="A2507" s="2">
        <v>45504</v>
      </c>
      <c r="B2507">
        <v>88</v>
      </c>
      <c r="C2507">
        <v>1112001</v>
      </c>
      <c r="D2507" t="s">
        <v>20</v>
      </c>
      <c r="E2507" t="s">
        <v>749</v>
      </c>
      <c r="F2507" s="3">
        <v>15461.02</v>
      </c>
      <c r="G2507" s="3">
        <v>0</v>
      </c>
      <c r="H2507" s="3">
        <v>15461.02</v>
      </c>
      <c r="I2507" t="s">
        <v>480</v>
      </c>
    </row>
    <row r="2508" spans="1:9" x14ac:dyDescent="0.35">
      <c r="A2508" s="2">
        <v>45504</v>
      </c>
      <c r="B2508">
        <v>88</v>
      </c>
      <c r="C2508">
        <v>1111001</v>
      </c>
      <c r="D2508" t="s">
        <v>16</v>
      </c>
      <c r="E2508" t="s">
        <v>112</v>
      </c>
      <c r="F2508" s="3">
        <v>0</v>
      </c>
      <c r="G2508" s="3">
        <v>11803.02</v>
      </c>
      <c r="H2508" s="3">
        <v>-11803.02</v>
      </c>
      <c r="I2508" t="s">
        <v>480</v>
      </c>
    </row>
    <row r="2509" spans="1:9" x14ac:dyDescent="0.35">
      <c r="A2509" s="2">
        <v>45504</v>
      </c>
      <c r="B2509">
        <v>88</v>
      </c>
      <c r="C2509">
        <v>1111001</v>
      </c>
      <c r="D2509" t="s">
        <v>16</v>
      </c>
      <c r="E2509" t="s">
        <v>933</v>
      </c>
      <c r="F2509" s="3">
        <v>0</v>
      </c>
      <c r="G2509" s="3">
        <v>913</v>
      </c>
      <c r="H2509" s="3">
        <v>-913</v>
      </c>
      <c r="I2509" t="s">
        <v>480</v>
      </c>
    </row>
    <row r="2510" spans="1:9" x14ac:dyDescent="0.35">
      <c r="A2510" s="2">
        <v>45504</v>
      </c>
      <c r="B2510">
        <v>88</v>
      </c>
      <c r="C2510">
        <v>1111001</v>
      </c>
      <c r="D2510" t="s">
        <v>16</v>
      </c>
      <c r="E2510" t="s">
        <v>628</v>
      </c>
      <c r="F2510" s="3">
        <v>0</v>
      </c>
      <c r="G2510" s="3">
        <v>2745</v>
      </c>
      <c r="H2510" s="3">
        <v>-2745</v>
      </c>
      <c r="I2510" t="s">
        <v>480</v>
      </c>
    </row>
    <row r="2511" spans="1:9" x14ac:dyDescent="0.35">
      <c r="A2511" s="2">
        <v>45504</v>
      </c>
      <c r="B2511">
        <v>88</v>
      </c>
      <c r="C2511">
        <v>6121040</v>
      </c>
      <c r="D2511" t="s">
        <v>98</v>
      </c>
      <c r="E2511" t="s">
        <v>99</v>
      </c>
      <c r="F2511" s="3">
        <v>386.09</v>
      </c>
      <c r="G2511" s="3">
        <v>0</v>
      </c>
      <c r="H2511" s="3">
        <v>386.09</v>
      </c>
      <c r="I2511" t="s">
        <v>114</v>
      </c>
    </row>
    <row r="2512" spans="1:9" x14ac:dyDescent="0.35">
      <c r="A2512" s="2">
        <v>45504</v>
      </c>
      <c r="B2512">
        <v>88</v>
      </c>
      <c r="C2512">
        <v>2114001</v>
      </c>
      <c r="D2512" t="s">
        <v>97</v>
      </c>
      <c r="E2512" t="s">
        <v>1768</v>
      </c>
      <c r="F2512" s="3">
        <v>1500</v>
      </c>
      <c r="G2512" s="3">
        <v>0</v>
      </c>
      <c r="H2512" s="3">
        <v>1500</v>
      </c>
      <c r="I2512" t="s">
        <v>114</v>
      </c>
    </row>
    <row r="2513" spans="1:9" x14ac:dyDescent="0.35">
      <c r="A2513" s="2">
        <v>45504</v>
      </c>
      <c r="B2513">
        <v>88</v>
      </c>
      <c r="C2513">
        <v>5132002</v>
      </c>
      <c r="D2513" t="s">
        <v>115</v>
      </c>
      <c r="E2513" t="s">
        <v>934</v>
      </c>
      <c r="F2513" s="3">
        <v>13073.64</v>
      </c>
      <c r="G2513" s="3">
        <v>0</v>
      </c>
      <c r="H2513" s="3">
        <v>13073.64</v>
      </c>
      <c r="I2513" t="s">
        <v>114</v>
      </c>
    </row>
    <row r="2514" spans="1:9" x14ac:dyDescent="0.35">
      <c r="A2514" s="2">
        <v>45504</v>
      </c>
      <c r="B2514">
        <v>88</v>
      </c>
      <c r="C2514">
        <v>2124009</v>
      </c>
      <c r="D2514" t="s">
        <v>154</v>
      </c>
      <c r="E2514" t="s">
        <v>296</v>
      </c>
      <c r="F2514" s="3">
        <v>776.88</v>
      </c>
      <c r="G2514" s="3">
        <v>0</v>
      </c>
      <c r="H2514" s="3">
        <v>776.88</v>
      </c>
      <c r="I2514" t="s">
        <v>114</v>
      </c>
    </row>
    <row r="2515" spans="1:9" x14ac:dyDescent="0.35">
      <c r="A2515" s="2">
        <v>45504</v>
      </c>
      <c r="B2515">
        <v>88</v>
      </c>
      <c r="C2515">
        <v>2124004</v>
      </c>
      <c r="D2515" t="s">
        <v>29</v>
      </c>
      <c r="E2515" t="s">
        <v>119</v>
      </c>
      <c r="F2515" s="3">
        <v>1159.95</v>
      </c>
      <c r="G2515" s="3">
        <v>0</v>
      </c>
      <c r="H2515" s="3">
        <v>1159.95</v>
      </c>
      <c r="I2515" t="s">
        <v>114</v>
      </c>
    </row>
    <row r="2516" spans="1:9" x14ac:dyDescent="0.35">
      <c r="A2516" s="2">
        <v>45504</v>
      </c>
      <c r="B2516">
        <v>88</v>
      </c>
      <c r="C2516">
        <v>2114001</v>
      </c>
      <c r="D2516" t="s">
        <v>97</v>
      </c>
      <c r="E2516" t="s">
        <v>138</v>
      </c>
      <c r="F2516" s="3">
        <v>3450</v>
      </c>
      <c r="G2516" s="3">
        <v>0</v>
      </c>
      <c r="H2516" s="3">
        <v>3450</v>
      </c>
      <c r="I2516" t="s">
        <v>114</v>
      </c>
    </row>
    <row r="2517" spans="1:9" x14ac:dyDescent="0.35">
      <c r="A2517" s="2">
        <v>45504</v>
      </c>
      <c r="B2517">
        <v>88</v>
      </c>
      <c r="C2517">
        <v>2161001</v>
      </c>
      <c r="D2517" t="s">
        <v>93</v>
      </c>
      <c r="E2517" t="s">
        <v>1801</v>
      </c>
      <c r="F2517" s="3">
        <v>791.18</v>
      </c>
      <c r="G2517" s="3">
        <v>0</v>
      </c>
      <c r="H2517" s="3">
        <v>791.18</v>
      </c>
      <c r="I2517" t="s">
        <v>114</v>
      </c>
    </row>
    <row r="2518" spans="1:9" x14ac:dyDescent="0.35">
      <c r="A2518" s="2">
        <v>45504</v>
      </c>
      <c r="B2518">
        <v>88</v>
      </c>
      <c r="C2518">
        <v>2114001</v>
      </c>
      <c r="D2518" t="s">
        <v>97</v>
      </c>
      <c r="E2518" t="s">
        <v>132</v>
      </c>
      <c r="F2518" s="3">
        <v>8800</v>
      </c>
      <c r="G2518" s="3">
        <v>0</v>
      </c>
      <c r="H2518" s="3">
        <v>8800</v>
      </c>
      <c r="I2518" t="s">
        <v>114</v>
      </c>
    </row>
    <row r="2519" spans="1:9" x14ac:dyDescent="0.35">
      <c r="A2519" s="2">
        <v>45504</v>
      </c>
      <c r="B2519">
        <v>88</v>
      </c>
      <c r="C2519">
        <v>1112003</v>
      </c>
      <c r="D2519" t="s">
        <v>22</v>
      </c>
      <c r="E2519" t="s">
        <v>815</v>
      </c>
      <c r="F2519" s="3">
        <v>0</v>
      </c>
      <c r="G2519" s="3">
        <v>29937.74</v>
      </c>
      <c r="H2519" s="3">
        <v>-29937.74</v>
      </c>
      <c r="I2519" t="s">
        <v>114</v>
      </c>
    </row>
    <row r="2520" spans="1:9" x14ac:dyDescent="0.35">
      <c r="A2520" s="2">
        <v>45504</v>
      </c>
      <c r="B2520">
        <v>88</v>
      </c>
      <c r="C2520">
        <v>1112003</v>
      </c>
      <c r="D2520" t="s">
        <v>22</v>
      </c>
      <c r="E2520" t="s">
        <v>749</v>
      </c>
      <c r="F2520" s="3">
        <v>29093.55</v>
      </c>
      <c r="G2520" s="3">
        <v>0</v>
      </c>
      <c r="H2520" s="3">
        <v>29093.55</v>
      </c>
      <c r="I2520" t="s">
        <v>114</v>
      </c>
    </row>
    <row r="2521" spans="1:9" x14ac:dyDescent="0.35">
      <c r="A2521" s="2">
        <v>45504</v>
      </c>
      <c r="B2521">
        <v>88</v>
      </c>
      <c r="C2521">
        <v>2114001</v>
      </c>
      <c r="D2521" t="s">
        <v>97</v>
      </c>
      <c r="E2521" t="s">
        <v>138</v>
      </c>
      <c r="F2521" s="3">
        <v>0</v>
      </c>
      <c r="G2521" s="3">
        <v>6750</v>
      </c>
      <c r="H2521" s="3">
        <v>-6750</v>
      </c>
      <c r="I2521" t="s">
        <v>114</v>
      </c>
    </row>
    <row r="2522" spans="1:9" x14ac:dyDescent="0.35">
      <c r="A2522" s="2">
        <v>45504</v>
      </c>
      <c r="B2522">
        <v>88</v>
      </c>
      <c r="C2522">
        <v>1111001</v>
      </c>
      <c r="D2522" t="s">
        <v>16</v>
      </c>
      <c r="E2522" t="s">
        <v>111</v>
      </c>
      <c r="F2522" s="3">
        <v>0</v>
      </c>
      <c r="G2522" s="3">
        <v>17100</v>
      </c>
      <c r="H2522" s="3">
        <v>-17100</v>
      </c>
      <c r="I2522" t="s">
        <v>114</v>
      </c>
    </row>
    <row r="2523" spans="1:9" x14ac:dyDescent="0.35">
      <c r="A2523" s="2">
        <v>45504</v>
      </c>
      <c r="B2523">
        <v>88</v>
      </c>
      <c r="C2523">
        <v>1111001</v>
      </c>
      <c r="D2523" t="s">
        <v>16</v>
      </c>
      <c r="E2523" t="s">
        <v>139</v>
      </c>
      <c r="F2523" s="3">
        <v>0</v>
      </c>
      <c r="G2523" s="3">
        <v>4343.55</v>
      </c>
      <c r="H2523" s="3">
        <v>-4343.55</v>
      </c>
      <c r="I2523" t="s">
        <v>114</v>
      </c>
    </row>
    <row r="2524" spans="1:9" x14ac:dyDescent="0.35">
      <c r="A2524" s="2">
        <v>45504</v>
      </c>
      <c r="B2524">
        <v>88</v>
      </c>
      <c r="C2524">
        <v>1111001</v>
      </c>
      <c r="D2524" t="s">
        <v>16</v>
      </c>
      <c r="E2524" t="s">
        <v>299</v>
      </c>
      <c r="F2524" s="3">
        <v>0</v>
      </c>
      <c r="G2524" s="3">
        <v>900</v>
      </c>
      <c r="H2524" s="3">
        <v>-900</v>
      </c>
      <c r="I2524" t="s">
        <v>114</v>
      </c>
    </row>
    <row r="2525" spans="1:9" x14ac:dyDescent="0.35">
      <c r="A2525" s="2">
        <v>45504</v>
      </c>
      <c r="B2525">
        <v>88</v>
      </c>
      <c r="C2525">
        <v>6121040</v>
      </c>
      <c r="D2525" t="s">
        <v>98</v>
      </c>
      <c r="E2525" t="s">
        <v>99</v>
      </c>
      <c r="F2525" s="3">
        <v>2211.02</v>
      </c>
      <c r="G2525" s="3">
        <v>0</v>
      </c>
      <c r="H2525" s="3">
        <v>2211.02</v>
      </c>
      <c r="I2525" t="s">
        <v>507</v>
      </c>
    </row>
    <row r="2526" spans="1:9" x14ac:dyDescent="0.35">
      <c r="A2526" s="2">
        <v>45504</v>
      </c>
      <c r="B2526">
        <v>88</v>
      </c>
      <c r="C2526">
        <v>2114001</v>
      </c>
      <c r="D2526" t="s">
        <v>97</v>
      </c>
      <c r="E2526" t="s">
        <v>1768</v>
      </c>
      <c r="F2526" s="3">
        <v>27421</v>
      </c>
      <c r="G2526" s="3">
        <v>0</v>
      </c>
      <c r="H2526" s="3">
        <v>27421</v>
      </c>
      <c r="I2526" t="s">
        <v>507</v>
      </c>
    </row>
    <row r="2527" spans="1:9" x14ac:dyDescent="0.35">
      <c r="A2527" s="2">
        <v>45504</v>
      </c>
      <c r="B2527">
        <v>88</v>
      </c>
      <c r="C2527">
        <v>2114001</v>
      </c>
      <c r="D2527" t="s">
        <v>97</v>
      </c>
      <c r="E2527" t="s">
        <v>213</v>
      </c>
      <c r="F2527" s="3">
        <v>23050</v>
      </c>
      <c r="G2527" s="3">
        <v>0</v>
      </c>
      <c r="H2527" s="3">
        <v>23050</v>
      </c>
      <c r="I2527" t="s">
        <v>507</v>
      </c>
    </row>
    <row r="2528" spans="1:9" x14ac:dyDescent="0.35">
      <c r="A2528" s="2">
        <v>45504</v>
      </c>
      <c r="B2528">
        <v>88</v>
      </c>
      <c r="C2528">
        <v>5131016</v>
      </c>
      <c r="D2528" t="s">
        <v>238</v>
      </c>
      <c r="E2528" t="s">
        <v>935</v>
      </c>
      <c r="F2528" s="3">
        <v>410</v>
      </c>
      <c r="G2528" s="3">
        <v>0</v>
      </c>
      <c r="H2528" s="3">
        <v>410</v>
      </c>
      <c r="I2528" t="s">
        <v>507</v>
      </c>
    </row>
    <row r="2529" spans="1:9" x14ac:dyDescent="0.35">
      <c r="A2529" s="2">
        <v>45504</v>
      </c>
      <c r="B2529">
        <v>88</v>
      </c>
      <c r="C2529">
        <v>2111002</v>
      </c>
      <c r="D2529" t="s">
        <v>424</v>
      </c>
      <c r="E2529" t="s">
        <v>700</v>
      </c>
      <c r="F2529" s="3">
        <v>11544.03</v>
      </c>
      <c r="G2529" s="3">
        <v>0</v>
      </c>
      <c r="H2529" s="3">
        <v>11544.03</v>
      </c>
      <c r="I2529" t="s">
        <v>507</v>
      </c>
    </row>
    <row r="2530" spans="1:9" x14ac:dyDescent="0.35">
      <c r="A2530" s="2">
        <v>45504</v>
      </c>
      <c r="B2530">
        <v>88</v>
      </c>
      <c r="C2530">
        <v>5131016</v>
      </c>
      <c r="D2530" t="s">
        <v>238</v>
      </c>
      <c r="E2530" t="s">
        <v>936</v>
      </c>
      <c r="F2530" s="3">
        <v>615</v>
      </c>
      <c r="G2530" s="3">
        <v>0</v>
      </c>
      <c r="H2530" s="3">
        <v>615</v>
      </c>
      <c r="I2530" t="s">
        <v>507</v>
      </c>
    </row>
    <row r="2531" spans="1:9" x14ac:dyDescent="0.35">
      <c r="A2531" s="2">
        <v>45504</v>
      </c>
      <c r="B2531">
        <v>88</v>
      </c>
      <c r="C2531">
        <v>2161001</v>
      </c>
      <c r="D2531" t="s">
        <v>93</v>
      </c>
      <c r="E2531" t="s">
        <v>1806</v>
      </c>
      <c r="F2531" s="3">
        <v>791.18</v>
      </c>
      <c r="G2531" s="3">
        <v>0</v>
      </c>
      <c r="H2531" s="3">
        <v>791.18</v>
      </c>
      <c r="I2531" t="s">
        <v>507</v>
      </c>
    </row>
    <row r="2532" spans="1:9" x14ac:dyDescent="0.35">
      <c r="A2532" s="2">
        <v>45504</v>
      </c>
      <c r="B2532">
        <v>88</v>
      </c>
      <c r="C2532">
        <v>2114001</v>
      </c>
      <c r="D2532" t="s">
        <v>97</v>
      </c>
      <c r="E2532" t="s">
        <v>937</v>
      </c>
      <c r="F2532" s="3">
        <v>3950</v>
      </c>
      <c r="G2532" s="3">
        <v>0</v>
      </c>
      <c r="H2532" s="3">
        <v>3950</v>
      </c>
      <c r="I2532" t="s">
        <v>507</v>
      </c>
    </row>
    <row r="2533" spans="1:9" x14ac:dyDescent="0.35">
      <c r="A2533" s="2">
        <v>45504</v>
      </c>
      <c r="B2533">
        <v>88</v>
      </c>
      <c r="C2533">
        <v>2114001</v>
      </c>
      <c r="D2533" t="s">
        <v>97</v>
      </c>
      <c r="E2533" t="s">
        <v>938</v>
      </c>
      <c r="F2533" s="3">
        <v>8000</v>
      </c>
      <c r="G2533" s="3">
        <v>0</v>
      </c>
      <c r="H2533" s="3">
        <v>8000</v>
      </c>
      <c r="I2533" t="s">
        <v>507</v>
      </c>
    </row>
    <row r="2534" spans="1:9" x14ac:dyDescent="0.35">
      <c r="A2534" s="2">
        <v>45504</v>
      </c>
      <c r="B2534">
        <v>88</v>
      </c>
      <c r="C2534">
        <v>2161001</v>
      </c>
      <c r="D2534" t="s">
        <v>93</v>
      </c>
      <c r="E2534" t="s">
        <v>1801</v>
      </c>
      <c r="F2534" s="3">
        <v>791.18</v>
      </c>
      <c r="G2534" s="3">
        <v>0</v>
      </c>
      <c r="H2534" s="3">
        <v>791.18</v>
      </c>
      <c r="I2534" t="s">
        <v>507</v>
      </c>
    </row>
    <row r="2535" spans="1:9" x14ac:dyDescent="0.35">
      <c r="A2535" s="2">
        <v>45504</v>
      </c>
      <c r="B2535">
        <v>88</v>
      </c>
      <c r="C2535">
        <v>2161001</v>
      </c>
      <c r="D2535" t="s">
        <v>93</v>
      </c>
      <c r="E2535" t="s">
        <v>1807</v>
      </c>
      <c r="F2535" s="3">
        <v>791.18</v>
      </c>
      <c r="G2535" s="3">
        <v>0</v>
      </c>
      <c r="H2535" s="3">
        <v>791.18</v>
      </c>
      <c r="I2535" t="s">
        <v>507</v>
      </c>
    </row>
    <row r="2536" spans="1:9" x14ac:dyDescent="0.35">
      <c r="A2536" s="2">
        <v>45504</v>
      </c>
      <c r="B2536">
        <v>88</v>
      </c>
      <c r="C2536">
        <v>2161001</v>
      </c>
      <c r="D2536" t="s">
        <v>93</v>
      </c>
      <c r="E2536" t="s">
        <v>1801</v>
      </c>
      <c r="F2536" s="3">
        <v>791.18</v>
      </c>
      <c r="G2536" s="3">
        <v>0</v>
      </c>
      <c r="H2536" s="3">
        <v>791.18</v>
      </c>
      <c r="I2536" t="s">
        <v>507</v>
      </c>
    </row>
    <row r="2537" spans="1:9" x14ac:dyDescent="0.35">
      <c r="A2537" s="2">
        <v>45504</v>
      </c>
      <c r="B2537">
        <v>88</v>
      </c>
      <c r="C2537">
        <v>2161001</v>
      </c>
      <c r="D2537" t="s">
        <v>93</v>
      </c>
      <c r="E2537" t="s">
        <v>939</v>
      </c>
      <c r="F2537" s="3">
        <v>795.2</v>
      </c>
      <c r="G2537" s="3">
        <v>0</v>
      </c>
      <c r="H2537" s="3">
        <v>795.2</v>
      </c>
      <c r="I2537" t="s">
        <v>507</v>
      </c>
    </row>
    <row r="2538" spans="1:9" x14ac:dyDescent="0.35">
      <c r="A2538" s="2">
        <v>45504</v>
      </c>
      <c r="B2538">
        <v>88</v>
      </c>
      <c r="C2538">
        <v>2161001</v>
      </c>
      <c r="D2538" t="s">
        <v>93</v>
      </c>
      <c r="E2538" t="s">
        <v>940</v>
      </c>
      <c r="F2538" s="3">
        <v>795.2</v>
      </c>
      <c r="G2538" s="3">
        <v>0</v>
      </c>
      <c r="H2538" s="3">
        <v>795.2</v>
      </c>
      <c r="I2538" t="s">
        <v>507</v>
      </c>
    </row>
    <row r="2539" spans="1:9" x14ac:dyDescent="0.35">
      <c r="A2539" s="2">
        <v>45504</v>
      </c>
      <c r="B2539">
        <v>88</v>
      </c>
      <c r="C2539">
        <v>2114001</v>
      </c>
      <c r="D2539" t="s">
        <v>97</v>
      </c>
      <c r="E2539" t="s">
        <v>132</v>
      </c>
      <c r="F2539" s="3">
        <v>1400</v>
      </c>
      <c r="G2539" s="3">
        <v>0</v>
      </c>
      <c r="H2539" s="3">
        <v>1400</v>
      </c>
      <c r="I2539" t="s">
        <v>507</v>
      </c>
    </row>
    <row r="2540" spans="1:9" x14ac:dyDescent="0.35">
      <c r="A2540" s="2">
        <v>45504</v>
      </c>
      <c r="B2540">
        <v>88</v>
      </c>
      <c r="C2540">
        <v>6121023</v>
      </c>
      <c r="D2540" t="s">
        <v>49</v>
      </c>
      <c r="E2540" t="s">
        <v>941</v>
      </c>
      <c r="F2540" s="3">
        <v>770</v>
      </c>
      <c r="G2540" s="3">
        <v>0</v>
      </c>
      <c r="H2540" s="3">
        <v>770</v>
      </c>
      <c r="I2540" t="s">
        <v>507</v>
      </c>
    </row>
    <row r="2541" spans="1:9" x14ac:dyDescent="0.35">
      <c r="A2541" s="2">
        <v>45504</v>
      </c>
      <c r="B2541">
        <v>88</v>
      </c>
      <c r="C2541">
        <v>6121023</v>
      </c>
      <c r="D2541" t="s">
        <v>49</v>
      </c>
      <c r="E2541" t="s">
        <v>942</v>
      </c>
      <c r="F2541" s="3">
        <v>820</v>
      </c>
      <c r="G2541" s="3">
        <v>0</v>
      </c>
      <c r="H2541" s="3">
        <v>820</v>
      </c>
      <c r="I2541" t="s">
        <v>507</v>
      </c>
    </row>
    <row r="2542" spans="1:9" x14ac:dyDescent="0.35">
      <c r="A2542" s="2">
        <v>45504</v>
      </c>
      <c r="B2542">
        <v>88</v>
      </c>
      <c r="C2542">
        <v>1112002</v>
      </c>
      <c r="D2542" t="s">
        <v>21</v>
      </c>
      <c r="E2542" t="s">
        <v>815</v>
      </c>
      <c r="F2542" s="3">
        <v>0</v>
      </c>
      <c r="G2542" s="3">
        <v>84946.17</v>
      </c>
      <c r="H2542" s="3">
        <v>-84946.17</v>
      </c>
      <c r="I2542" t="s">
        <v>507</v>
      </c>
    </row>
    <row r="2543" spans="1:9" x14ac:dyDescent="0.35">
      <c r="A2543" s="2">
        <v>45504</v>
      </c>
      <c r="B2543">
        <v>88</v>
      </c>
      <c r="C2543">
        <v>1112002</v>
      </c>
      <c r="D2543" t="s">
        <v>21</v>
      </c>
      <c r="E2543" t="s">
        <v>749</v>
      </c>
      <c r="F2543" s="3">
        <v>83124.98</v>
      </c>
      <c r="G2543" s="3">
        <v>0</v>
      </c>
      <c r="H2543" s="3">
        <v>83124.98</v>
      </c>
      <c r="I2543" t="s">
        <v>507</v>
      </c>
    </row>
    <row r="2544" spans="1:9" x14ac:dyDescent="0.35">
      <c r="A2544" s="2">
        <v>45504</v>
      </c>
      <c r="B2544">
        <v>88</v>
      </c>
      <c r="C2544">
        <v>1111001</v>
      </c>
      <c r="D2544" t="s">
        <v>16</v>
      </c>
      <c r="E2544" t="s">
        <v>137</v>
      </c>
      <c r="F2544" s="3">
        <v>0</v>
      </c>
      <c r="G2544" s="3">
        <v>64109.06</v>
      </c>
      <c r="H2544" s="3">
        <v>-64109.06</v>
      </c>
      <c r="I2544" t="s">
        <v>507</v>
      </c>
    </row>
    <row r="2545" spans="1:9" x14ac:dyDescent="0.35">
      <c r="A2545" s="2">
        <v>45504</v>
      </c>
      <c r="B2545">
        <v>88</v>
      </c>
      <c r="C2545">
        <v>1111001</v>
      </c>
      <c r="D2545" t="s">
        <v>16</v>
      </c>
      <c r="E2545" t="s">
        <v>943</v>
      </c>
      <c r="F2545" s="3">
        <v>0</v>
      </c>
      <c r="G2545" s="3">
        <v>1850</v>
      </c>
      <c r="H2545" s="3">
        <v>-1850</v>
      </c>
      <c r="I2545" t="s">
        <v>507</v>
      </c>
    </row>
    <row r="2546" spans="1:9" x14ac:dyDescent="0.35">
      <c r="A2546" s="2">
        <v>45504</v>
      </c>
      <c r="B2546">
        <v>88</v>
      </c>
      <c r="C2546">
        <v>1111001</v>
      </c>
      <c r="D2546" t="s">
        <v>16</v>
      </c>
      <c r="E2546" t="s">
        <v>139</v>
      </c>
      <c r="F2546" s="3">
        <v>0</v>
      </c>
      <c r="G2546" s="3">
        <v>13995.41</v>
      </c>
      <c r="H2546" s="3">
        <v>-13995.41</v>
      </c>
      <c r="I2546" t="s">
        <v>507</v>
      </c>
    </row>
    <row r="2547" spans="1:9" x14ac:dyDescent="0.35">
      <c r="A2547" s="2">
        <v>45504</v>
      </c>
      <c r="B2547">
        <v>88</v>
      </c>
      <c r="C2547">
        <v>1111001</v>
      </c>
      <c r="D2547" t="s">
        <v>16</v>
      </c>
      <c r="E2547" t="s">
        <v>944</v>
      </c>
      <c r="F2547" s="3">
        <v>0</v>
      </c>
      <c r="G2547" s="3">
        <v>1950</v>
      </c>
      <c r="H2547" s="3">
        <v>-1950</v>
      </c>
      <c r="I2547" t="s">
        <v>507</v>
      </c>
    </row>
    <row r="2548" spans="1:9" x14ac:dyDescent="0.35">
      <c r="A2548" s="2">
        <v>45504</v>
      </c>
      <c r="B2548">
        <v>88</v>
      </c>
      <c r="C2548">
        <v>1111001</v>
      </c>
      <c r="D2548" t="s">
        <v>16</v>
      </c>
      <c r="E2548" t="s">
        <v>945</v>
      </c>
      <c r="F2548" s="3">
        <v>0</v>
      </c>
      <c r="G2548" s="3">
        <v>913.25</v>
      </c>
      <c r="H2548" s="3">
        <v>-913.25</v>
      </c>
      <c r="I2548" t="s">
        <v>507</v>
      </c>
    </row>
    <row r="2549" spans="1:9" x14ac:dyDescent="0.35">
      <c r="A2549" s="2">
        <v>45504</v>
      </c>
      <c r="B2549">
        <v>88</v>
      </c>
      <c r="C2549">
        <v>1111001</v>
      </c>
      <c r="D2549" t="s">
        <v>16</v>
      </c>
      <c r="E2549" t="s">
        <v>745</v>
      </c>
      <c r="F2549" s="3">
        <v>0</v>
      </c>
      <c r="G2549" s="3">
        <v>207.07</v>
      </c>
      <c r="H2549" s="3">
        <v>-207.07</v>
      </c>
      <c r="I2549" t="s">
        <v>507</v>
      </c>
    </row>
    <row r="2550" spans="1:9" x14ac:dyDescent="0.35">
      <c r="A2550" s="2">
        <v>45504</v>
      </c>
      <c r="B2550">
        <v>88</v>
      </c>
      <c r="C2550">
        <v>4141003</v>
      </c>
      <c r="D2550" t="s">
        <v>141</v>
      </c>
      <c r="E2550" t="s">
        <v>142</v>
      </c>
      <c r="F2550" s="3">
        <v>0</v>
      </c>
      <c r="G2550" s="3">
        <v>100.19</v>
      </c>
      <c r="H2550" s="3">
        <v>-100.19</v>
      </c>
      <c r="I2550" t="s">
        <v>507</v>
      </c>
    </row>
    <row r="2551" spans="1:9" x14ac:dyDescent="0.35">
      <c r="A2551" s="2">
        <v>45504</v>
      </c>
      <c r="B2551">
        <v>88</v>
      </c>
      <c r="C2551">
        <v>2114010</v>
      </c>
      <c r="D2551" t="s">
        <v>48</v>
      </c>
      <c r="E2551" t="s">
        <v>946</v>
      </c>
      <c r="F2551" s="3">
        <v>5206.3100000000004</v>
      </c>
      <c r="G2551" s="3">
        <v>0</v>
      </c>
      <c r="H2551" s="3">
        <v>5206.3100000000004</v>
      </c>
      <c r="I2551" t="s">
        <v>144</v>
      </c>
    </row>
    <row r="2552" spans="1:9" x14ac:dyDescent="0.35">
      <c r="A2552" s="2">
        <v>45504</v>
      </c>
      <c r="B2552">
        <v>88</v>
      </c>
      <c r="C2552">
        <v>2114001</v>
      </c>
      <c r="D2552" t="s">
        <v>97</v>
      </c>
      <c r="E2552" t="s">
        <v>946</v>
      </c>
      <c r="F2552" s="3">
        <v>0</v>
      </c>
      <c r="G2552" s="3">
        <v>5206.3100000000004</v>
      </c>
      <c r="H2552" s="3">
        <v>-5206.3100000000004</v>
      </c>
      <c r="I2552" t="s">
        <v>144</v>
      </c>
    </row>
    <row r="2553" spans="1:9" x14ac:dyDescent="0.35">
      <c r="A2553" s="2">
        <v>45504</v>
      </c>
      <c r="B2553">
        <v>88</v>
      </c>
      <c r="C2553">
        <v>6121023</v>
      </c>
      <c r="D2553" t="s">
        <v>49</v>
      </c>
      <c r="E2553" t="s">
        <v>947</v>
      </c>
      <c r="F2553" s="3">
        <v>1040</v>
      </c>
      <c r="G2553" s="3">
        <v>0</v>
      </c>
      <c r="H2553" s="3">
        <v>1040</v>
      </c>
      <c r="I2553" t="s">
        <v>144</v>
      </c>
    </row>
    <row r="2554" spans="1:9" x14ac:dyDescent="0.35">
      <c r="A2554" s="2">
        <v>45504</v>
      </c>
      <c r="B2554">
        <v>88</v>
      </c>
      <c r="C2554">
        <v>2114001</v>
      </c>
      <c r="D2554" t="s">
        <v>97</v>
      </c>
      <c r="E2554" t="s">
        <v>947</v>
      </c>
      <c r="F2554" s="3">
        <v>0</v>
      </c>
      <c r="G2554" s="3">
        <v>1040</v>
      </c>
      <c r="H2554" s="3">
        <v>-1040</v>
      </c>
      <c r="I2554" t="s">
        <v>144</v>
      </c>
    </row>
    <row r="2555" spans="1:9" x14ac:dyDescent="0.35">
      <c r="A2555" s="2">
        <v>45504</v>
      </c>
      <c r="B2555">
        <v>88</v>
      </c>
      <c r="C2555">
        <v>5131016</v>
      </c>
      <c r="D2555" t="s">
        <v>238</v>
      </c>
      <c r="E2555" t="s">
        <v>948</v>
      </c>
      <c r="F2555" s="3">
        <v>1098</v>
      </c>
      <c r="G2555" s="3">
        <v>0</v>
      </c>
      <c r="H2555" s="3">
        <v>1098</v>
      </c>
      <c r="I2555" t="s">
        <v>144</v>
      </c>
    </row>
    <row r="2556" spans="1:9" x14ac:dyDescent="0.35">
      <c r="A2556" s="2">
        <v>45504</v>
      </c>
      <c r="B2556">
        <v>88</v>
      </c>
      <c r="C2556">
        <v>2114001</v>
      </c>
      <c r="D2556" t="s">
        <v>97</v>
      </c>
      <c r="E2556" t="s">
        <v>948</v>
      </c>
      <c r="F2556" s="3">
        <v>0</v>
      </c>
      <c r="G2556" s="3">
        <v>1098</v>
      </c>
      <c r="H2556" s="3">
        <v>-1098</v>
      </c>
      <c r="I2556" t="s">
        <v>144</v>
      </c>
    </row>
    <row r="2557" spans="1:9" x14ac:dyDescent="0.35">
      <c r="A2557" s="2">
        <v>45504</v>
      </c>
      <c r="B2557">
        <v>88</v>
      </c>
      <c r="C2557">
        <v>5131015</v>
      </c>
      <c r="D2557" t="s">
        <v>766</v>
      </c>
      <c r="E2557" t="s">
        <v>949</v>
      </c>
      <c r="F2557" s="3">
        <v>3080.26</v>
      </c>
      <c r="G2557" s="3">
        <v>0</v>
      </c>
      <c r="H2557" s="3">
        <v>3080.26</v>
      </c>
      <c r="I2557" t="s">
        <v>950</v>
      </c>
    </row>
    <row r="2558" spans="1:9" x14ac:dyDescent="0.35">
      <c r="A2558" s="2">
        <v>45504</v>
      </c>
      <c r="B2558">
        <v>88</v>
      </c>
      <c r="C2558">
        <v>2124010</v>
      </c>
      <c r="D2558" t="s">
        <v>769</v>
      </c>
      <c r="E2558" t="s">
        <v>949</v>
      </c>
      <c r="F2558" s="3">
        <v>0</v>
      </c>
      <c r="G2558" s="3">
        <v>3080.26</v>
      </c>
      <c r="H2558" s="3">
        <v>-3080.26</v>
      </c>
      <c r="I2558" t="s">
        <v>950</v>
      </c>
    </row>
    <row r="2559" spans="1:9" x14ac:dyDescent="0.35">
      <c r="A2559" s="2">
        <v>45504</v>
      </c>
      <c r="B2559">
        <v>88</v>
      </c>
      <c r="C2559">
        <v>2161001</v>
      </c>
      <c r="D2559" t="s">
        <v>93</v>
      </c>
      <c r="E2559" t="s">
        <v>511</v>
      </c>
      <c r="F2559" s="3">
        <v>1464.61</v>
      </c>
      <c r="G2559" s="3">
        <v>0</v>
      </c>
      <c r="H2559" s="3">
        <v>1464.61</v>
      </c>
      <c r="I2559" t="s">
        <v>144</v>
      </c>
    </row>
    <row r="2560" spans="1:9" x14ac:dyDescent="0.35">
      <c r="A2560" s="2">
        <v>45504</v>
      </c>
      <c r="B2560">
        <v>88</v>
      </c>
      <c r="C2560">
        <v>2114001</v>
      </c>
      <c r="D2560" t="s">
        <v>97</v>
      </c>
      <c r="E2560" t="s">
        <v>511</v>
      </c>
      <c r="F2560" s="3">
        <v>0</v>
      </c>
      <c r="G2560" s="3">
        <v>1464.61</v>
      </c>
      <c r="H2560" s="3">
        <v>-1464.61</v>
      </c>
      <c r="I2560" t="s">
        <v>144</v>
      </c>
    </row>
    <row r="2561" spans="1:9" x14ac:dyDescent="0.35">
      <c r="A2561" s="2">
        <v>45519</v>
      </c>
      <c r="B2561">
        <v>89</v>
      </c>
      <c r="C2561">
        <v>6121023</v>
      </c>
      <c r="D2561" t="s">
        <v>49</v>
      </c>
      <c r="E2561" t="s">
        <v>951</v>
      </c>
      <c r="F2561" s="3">
        <v>444.6</v>
      </c>
      <c r="G2561" s="3">
        <v>0</v>
      </c>
      <c r="H2561" s="3">
        <v>444.6</v>
      </c>
      <c r="I2561" t="s">
        <v>952</v>
      </c>
    </row>
    <row r="2562" spans="1:9" x14ac:dyDescent="0.35">
      <c r="A2562" s="2">
        <v>45519</v>
      </c>
      <c r="B2562">
        <v>89</v>
      </c>
      <c r="C2562">
        <v>2114010</v>
      </c>
      <c r="D2562" t="s">
        <v>48</v>
      </c>
      <c r="E2562" t="s">
        <v>951</v>
      </c>
      <c r="F2562" s="3">
        <v>0</v>
      </c>
      <c r="G2562" s="3">
        <v>444.6</v>
      </c>
      <c r="H2562" s="3">
        <v>-444.6</v>
      </c>
      <c r="I2562" t="s">
        <v>952</v>
      </c>
    </row>
    <row r="2563" spans="1:9" x14ac:dyDescent="0.35">
      <c r="A2563" s="2">
        <v>45519</v>
      </c>
      <c r="B2563">
        <v>89</v>
      </c>
      <c r="C2563">
        <v>6121016</v>
      </c>
      <c r="D2563" t="s">
        <v>156</v>
      </c>
      <c r="E2563" t="s">
        <v>157</v>
      </c>
      <c r="F2563" s="3">
        <v>403.17</v>
      </c>
      <c r="G2563" s="3">
        <v>0</v>
      </c>
      <c r="H2563" s="3">
        <v>403.17</v>
      </c>
      <c r="I2563" t="s">
        <v>953</v>
      </c>
    </row>
    <row r="2564" spans="1:9" x14ac:dyDescent="0.35">
      <c r="A2564" s="2">
        <v>45519</v>
      </c>
      <c r="B2564">
        <v>89</v>
      </c>
      <c r="C2564">
        <v>2114010</v>
      </c>
      <c r="D2564" t="s">
        <v>48</v>
      </c>
      <c r="E2564" t="s">
        <v>157</v>
      </c>
      <c r="F2564" s="3">
        <v>0</v>
      </c>
      <c r="G2564" s="3">
        <v>403.17</v>
      </c>
      <c r="H2564" s="3">
        <v>-403.17</v>
      </c>
      <c r="I2564" t="s">
        <v>953</v>
      </c>
    </row>
    <row r="2565" spans="1:9" x14ac:dyDescent="0.35">
      <c r="A2565" s="2">
        <v>45519</v>
      </c>
      <c r="B2565">
        <v>89</v>
      </c>
      <c r="C2565">
        <v>6121023</v>
      </c>
      <c r="D2565" t="s">
        <v>49</v>
      </c>
      <c r="E2565" t="s">
        <v>159</v>
      </c>
      <c r="F2565" s="3">
        <v>724.8</v>
      </c>
      <c r="G2565" s="3">
        <v>0</v>
      </c>
      <c r="H2565" s="3">
        <v>724.8</v>
      </c>
      <c r="I2565" t="s">
        <v>954</v>
      </c>
    </row>
    <row r="2566" spans="1:9" x14ac:dyDescent="0.35">
      <c r="A2566" s="2">
        <v>45519</v>
      </c>
      <c r="B2566">
        <v>89</v>
      </c>
      <c r="C2566">
        <v>2114010</v>
      </c>
      <c r="D2566" t="s">
        <v>48</v>
      </c>
      <c r="E2566" t="s">
        <v>159</v>
      </c>
      <c r="F2566" s="3">
        <v>0</v>
      </c>
      <c r="G2566" s="3">
        <v>724.8</v>
      </c>
      <c r="H2566" s="3">
        <v>-724.8</v>
      </c>
      <c r="I2566" t="s">
        <v>954</v>
      </c>
    </row>
    <row r="2567" spans="1:9" x14ac:dyDescent="0.35">
      <c r="A2567" s="2">
        <v>45519</v>
      </c>
      <c r="B2567">
        <v>89</v>
      </c>
      <c r="C2567">
        <v>6121023</v>
      </c>
      <c r="D2567" t="s">
        <v>49</v>
      </c>
      <c r="E2567" t="s">
        <v>166</v>
      </c>
      <c r="F2567" s="3">
        <v>288.77999999999997</v>
      </c>
      <c r="G2567" s="3">
        <v>0</v>
      </c>
      <c r="H2567" s="3">
        <v>288.77999999999997</v>
      </c>
      <c r="I2567" t="s">
        <v>955</v>
      </c>
    </row>
    <row r="2568" spans="1:9" x14ac:dyDescent="0.35">
      <c r="A2568" s="2">
        <v>45519</v>
      </c>
      <c r="B2568">
        <v>89</v>
      </c>
      <c r="C2568">
        <v>6121046</v>
      </c>
      <c r="D2568" t="s">
        <v>94</v>
      </c>
      <c r="E2568" t="s">
        <v>166</v>
      </c>
      <c r="F2568" s="3">
        <v>8.66</v>
      </c>
      <c r="G2568" s="3">
        <v>0</v>
      </c>
      <c r="H2568" s="3">
        <v>8.66</v>
      </c>
      <c r="I2568" t="s">
        <v>955</v>
      </c>
    </row>
    <row r="2569" spans="1:9" x14ac:dyDescent="0.35">
      <c r="A2569" s="2">
        <v>45519</v>
      </c>
      <c r="B2569">
        <v>89</v>
      </c>
      <c r="C2569">
        <v>2114010</v>
      </c>
      <c r="D2569" t="s">
        <v>48</v>
      </c>
      <c r="E2569" t="s">
        <v>166</v>
      </c>
      <c r="F2569" s="3">
        <v>0</v>
      </c>
      <c r="G2569" s="3">
        <v>8.66</v>
      </c>
      <c r="H2569" s="3">
        <v>-8.66</v>
      </c>
      <c r="I2569" t="s">
        <v>955</v>
      </c>
    </row>
    <row r="2570" spans="1:9" x14ac:dyDescent="0.35">
      <c r="A2570" s="2">
        <v>45519</v>
      </c>
      <c r="B2570">
        <v>89</v>
      </c>
      <c r="C2570">
        <v>2114010</v>
      </c>
      <c r="D2570" t="s">
        <v>48</v>
      </c>
      <c r="E2570" t="s">
        <v>166</v>
      </c>
      <c r="F2570" s="3">
        <v>0</v>
      </c>
      <c r="G2570" s="3">
        <v>288.77999999999997</v>
      </c>
      <c r="H2570" s="3">
        <v>-288.77999999999997</v>
      </c>
      <c r="I2570" t="s">
        <v>955</v>
      </c>
    </row>
    <row r="2571" spans="1:9" x14ac:dyDescent="0.35">
      <c r="A2571" s="2">
        <v>45519</v>
      </c>
      <c r="B2571">
        <v>89</v>
      </c>
      <c r="C2571">
        <v>6121023</v>
      </c>
      <c r="D2571" t="s">
        <v>49</v>
      </c>
      <c r="E2571" t="s">
        <v>52</v>
      </c>
      <c r="F2571" s="3">
        <v>993.94</v>
      </c>
      <c r="G2571" s="3">
        <v>0</v>
      </c>
      <c r="H2571" s="3">
        <v>993.94</v>
      </c>
      <c r="I2571" t="s">
        <v>956</v>
      </c>
    </row>
    <row r="2572" spans="1:9" x14ac:dyDescent="0.35">
      <c r="A2572" s="2">
        <v>45519</v>
      </c>
      <c r="B2572">
        <v>89</v>
      </c>
      <c r="C2572">
        <v>2114010</v>
      </c>
      <c r="D2572" t="s">
        <v>48</v>
      </c>
      <c r="E2572" t="s">
        <v>52</v>
      </c>
      <c r="F2572" s="3">
        <v>0</v>
      </c>
      <c r="G2572" s="3">
        <v>993.94</v>
      </c>
      <c r="H2572" s="3">
        <v>-993.94</v>
      </c>
      <c r="I2572" t="s">
        <v>956</v>
      </c>
    </row>
    <row r="2573" spans="1:9" x14ac:dyDescent="0.35">
      <c r="A2573" s="2">
        <v>45519</v>
      </c>
      <c r="B2573">
        <v>89</v>
      </c>
      <c r="C2573">
        <v>6121023</v>
      </c>
      <c r="D2573" t="s">
        <v>49</v>
      </c>
      <c r="E2573" t="s">
        <v>172</v>
      </c>
      <c r="F2573" s="3">
        <v>246.53</v>
      </c>
      <c r="G2573" s="3">
        <v>0</v>
      </c>
      <c r="H2573" s="3">
        <v>246.53</v>
      </c>
      <c r="I2573" t="s">
        <v>957</v>
      </c>
    </row>
    <row r="2574" spans="1:9" x14ac:dyDescent="0.35">
      <c r="A2574" s="2">
        <v>45519</v>
      </c>
      <c r="B2574">
        <v>89</v>
      </c>
      <c r="C2574">
        <v>2114010</v>
      </c>
      <c r="D2574" t="s">
        <v>48</v>
      </c>
      <c r="E2574" t="s">
        <v>172</v>
      </c>
      <c r="F2574" s="3">
        <v>0</v>
      </c>
      <c r="G2574" s="3">
        <v>246.53</v>
      </c>
      <c r="H2574" s="3">
        <v>-246.53</v>
      </c>
      <c r="I2574" t="s">
        <v>957</v>
      </c>
    </row>
    <row r="2575" spans="1:9" x14ac:dyDescent="0.35">
      <c r="A2575" s="2">
        <v>45519</v>
      </c>
      <c r="B2575">
        <v>89</v>
      </c>
      <c r="C2575">
        <v>6121023</v>
      </c>
      <c r="D2575" t="s">
        <v>49</v>
      </c>
      <c r="E2575" t="s">
        <v>166</v>
      </c>
      <c r="F2575" s="3">
        <v>62.9</v>
      </c>
      <c r="G2575" s="3">
        <v>0</v>
      </c>
      <c r="H2575" s="3">
        <v>62.9</v>
      </c>
      <c r="I2575" t="s">
        <v>958</v>
      </c>
    </row>
    <row r="2576" spans="1:9" x14ac:dyDescent="0.35">
      <c r="A2576" s="2">
        <v>45519</v>
      </c>
      <c r="B2576">
        <v>89</v>
      </c>
      <c r="C2576">
        <v>2114010</v>
      </c>
      <c r="D2576" t="s">
        <v>48</v>
      </c>
      <c r="E2576" t="s">
        <v>166</v>
      </c>
      <c r="F2576" s="3">
        <v>0</v>
      </c>
      <c r="G2576" s="3">
        <v>62.9</v>
      </c>
      <c r="H2576" s="3">
        <v>-62.9</v>
      </c>
      <c r="I2576" t="s">
        <v>958</v>
      </c>
    </row>
    <row r="2577" spans="1:9" x14ac:dyDescent="0.35">
      <c r="A2577" s="2">
        <v>45519</v>
      </c>
      <c r="B2577">
        <v>89</v>
      </c>
      <c r="C2577">
        <v>6121023</v>
      </c>
      <c r="D2577" t="s">
        <v>49</v>
      </c>
      <c r="E2577" t="s">
        <v>52</v>
      </c>
      <c r="F2577" s="3">
        <v>341.43</v>
      </c>
      <c r="G2577" s="3">
        <v>0</v>
      </c>
      <c r="H2577" s="3">
        <v>341.43</v>
      </c>
      <c r="I2577" t="s">
        <v>959</v>
      </c>
    </row>
    <row r="2578" spans="1:9" x14ac:dyDescent="0.35">
      <c r="A2578" s="2">
        <v>45519</v>
      </c>
      <c r="B2578">
        <v>89</v>
      </c>
      <c r="C2578">
        <v>2114010</v>
      </c>
      <c r="D2578" t="s">
        <v>48</v>
      </c>
      <c r="E2578" t="s">
        <v>52</v>
      </c>
      <c r="F2578" s="3">
        <v>0</v>
      </c>
      <c r="G2578" s="3">
        <v>341.43</v>
      </c>
      <c r="H2578" s="3">
        <v>-341.43</v>
      </c>
      <c r="I2578" t="s">
        <v>959</v>
      </c>
    </row>
    <row r="2579" spans="1:9" x14ac:dyDescent="0.35">
      <c r="A2579" s="2">
        <v>45519</v>
      </c>
      <c r="B2579">
        <v>89</v>
      </c>
      <c r="C2579">
        <v>6121023</v>
      </c>
      <c r="D2579" t="s">
        <v>49</v>
      </c>
      <c r="E2579" t="s">
        <v>960</v>
      </c>
      <c r="F2579" s="3">
        <v>4410.01</v>
      </c>
      <c r="G2579" s="3">
        <v>0</v>
      </c>
      <c r="H2579" s="3">
        <v>4410.01</v>
      </c>
      <c r="I2579" t="s">
        <v>961</v>
      </c>
    </row>
    <row r="2580" spans="1:9" x14ac:dyDescent="0.35">
      <c r="A2580" s="2">
        <v>45519</v>
      </c>
      <c r="B2580">
        <v>89</v>
      </c>
      <c r="C2580">
        <v>2114010</v>
      </c>
      <c r="D2580" t="s">
        <v>48</v>
      </c>
      <c r="E2580" t="s">
        <v>960</v>
      </c>
      <c r="F2580" s="3">
        <v>0</v>
      </c>
      <c r="G2580" s="3">
        <v>4410.01</v>
      </c>
      <c r="H2580" s="3">
        <v>-4410.01</v>
      </c>
      <c r="I2580" t="s">
        <v>961</v>
      </c>
    </row>
    <row r="2581" spans="1:9" x14ac:dyDescent="0.35">
      <c r="A2581" s="2">
        <v>45519</v>
      </c>
      <c r="B2581">
        <v>89</v>
      </c>
      <c r="C2581">
        <v>6121023</v>
      </c>
      <c r="D2581" t="s">
        <v>49</v>
      </c>
      <c r="E2581" t="s">
        <v>159</v>
      </c>
      <c r="F2581" s="3">
        <v>1002.09</v>
      </c>
      <c r="G2581" s="3">
        <v>0</v>
      </c>
      <c r="H2581" s="3">
        <v>1002.09</v>
      </c>
      <c r="I2581" t="s">
        <v>962</v>
      </c>
    </row>
    <row r="2582" spans="1:9" x14ac:dyDescent="0.35">
      <c r="A2582" s="2">
        <v>45519</v>
      </c>
      <c r="B2582">
        <v>89</v>
      </c>
      <c r="C2582">
        <v>6121046</v>
      </c>
      <c r="D2582" t="s">
        <v>94</v>
      </c>
      <c r="E2582" t="s">
        <v>159</v>
      </c>
      <c r="F2582" s="3">
        <v>30.06</v>
      </c>
      <c r="G2582" s="3">
        <v>0</v>
      </c>
      <c r="H2582" s="3">
        <v>30.06</v>
      </c>
      <c r="I2582" t="s">
        <v>962</v>
      </c>
    </row>
    <row r="2583" spans="1:9" x14ac:dyDescent="0.35">
      <c r="A2583" s="2">
        <v>45519</v>
      </c>
      <c r="B2583">
        <v>89</v>
      </c>
      <c r="C2583">
        <v>2114010</v>
      </c>
      <c r="D2583" t="s">
        <v>48</v>
      </c>
      <c r="E2583" t="s">
        <v>159</v>
      </c>
      <c r="F2583" s="3">
        <v>0</v>
      </c>
      <c r="G2583" s="3">
        <v>30.06</v>
      </c>
      <c r="H2583" s="3">
        <v>-30.06</v>
      </c>
      <c r="I2583" t="s">
        <v>962</v>
      </c>
    </row>
    <row r="2584" spans="1:9" x14ac:dyDescent="0.35">
      <c r="A2584" s="2">
        <v>45519</v>
      </c>
      <c r="B2584">
        <v>89</v>
      </c>
      <c r="C2584">
        <v>2114010</v>
      </c>
      <c r="D2584" t="s">
        <v>48</v>
      </c>
      <c r="E2584" t="s">
        <v>159</v>
      </c>
      <c r="F2584" s="3">
        <v>0</v>
      </c>
      <c r="G2584" s="3">
        <v>1002.09</v>
      </c>
      <c r="H2584" s="3">
        <v>-1002.09</v>
      </c>
      <c r="I2584" t="s">
        <v>962</v>
      </c>
    </row>
    <row r="2585" spans="1:9" x14ac:dyDescent="0.35">
      <c r="A2585" s="2">
        <v>45519</v>
      </c>
      <c r="B2585">
        <v>89</v>
      </c>
      <c r="C2585">
        <v>6121018</v>
      </c>
      <c r="D2585" t="s">
        <v>150</v>
      </c>
      <c r="E2585" t="s">
        <v>151</v>
      </c>
      <c r="F2585" s="3">
        <v>6629.88</v>
      </c>
      <c r="G2585" s="3">
        <v>0</v>
      </c>
      <c r="H2585" s="3">
        <v>6629.88</v>
      </c>
      <c r="I2585" t="s">
        <v>963</v>
      </c>
    </row>
    <row r="2586" spans="1:9" x14ac:dyDescent="0.35">
      <c r="A2586" s="2">
        <v>45519</v>
      </c>
      <c r="B2586">
        <v>89</v>
      </c>
      <c r="C2586">
        <v>1141001</v>
      </c>
      <c r="D2586" t="s">
        <v>153</v>
      </c>
      <c r="E2586" t="s">
        <v>151</v>
      </c>
      <c r="F2586" s="3">
        <v>1060.78</v>
      </c>
      <c r="G2586" s="3">
        <v>0</v>
      </c>
      <c r="H2586" s="3">
        <v>1060.78</v>
      </c>
      <c r="I2586" t="s">
        <v>963</v>
      </c>
    </row>
    <row r="2587" spans="1:9" x14ac:dyDescent="0.35">
      <c r="A2587" s="2">
        <v>45519</v>
      </c>
      <c r="B2587">
        <v>89</v>
      </c>
      <c r="C2587">
        <v>2124009</v>
      </c>
      <c r="D2587" t="s">
        <v>154</v>
      </c>
      <c r="E2587" t="s">
        <v>151</v>
      </c>
      <c r="F2587" s="3">
        <v>0</v>
      </c>
      <c r="G2587" s="3">
        <v>795.59</v>
      </c>
      <c r="H2587" s="3">
        <v>-795.59</v>
      </c>
      <c r="I2587" t="s">
        <v>1438</v>
      </c>
    </row>
    <row r="2588" spans="1:9" x14ac:dyDescent="0.35">
      <c r="A2588" s="2">
        <v>45519</v>
      </c>
      <c r="B2588">
        <v>89</v>
      </c>
      <c r="C2588">
        <v>2122003</v>
      </c>
      <c r="D2588" t="s">
        <v>308</v>
      </c>
      <c r="E2588" t="s">
        <v>151</v>
      </c>
      <c r="F2588" s="3">
        <v>0</v>
      </c>
      <c r="G2588" s="3">
        <v>132.6</v>
      </c>
      <c r="H2588" s="3">
        <v>-132.6</v>
      </c>
      <c r="I2588" t="s">
        <v>963</v>
      </c>
    </row>
    <row r="2589" spans="1:9" x14ac:dyDescent="0.35">
      <c r="A2589" s="2">
        <v>45519</v>
      </c>
      <c r="B2589">
        <v>89</v>
      </c>
      <c r="C2589">
        <v>2114010</v>
      </c>
      <c r="D2589" t="s">
        <v>48</v>
      </c>
      <c r="E2589" t="s">
        <v>151</v>
      </c>
      <c r="F2589" s="3">
        <v>0</v>
      </c>
      <c r="G2589" s="3">
        <v>6762.47</v>
      </c>
      <c r="H2589" s="3">
        <v>-6762.47</v>
      </c>
      <c r="I2589" t="s">
        <v>963</v>
      </c>
    </row>
    <row r="2590" spans="1:9" x14ac:dyDescent="0.35">
      <c r="A2590" s="2">
        <v>45519</v>
      </c>
      <c r="B2590">
        <v>89</v>
      </c>
      <c r="C2590">
        <v>4112003</v>
      </c>
      <c r="D2590" t="s">
        <v>58</v>
      </c>
      <c r="E2590" t="s">
        <v>59</v>
      </c>
      <c r="F2590" s="3">
        <v>0</v>
      </c>
      <c r="G2590" s="3">
        <v>2940.07</v>
      </c>
      <c r="H2590" s="3">
        <v>-2940.07</v>
      </c>
      <c r="I2590" t="s">
        <v>964</v>
      </c>
    </row>
    <row r="2591" spans="1:9" x14ac:dyDescent="0.35">
      <c r="A2591" s="2">
        <v>45519</v>
      </c>
      <c r="B2591">
        <v>89</v>
      </c>
      <c r="C2591">
        <v>2121001</v>
      </c>
      <c r="D2591" t="s">
        <v>27</v>
      </c>
      <c r="E2591" t="s">
        <v>59</v>
      </c>
      <c r="F2591" s="3">
        <v>0</v>
      </c>
      <c r="G2591" s="3">
        <v>470.41</v>
      </c>
      <c r="H2591" s="3">
        <v>-470.41</v>
      </c>
      <c r="I2591" t="s">
        <v>964</v>
      </c>
    </row>
    <row r="2592" spans="1:9" x14ac:dyDescent="0.35">
      <c r="A2592" s="2">
        <v>45519</v>
      </c>
      <c r="B2592">
        <v>89</v>
      </c>
      <c r="C2592">
        <v>1111001</v>
      </c>
      <c r="D2592" t="s">
        <v>16</v>
      </c>
      <c r="E2592" t="s">
        <v>59</v>
      </c>
      <c r="F2592" s="3">
        <v>3410.48</v>
      </c>
      <c r="G2592" s="3">
        <v>0</v>
      </c>
      <c r="H2592" s="3">
        <v>3410.48</v>
      </c>
      <c r="I2592" t="s">
        <v>964</v>
      </c>
    </row>
    <row r="2593" spans="1:9" x14ac:dyDescent="0.35">
      <c r="A2593" s="2">
        <v>45519</v>
      </c>
      <c r="B2593">
        <v>89</v>
      </c>
      <c r="C2593">
        <v>4112003</v>
      </c>
      <c r="D2593" t="s">
        <v>58</v>
      </c>
      <c r="E2593" t="s">
        <v>59</v>
      </c>
      <c r="F2593" s="3">
        <v>0</v>
      </c>
      <c r="G2593" s="3">
        <v>3983.24</v>
      </c>
      <c r="H2593" s="3">
        <v>-3983.24</v>
      </c>
      <c r="I2593" t="s">
        <v>965</v>
      </c>
    </row>
    <row r="2594" spans="1:9" x14ac:dyDescent="0.35">
      <c r="A2594" s="2">
        <v>45519</v>
      </c>
      <c r="B2594">
        <v>89</v>
      </c>
      <c r="C2594">
        <v>2121001</v>
      </c>
      <c r="D2594" t="s">
        <v>27</v>
      </c>
      <c r="E2594" t="s">
        <v>59</v>
      </c>
      <c r="F2594" s="3">
        <v>0</v>
      </c>
      <c r="G2594" s="3">
        <v>637.32000000000005</v>
      </c>
      <c r="H2594" s="3">
        <v>-637.32000000000005</v>
      </c>
      <c r="I2594" t="s">
        <v>965</v>
      </c>
    </row>
    <row r="2595" spans="1:9" x14ac:dyDescent="0.35">
      <c r="A2595" s="2">
        <v>45519</v>
      </c>
      <c r="B2595">
        <v>89</v>
      </c>
      <c r="C2595">
        <v>1111001</v>
      </c>
      <c r="D2595" t="s">
        <v>16</v>
      </c>
      <c r="E2595" t="s">
        <v>59</v>
      </c>
      <c r="F2595" s="3">
        <v>4620.5600000000004</v>
      </c>
      <c r="G2595" s="3">
        <v>0</v>
      </c>
      <c r="H2595" s="3">
        <v>4620.5600000000004</v>
      </c>
      <c r="I2595" t="s">
        <v>965</v>
      </c>
    </row>
    <row r="2596" spans="1:9" x14ac:dyDescent="0.35">
      <c r="A2596" s="2">
        <v>45519</v>
      </c>
      <c r="B2596">
        <v>89</v>
      </c>
      <c r="C2596">
        <v>4112003</v>
      </c>
      <c r="D2596" t="s">
        <v>58</v>
      </c>
      <c r="E2596" t="s">
        <v>59</v>
      </c>
      <c r="F2596" s="3">
        <v>0</v>
      </c>
      <c r="G2596" s="3">
        <v>758.7</v>
      </c>
      <c r="H2596" s="3">
        <v>-758.7</v>
      </c>
      <c r="I2596" t="s">
        <v>966</v>
      </c>
    </row>
    <row r="2597" spans="1:9" x14ac:dyDescent="0.35">
      <c r="A2597" s="2">
        <v>45519</v>
      </c>
      <c r="B2597">
        <v>89</v>
      </c>
      <c r="C2597">
        <v>2121001</v>
      </c>
      <c r="D2597" t="s">
        <v>27</v>
      </c>
      <c r="E2597" t="s">
        <v>59</v>
      </c>
      <c r="F2597" s="3">
        <v>0</v>
      </c>
      <c r="G2597" s="3">
        <v>121.39</v>
      </c>
      <c r="H2597" s="3">
        <v>-121.39</v>
      </c>
      <c r="I2597" t="s">
        <v>966</v>
      </c>
    </row>
    <row r="2598" spans="1:9" x14ac:dyDescent="0.35">
      <c r="A2598" s="2">
        <v>45519</v>
      </c>
      <c r="B2598">
        <v>89</v>
      </c>
      <c r="C2598">
        <v>1111001</v>
      </c>
      <c r="D2598" t="s">
        <v>16</v>
      </c>
      <c r="E2598" t="s">
        <v>59</v>
      </c>
      <c r="F2598" s="3">
        <v>880.09</v>
      </c>
      <c r="G2598" s="3">
        <v>0</v>
      </c>
      <c r="H2598" s="3">
        <v>880.09</v>
      </c>
      <c r="I2598" t="s">
        <v>966</v>
      </c>
    </row>
    <row r="2599" spans="1:9" x14ac:dyDescent="0.35">
      <c r="A2599" s="2">
        <v>45519</v>
      </c>
      <c r="B2599">
        <v>89</v>
      </c>
      <c r="C2599">
        <v>4112003</v>
      </c>
      <c r="D2599" t="s">
        <v>58</v>
      </c>
      <c r="E2599" t="s">
        <v>59</v>
      </c>
      <c r="F2599" s="3">
        <v>0</v>
      </c>
      <c r="G2599" s="3">
        <v>1991.5</v>
      </c>
      <c r="H2599" s="3">
        <v>-1991.5</v>
      </c>
      <c r="I2599" t="s">
        <v>967</v>
      </c>
    </row>
    <row r="2600" spans="1:9" x14ac:dyDescent="0.35">
      <c r="A2600" s="2">
        <v>45519</v>
      </c>
      <c r="B2600">
        <v>89</v>
      </c>
      <c r="C2600">
        <v>2121001</v>
      </c>
      <c r="D2600" t="s">
        <v>27</v>
      </c>
      <c r="E2600" t="s">
        <v>59</v>
      </c>
      <c r="F2600" s="3">
        <v>0</v>
      </c>
      <c r="G2600" s="3">
        <v>318.64</v>
      </c>
      <c r="H2600" s="3">
        <v>-318.64</v>
      </c>
      <c r="I2600" t="s">
        <v>967</v>
      </c>
    </row>
    <row r="2601" spans="1:9" x14ac:dyDescent="0.35">
      <c r="A2601" s="2">
        <v>45519</v>
      </c>
      <c r="B2601">
        <v>89</v>
      </c>
      <c r="C2601">
        <v>1111001</v>
      </c>
      <c r="D2601" t="s">
        <v>16</v>
      </c>
      <c r="E2601" t="s">
        <v>59</v>
      </c>
      <c r="F2601" s="3">
        <v>2310.14</v>
      </c>
      <c r="G2601" s="3">
        <v>0</v>
      </c>
      <c r="H2601" s="3">
        <v>2310.14</v>
      </c>
      <c r="I2601" t="s">
        <v>967</v>
      </c>
    </row>
    <row r="2602" spans="1:9" x14ac:dyDescent="0.35">
      <c r="A2602" s="2">
        <v>45519</v>
      </c>
      <c r="B2602">
        <v>89</v>
      </c>
      <c r="C2602">
        <v>4112003</v>
      </c>
      <c r="D2602" t="s">
        <v>58</v>
      </c>
      <c r="E2602" t="s">
        <v>59</v>
      </c>
      <c r="F2602" s="3">
        <v>0</v>
      </c>
      <c r="G2602" s="3">
        <v>7113.08</v>
      </c>
      <c r="H2602" s="3">
        <v>-7113.08</v>
      </c>
      <c r="I2602" t="s">
        <v>968</v>
      </c>
    </row>
    <row r="2603" spans="1:9" x14ac:dyDescent="0.35">
      <c r="A2603" s="2">
        <v>45519</v>
      </c>
      <c r="B2603">
        <v>89</v>
      </c>
      <c r="C2603">
        <v>2121001</v>
      </c>
      <c r="D2603" t="s">
        <v>27</v>
      </c>
      <c r="E2603" t="s">
        <v>59</v>
      </c>
      <c r="F2603" s="3">
        <v>0</v>
      </c>
      <c r="G2603" s="3">
        <v>1138.0899999999999</v>
      </c>
      <c r="H2603" s="3">
        <v>-1138.0899999999999</v>
      </c>
      <c r="I2603" t="s">
        <v>968</v>
      </c>
    </row>
    <row r="2604" spans="1:9" x14ac:dyDescent="0.35">
      <c r="A2604" s="2">
        <v>45519</v>
      </c>
      <c r="B2604">
        <v>89</v>
      </c>
      <c r="C2604">
        <v>1111001</v>
      </c>
      <c r="D2604" t="s">
        <v>16</v>
      </c>
      <c r="E2604" t="s">
        <v>59</v>
      </c>
      <c r="F2604" s="3">
        <v>8251.17</v>
      </c>
      <c r="G2604" s="3">
        <v>0</v>
      </c>
      <c r="H2604" s="3">
        <v>8251.17</v>
      </c>
      <c r="I2604" t="s">
        <v>968</v>
      </c>
    </row>
    <row r="2605" spans="1:9" x14ac:dyDescent="0.35">
      <c r="A2605" s="2">
        <v>45519</v>
      </c>
      <c r="B2605">
        <v>89</v>
      </c>
      <c r="C2605">
        <v>4112003</v>
      </c>
      <c r="D2605" t="s">
        <v>58</v>
      </c>
      <c r="E2605" t="s">
        <v>59</v>
      </c>
      <c r="F2605" s="3">
        <v>0</v>
      </c>
      <c r="G2605" s="3">
        <v>5974.8</v>
      </c>
      <c r="H2605" s="3">
        <v>-5974.8</v>
      </c>
      <c r="I2605" t="s">
        <v>969</v>
      </c>
    </row>
    <row r="2606" spans="1:9" x14ac:dyDescent="0.35">
      <c r="A2606" s="2">
        <v>45519</v>
      </c>
      <c r="B2606">
        <v>89</v>
      </c>
      <c r="C2606">
        <v>2121001</v>
      </c>
      <c r="D2606" t="s">
        <v>27</v>
      </c>
      <c r="E2606" t="s">
        <v>59</v>
      </c>
      <c r="F2606" s="3">
        <v>0</v>
      </c>
      <c r="G2606" s="3">
        <v>955.97</v>
      </c>
      <c r="H2606" s="3">
        <v>-955.97</v>
      </c>
      <c r="I2606" t="s">
        <v>969</v>
      </c>
    </row>
    <row r="2607" spans="1:9" x14ac:dyDescent="0.35">
      <c r="A2607" s="2">
        <v>45519</v>
      </c>
      <c r="B2607">
        <v>89</v>
      </c>
      <c r="C2607">
        <v>1111001</v>
      </c>
      <c r="D2607" t="s">
        <v>16</v>
      </c>
      <c r="E2607" t="s">
        <v>59</v>
      </c>
      <c r="F2607" s="3">
        <v>6930.77</v>
      </c>
      <c r="G2607" s="3">
        <v>0</v>
      </c>
      <c r="H2607" s="3">
        <v>6930.77</v>
      </c>
      <c r="I2607" t="s">
        <v>969</v>
      </c>
    </row>
    <row r="2608" spans="1:9" x14ac:dyDescent="0.35">
      <c r="A2608" s="2">
        <v>45519</v>
      </c>
      <c r="B2608">
        <v>89</v>
      </c>
      <c r="C2608">
        <v>4112003</v>
      </c>
      <c r="D2608" t="s">
        <v>58</v>
      </c>
      <c r="E2608" t="s">
        <v>59</v>
      </c>
      <c r="F2608" s="3">
        <v>0</v>
      </c>
      <c r="G2608" s="3">
        <v>6069.57</v>
      </c>
      <c r="H2608" s="3">
        <v>-6069.57</v>
      </c>
      <c r="I2608" t="s">
        <v>970</v>
      </c>
    </row>
    <row r="2609" spans="1:9" x14ac:dyDescent="0.35">
      <c r="A2609" s="2">
        <v>45519</v>
      </c>
      <c r="B2609">
        <v>89</v>
      </c>
      <c r="C2609">
        <v>2121001</v>
      </c>
      <c r="D2609" t="s">
        <v>27</v>
      </c>
      <c r="E2609" t="s">
        <v>59</v>
      </c>
      <c r="F2609" s="3">
        <v>0</v>
      </c>
      <c r="G2609" s="3">
        <v>971.13</v>
      </c>
      <c r="H2609" s="3">
        <v>-971.13</v>
      </c>
      <c r="I2609" t="s">
        <v>970</v>
      </c>
    </row>
    <row r="2610" spans="1:9" x14ac:dyDescent="0.35">
      <c r="A2610" s="2">
        <v>45519</v>
      </c>
      <c r="B2610">
        <v>89</v>
      </c>
      <c r="C2610">
        <v>1111001</v>
      </c>
      <c r="D2610" t="s">
        <v>16</v>
      </c>
      <c r="E2610" t="s">
        <v>59</v>
      </c>
      <c r="F2610" s="3">
        <v>7040.7</v>
      </c>
      <c r="G2610" s="3">
        <v>0</v>
      </c>
      <c r="H2610" s="3">
        <v>7040.7</v>
      </c>
      <c r="I2610" t="s">
        <v>970</v>
      </c>
    </row>
    <row r="2611" spans="1:9" x14ac:dyDescent="0.35">
      <c r="A2611" s="2">
        <v>45519</v>
      </c>
      <c r="B2611">
        <v>89</v>
      </c>
      <c r="C2611">
        <v>4112003</v>
      </c>
      <c r="D2611" t="s">
        <v>58</v>
      </c>
      <c r="E2611" t="s">
        <v>59</v>
      </c>
      <c r="F2611" s="3">
        <v>0</v>
      </c>
      <c r="G2611" s="3">
        <v>4816.04</v>
      </c>
      <c r="H2611" s="3">
        <v>-4816.04</v>
      </c>
      <c r="I2611" t="s">
        <v>971</v>
      </c>
    </row>
    <row r="2612" spans="1:9" x14ac:dyDescent="0.35">
      <c r="A2612" s="2">
        <v>45519</v>
      </c>
      <c r="B2612">
        <v>89</v>
      </c>
      <c r="C2612">
        <v>2121001</v>
      </c>
      <c r="D2612" t="s">
        <v>27</v>
      </c>
      <c r="E2612" t="s">
        <v>59</v>
      </c>
      <c r="F2612" s="3">
        <v>0</v>
      </c>
      <c r="G2612" s="3">
        <v>770.57</v>
      </c>
      <c r="H2612" s="3">
        <v>-770.57</v>
      </c>
      <c r="I2612" t="s">
        <v>971</v>
      </c>
    </row>
    <row r="2613" spans="1:9" x14ac:dyDescent="0.35">
      <c r="A2613" s="2">
        <v>45519</v>
      </c>
      <c r="B2613">
        <v>89</v>
      </c>
      <c r="C2613">
        <v>1111001</v>
      </c>
      <c r="D2613" t="s">
        <v>16</v>
      </c>
      <c r="E2613" t="s">
        <v>59</v>
      </c>
      <c r="F2613" s="3">
        <v>5586.61</v>
      </c>
      <c r="G2613" s="3">
        <v>0</v>
      </c>
      <c r="H2613" s="3">
        <v>5586.61</v>
      </c>
      <c r="I2613" t="s">
        <v>971</v>
      </c>
    </row>
    <row r="2614" spans="1:9" x14ac:dyDescent="0.35">
      <c r="A2614" s="2">
        <v>45519</v>
      </c>
      <c r="B2614">
        <v>89</v>
      </c>
      <c r="C2614">
        <v>4112003</v>
      </c>
      <c r="D2614" t="s">
        <v>58</v>
      </c>
      <c r="E2614" t="s">
        <v>59</v>
      </c>
      <c r="F2614" s="3">
        <v>0</v>
      </c>
      <c r="G2614" s="3">
        <v>6354.08</v>
      </c>
      <c r="H2614" s="3">
        <v>-6354.08</v>
      </c>
      <c r="I2614" t="s">
        <v>972</v>
      </c>
    </row>
    <row r="2615" spans="1:9" x14ac:dyDescent="0.35">
      <c r="A2615" s="2">
        <v>45519</v>
      </c>
      <c r="B2615">
        <v>89</v>
      </c>
      <c r="C2615">
        <v>2121001</v>
      </c>
      <c r="D2615" t="s">
        <v>27</v>
      </c>
      <c r="E2615" t="s">
        <v>59</v>
      </c>
      <c r="F2615" s="3">
        <v>0</v>
      </c>
      <c r="G2615" s="3">
        <v>1016.65</v>
      </c>
      <c r="H2615" s="3">
        <v>-1016.65</v>
      </c>
      <c r="I2615" t="s">
        <v>972</v>
      </c>
    </row>
    <row r="2616" spans="1:9" x14ac:dyDescent="0.35">
      <c r="A2616" s="2">
        <v>45519</v>
      </c>
      <c r="B2616">
        <v>89</v>
      </c>
      <c r="C2616">
        <v>1111001</v>
      </c>
      <c r="D2616" t="s">
        <v>16</v>
      </c>
      <c r="E2616" t="s">
        <v>59</v>
      </c>
      <c r="F2616" s="3">
        <v>7370.73</v>
      </c>
      <c r="G2616" s="3">
        <v>0</v>
      </c>
      <c r="H2616" s="3">
        <v>7370.73</v>
      </c>
      <c r="I2616" t="s">
        <v>972</v>
      </c>
    </row>
    <row r="2617" spans="1:9" x14ac:dyDescent="0.35">
      <c r="A2617" s="2">
        <v>45519</v>
      </c>
      <c r="B2617">
        <v>89</v>
      </c>
      <c r="C2617">
        <v>4112003</v>
      </c>
      <c r="D2617" t="s">
        <v>58</v>
      </c>
      <c r="E2617" t="s">
        <v>59</v>
      </c>
      <c r="F2617" s="3">
        <v>0</v>
      </c>
      <c r="G2617" s="3">
        <v>3982.96</v>
      </c>
      <c r="H2617" s="3">
        <v>-3982.96</v>
      </c>
      <c r="I2617" t="s">
        <v>973</v>
      </c>
    </row>
    <row r="2618" spans="1:9" x14ac:dyDescent="0.35">
      <c r="A2618" s="2">
        <v>45519</v>
      </c>
      <c r="B2618">
        <v>89</v>
      </c>
      <c r="C2618">
        <v>2121001</v>
      </c>
      <c r="D2618" t="s">
        <v>27</v>
      </c>
      <c r="E2618" t="s">
        <v>59</v>
      </c>
      <c r="F2618" s="3">
        <v>0</v>
      </c>
      <c r="G2618" s="3">
        <v>637.27</v>
      </c>
      <c r="H2618" s="3">
        <v>-637.27</v>
      </c>
      <c r="I2618" t="s">
        <v>973</v>
      </c>
    </row>
    <row r="2619" spans="1:9" x14ac:dyDescent="0.35">
      <c r="A2619" s="2">
        <v>45519</v>
      </c>
      <c r="B2619">
        <v>89</v>
      </c>
      <c r="C2619">
        <v>1111001</v>
      </c>
      <c r="D2619" t="s">
        <v>16</v>
      </c>
      <c r="E2619" t="s">
        <v>59</v>
      </c>
      <c r="F2619" s="3">
        <v>4620.2299999999996</v>
      </c>
      <c r="G2619" s="3">
        <v>0</v>
      </c>
      <c r="H2619" s="3">
        <v>4620.2299999999996</v>
      </c>
      <c r="I2619" t="s">
        <v>973</v>
      </c>
    </row>
    <row r="2620" spans="1:9" x14ac:dyDescent="0.35">
      <c r="A2620" s="2">
        <v>45519</v>
      </c>
      <c r="B2620">
        <v>89</v>
      </c>
      <c r="C2620">
        <v>4112003</v>
      </c>
      <c r="D2620" t="s">
        <v>58</v>
      </c>
      <c r="E2620" t="s">
        <v>59</v>
      </c>
      <c r="F2620" s="3">
        <v>0</v>
      </c>
      <c r="G2620" s="3">
        <v>189.66</v>
      </c>
      <c r="H2620" s="3">
        <v>-189.66</v>
      </c>
      <c r="I2620" t="s">
        <v>974</v>
      </c>
    </row>
    <row r="2621" spans="1:9" x14ac:dyDescent="0.35">
      <c r="A2621" s="2">
        <v>45519</v>
      </c>
      <c r="B2621">
        <v>89</v>
      </c>
      <c r="C2621">
        <v>2121001</v>
      </c>
      <c r="D2621" t="s">
        <v>27</v>
      </c>
      <c r="E2621" t="s">
        <v>59</v>
      </c>
      <c r="F2621" s="3">
        <v>0</v>
      </c>
      <c r="G2621" s="3">
        <v>30.35</v>
      </c>
      <c r="H2621" s="3">
        <v>-30.35</v>
      </c>
      <c r="I2621" t="s">
        <v>974</v>
      </c>
    </row>
    <row r="2622" spans="1:9" x14ac:dyDescent="0.35">
      <c r="A2622" s="2">
        <v>45519</v>
      </c>
      <c r="B2622">
        <v>89</v>
      </c>
      <c r="C2622">
        <v>1111001</v>
      </c>
      <c r="D2622" t="s">
        <v>16</v>
      </c>
      <c r="E2622" t="s">
        <v>59</v>
      </c>
      <c r="F2622" s="3">
        <v>220.01</v>
      </c>
      <c r="G2622" s="3">
        <v>0</v>
      </c>
      <c r="H2622" s="3">
        <v>220.01</v>
      </c>
      <c r="I2622" t="s">
        <v>974</v>
      </c>
    </row>
    <row r="2623" spans="1:9" x14ac:dyDescent="0.35">
      <c r="A2623" s="2">
        <v>45519</v>
      </c>
      <c r="B2623">
        <v>89</v>
      </c>
      <c r="C2623">
        <v>4112003</v>
      </c>
      <c r="D2623" t="s">
        <v>58</v>
      </c>
      <c r="E2623" t="s">
        <v>59</v>
      </c>
      <c r="F2623" s="3">
        <v>0</v>
      </c>
      <c r="G2623" s="3">
        <v>6353.96</v>
      </c>
      <c r="H2623" s="3">
        <v>-6353.96</v>
      </c>
      <c r="I2623" t="s">
        <v>975</v>
      </c>
    </row>
    <row r="2624" spans="1:9" x14ac:dyDescent="0.35">
      <c r="A2624" s="2">
        <v>45519</v>
      </c>
      <c r="B2624">
        <v>89</v>
      </c>
      <c r="C2624">
        <v>2121001</v>
      </c>
      <c r="D2624" t="s">
        <v>27</v>
      </c>
      <c r="E2624" t="s">
        <v>59</v>
      </c>
      <c r="F2624" s="3">
        <v>0</v>
      </c>
      <c r="G2624" s="3">
        <v>1016.63</v>
      </c>
      <c r="H2624" s="3">
        <v>-1016.63</v>
      </c>
      <c r="I2624" t="s">
        <v>975</v>
      </c>
    </row>
    <row r="2625" spans="1:9" x14ac:dyDescent="0.35">
      <c r="A2625" s="2">
        <v>45519</v>
      </c>
      <c r="B2625">
        <v>89</v>
      </c>
      <c r="C2625">
        <v>1111001</v>
      </c>
      <c r="D2625" t="s">
        <v>16</v>
      </c>
      <c r="E2625" t="s">
        <v>59</v>
      </c>
      <c r="F2625" s="3">
        <v>7370.59</v>
      </c>
      <c r="G2625" s="3">
        <v>0</v>
      </c>
      <c r="H2625" s="3">
        <v>7370.59</v>
      </c>
      <c r="I2625" t="s">
        <v>975</v>
      </c>
    </row>
    <row r="2626" spans="1:9" x14ac:dyDescent="0.35">
      <c r="A2626" s="2">
        <v>45519</v>
      </c>
      <c r="B2626">
        <v>89</v>
      </c>
      <c r="C2626">
        <v>4112003</v>
      </c>
      <c r="D2626" t="s">
        <v>58</v>
      </c>
      <c r="E2626" t="s">
        <v>59</v>
      </c>
      <c r="F2626" s="3">
        <v>0</v>
      </c>
      <c r="G2626" s="3">
        <v>5310.9</v>
      </c>
      <c r="H2626" s="3">
        <v>-5310.9</v>
      </c>
      <c r="I2626" t="s">
        <v>976</v>
      </c>
    </row>
    <row r="2627" spans="1:9" x14ac:dyDescent="0.35">
      <c r="A2627" s="2">
        <v>45519</v>
      </c>
      <c r="B2627">
        <v>89</v>
      </c>
      <c r="C2627">
        <v>2121001</v>
      </c>
      <c r="D2627" t="s">
        <v>27</v>
      </c>
      <c r="E2627" t="s">
        <v>59</v>
      </c>
      <c r="F2627" s="3">
        <v>0</v>
      </c>
      <c r="G2627" s="3">
        <v>849.74</v>
      </c>
      <c r="H2627" s="3">
        <v>-849.74</v>
      </c>
      <c r="I2627" t="s">
        <v>976</v>
      </c>
    </row>
    <row r="2628" spans="1:9" x14ac:dyDescent="0.35">
      <c r="A2628" s="2">
        <v>45519</v>
      </c>
      <c r="B2628">
        <v>89</v>
      </c>
      <c r="C2628">
        <v>1111001</v>
      </c>
      <c r="D2628" t="s">
        <v>16</v>
      </c>
      <c r="E2628" t="s">
        <v>59</v>
      </c>
      <c r="F2628" s="3">
        <v>6160.64</v>
      </c>
      <c r="G2628" s="3">
        <v>0</v>
      </c>
      <c r="H2628" s="3">
        <v>6160.64</v>
      </c>
      <c r="I2628" t="s">
        <v>976</v>
      </c>
    </row>
    <row r="2629" spans="1:9" x14ac:dyDescent="0.35">
      <c r="A2629" s="2">
        <v>45519</v>
      </c>
      <c r="B2629">
        <v>89</v>
      </c>
      <c r="C2629">
        <v>4112003</v>
      </c>
      <c r="D2629" t="s">
        <v>58</v>
      </c>
      <c r="E2629" t="s">
        <v>59</v>
      </c>
      <c r="F2629" s="3">
        <v>0</v>
      </c>
      <c r="G2629" s="3">
        <v>6448.95</v>
      </c>
      <c r="H2629" s="3">
        <v>-6448.95</v>
      </c>
      <c r="I2629" t="s">
        <v>977</v>
      </c>
    </row>
    <row r="2630" spans="1:9" x14ac:dyDescent="0.35">
      <c r="A2630" s="2">
        <v>45519</v>
      </c>
      <c r="B2630">
        <v>89</v>
      </c>
      <c r="C2630">
        <v>2121001</v>
      </c>
      <c r="D2630" t="s">
        <v>27</v>
      </c>
      <c r="E2630" t="s">
        <v>59</v>
      </c>
      <c r="F2630" s="3">
        <v>0</v>
      </c>
      <c r="G2630" s="3">
        <v>1031.83</v>
      </c>
      <c r="H2630" s="3">
        <v>-1031.83</v>
      </c>
      <c r="I2630" t="s">
        <v>977</v>
      </c>
    </row>
    <row r="2631" spans="1:9" x14ac:dyDescent="0.35">
      <c r="A2631" s="2">
        <v>45519</v>
      </c>
      <c r="B2631">
        <v>89</v>
      </c>
      <c r="C2631">
        <v>1111001</v>
      </c>
      <c r="D2631" t="s">
        <v>16</v>
      </c>
      <c r="E2631" t="s">
        <v>59</v>
      </c>
      <c r="F2631" s="3">
        <v>7480.78</v>
      </c>
      <c r="G2631" s="3">
        <v>0</v>
      </c>
      <c r="H2631" s="3">
        <v>7480.78</v>
      </c>
      <c r="I2631" t="s">
        <v>977</v>
      </c>
    </row>
    <row r="2632" spans="1:9" x14ac:dyDescent="0.35">
      <c r="A2632" s="2">
        <v>45519</v>
      </c>
      <c r="B2632">
        <v>89</v>
      </c>
      <c r="C2632">
        <v>4112003</v>
      </c>
      <c r="D2632" t="s">
        <v>58</v>
      </c>
      <c r="E2632" t="s">
        <v>59</v>
      </c>
      <c r="F2632" s="3">
        <v>0</v>
      </c>
      <c r="G2632" s="3">
        <v>5794.52</v>
      </c>
      <c r="H2632" s="3">
        <v>-5794.52</v>
      </c>
      <c r="I2632" t="s">
        <v>978</v>
      </c>
    </row>
    <row r="2633" spans="1:9" x14ac:dyDescent="0.35">
      <c r="A2633" s="2">
        <v>45519</v>
      </c>
      <c r="B2633">
        <v>89</v>
      </c>
      <c r="C2633">
        <v>2121001</v>
      </c>
      <c r="D2633" t="s">
        <v>27</v>
      </c>
      <c r="E2633" t="s">
        <v>59</v>
      </c>
      <c r="F2633" s="3">
        <v>0</v>
      </c>
      <c r="G2633" s="3">
        <v>927.12</v>
      </c>
      <c r="H2633" s="3">
        <v>-927.12</v>
      </c>
      <c r="I2633" t="s">
        <v>978</v>
      </c>
    </row>
    <row r="2634" spans="1:9" x14ac:dyDescent="0.35">
      <c r="A2634" s="2">
        <v>45519</v>
      </c>
      <c r="B2634">
        <v>89</v>
      </c>
      <c r="C2634">
        <v>1111001</v>
      </c>
      <c r="D2634" t="s">
        <v>16</v>
      </c>
      <c r="E2634" t="s">
        <v>59</v>
      </c>
      <c r="F2634" s="3">
        <v>6721.64</v>
      </c>
      <c r="G2634" s="3">
        <v>0</v>
      </c>
      <c r="H2634" s="3">
        <v>6721.64</v>
      </c>
      <c r="I2634" t="s">
        <v>978</v>
      </c>
    </row>
    <row r="2635" spans="1:9" x14ac:dyDescent="0.35">
      <c r="A2635" s="2">
        <v>45519</v>
      </c>
      <c r="B2635">
        <v>89</v>
      </c>
      <c r="C2635">
        <v>2121001</v>
      </c>
      <c r="D2635" t="s">
        <v>27</v>
      </c>
      <c r="E2635" t="s">
        <v>742</v>
      </c>
      <c r="F2635" s="3">
        <v>10893.12</v>
      </c>
      <c r="G2635" s="3">
        <v>0</v>
      </c>
      <c r="H2635" s="3">
        <v>10893.12</v>
      </c>
      <c r="I2635" t="s">
        <v>544</v>
      </c>
    </row>
    <row r="2636" spans="1:9" x14ac:dyDescent="0.35">
      <c r="A2636" s="2">
        <v>45519</v>
      </c>
      <c r="B2636">
        <v>89</v>
      </c>
      <c r="C2636">
        <v>1141001</v>
      </c>
      <c r="D2636" t="s">
        <v>153</v>
      </c>
      <c r="E2636" t="s">
        <v>742</v>
      </c>
      <c r="F2636" s="3">
        <v>0</v>
      </c>
      <c r="G2636" s="3">
        <v>1060.78</v>
      </c>
      <c r="H2636" s="3">
        <v>-1060.78</v>
      </c>
      <c r="I2636" t="s">
        <v>544</v>
      </c>
    </row>
    <row r="2637" spans="1:9" x14ac:dyDescent="0.35">
      <c r="A2637" s="2">
        <v>45519</v>
      </c>
      <c r="B2637">
        <v>89</v>
      </c>
      <c r="C2637">
        <v>2121003</v>
      </c>
      <c r="D2637" t="s">
        <v>28</v>
      </c>
      <c r="E2637" t="s">
        <v>742</v>
      </c>
      <c r="F2637" s="3">
        <v>0</v>
      </c>
      <c r="G2637" s="3">
        <v>9832.34</v>
      </c>
      <c r="H2637" s="3">
        <v>-9832.34</v>
      </c>
      <c r="I2637" t="s">
        <v>544</v>
      </c>
    </row>
    <row r="2638" spans="1:9" x14ac:dyDescent="0.35">
      <c r="A2638" s="2">
        <v>45519</v>
      </c>
      <c r="B2638">
        <v>89</v>
      </c>
      <c r="C2638">
        <v>1142004</v>
      </c>
      <c r="D2638" t="s">
        <v>83</v>
      </c>
      <c r="E2638" t="s">
        <v>502</v>
      </c>
      <c r="F2638" s="3">
        <v>680.82</v>
      </c>
      <c r="G2638" s="3">
        <v>0</v>
      </c>
      <c r="H2638" s="3">
        <v>680.82</v>
      </c>
      <c r="I2638" t="s">
        <v>503</v>
      </c>
    </row>
    <row r="2639" spans="1:9" x14ac:dyDescent="0.35">
      <c r="A2639" s="2">
        <v>45519</v>
      </c>
      <c r="B2639">
        <v>89</v>
      </c>
      <c r="C2639">
        <v>2124004</v>
      </c>
      <c r="D2639" t="s">
        <v>29</v>
      </c>
      <c r="E2639" t="s">
        <v>502</v>
      </c>
      <c r="F2639" s="3">
        <v>0</v>
      </c>
      <c r="G2639" s="3">
        <v>680.82</v>
      </c>
      <c r="H2639" s="3">
        <v>-680.82</v>
      </c>
      <c r="I2639" t="s">
        <v>503</v>
      </c>
    </row>
    <row r="2640" spans="1:9" x14ac:dyDescent="0.35">
      <c r="A2640" s="2">
        <v>45519</v>
      </c>
      <c r="B2640">
        <v>89</v>
      </c>
      <c r="C2640">
        <v>5131001</v>
      </c>
      <c r="D2640" t="s">
        <v>86</v>
      </c>
      <c r="E2640" t="s">
        <v>979</v>
      </c>
      <c r="F2640" s="3">
        <v>520</v>
      </c>
      <c r="G2640" s="3">
        <v>0</v>
      </c>
      <c r="H2640" s="3">
        <v>520</v>
      </c>
      <c r="I2640" t="s">
        <v>477</v>
      </c>
    </row>
    <row r="2641" spans="1:9" x14ac:dyDescent="0.35">
      <c r="A2641" s="2">
        <v>45519</v>
      </c>
      <c r="B2641">
        <v>89</v>
      </c>
      <c r="C2641">
        <v>5131005</v>
      </c>
      <c r="D2641" t="s">
        <v>205</v>
      </c>
      <c r="E2641" t="s">
        <v>979</v>
      </c>
      <c r="F2641" s="3">
        <v>5860.8</v>
      </c>
      <c r="G2641" s="3">
        <v>0</v>
      </c>
      <c r="H2641" s="3">
        <v>5860.8</v>
      </c>
      <c r="I2641" t="s">
        <v>477</v>
      </c>
    </row>
    <row r="2642" spans="1:9" x14ac:dyDescent="0.35">
      <c r="A2642" s="2">
        <v>45519</v>
      </c>
      <c r="B2642">
        <v>89</v>
      </c>
      <c r="C2642">
        <v>5131008</v>
      </c>
      <c r="D2642" t="s">
        <v>89</v>
      </c>
      <c r="E2642" t="s">
        <v>979</v>
      </c>
      <c r="F2642" s="3">
        <v>109.2</v>
      </c>
      <c r="G2642" s="3">
        <v>0</v>
      </c>
      <c r="H2642" s="3">
        <v>109.2</v>
      </c>
      <c r="I2642" t="s">
        <v>477</v>
      </c>
    </row>
    <row r="2643" spans="1:9" x14ac:dyDescent="0.35">
      <c r="A2643" s="2">
        <v>45519</v>
      </c>
      <c r="B2643">
        <v>89</v>
      </c>
      <c r="C2643">
        <v>5131009</v>
      </c>
      <c r="D2643" t="s">
        <v>90</v>
      </c>
      <c r="E2643" t="s">
        <v>979</v>
      </c>
      <c r="F2643" s="3">
        <v>21.67</v>
      </c>
      <c r="G2643" s="3">
        <v>0</v>
      </c>
      <c r="H2643" s="3">
        <v>21.67</v>
      </c>
      <c r="I2643" t="s">
        <v>477</v>
      </c>
    </row>
    <row r="2644" spans="1:9" x14ac:dyDescent="0.35">
      <c r="A2644" s="2">
        <v>45519</v>
      </c>
      <c r="B2644">
        <v>89</v>
      </c>
      <c r="C2644">
        <v>5131010</v>
      </c>
      <c r="D2644" t="s">
        <v>91</v>
      </c>
      <c r="E2644" t="s">
        <v>979</v>
      </c>
      <c r="F2644" s="3">
        <v>43.33</v>
      </c>
      <c r="G2644" s="3">
        <v>0</v>
      </c>
      <c r="H2644" s="3">
        <v>43.33</v>
      </c>
      <c r="I2644" t="s">
        <v>477</v>
      </c>
    </row>
    <row r="2645" spans="1:9" x14ac:dyDescent="0.35">
      <c r="A2645" s="2">
        <v>45519</v>
      </c>
      <c r="B2645">
        <v>89</v>
      </c>
      <c r="C2645">
        <v>5131012</v>
      </c>
      <c r="D2645" t="s">
        <v>206</v>
      </c>
      <c r="E2645" t="s">
        <v>979</v>
      </c>
      <c r="F2645" s="3">
        <v>57.2</v>
      </c>
      <c r="G2645" s="3">
        <v>0</v>
      </c>
      <c r="H2645" s="3">
        <v>57.2</v>
      </c>
      <c r="I2645" t="s">
        <v>477</v>
      </c>
    </row>
    <row r="2646" spans="1:9" x14ac:dyDescent="0.35">
      <c r="A2646" s="2">
        <v>45519</v>
      </c>
      <c r="B2646">
        <v>89</v>
      </c>
      <c r="C2646">
        <v>5131013</v>
      </c>
      <c r="D2646" t="s">
        <v>92</v>
      </c>
      <c r="E2646" t="s">
        <v>979</v>
      </c>
      <c r="F2646" s="3">
        <v>10.4</v>
      </c>
      <c r="G2646" s="3">
        <v>0</v>
      </c>
      <c r="H2646" s="3">
        <v>10.4</v>
      </c>
      <c r="I2646" t="s">
        <v>477</v>
      </c>
    </row>
    <row r="2647" spans="1:9" x14ac:dyDescent="0.35">
      <c r="A2647" s="2">
        <v>45519</v>
      </c>
      <c r="B2647">
        <v>89</v>
      </c>
      <c r="C2647">
        <v>5131014</v>
      </c>
      <c r="D2647" t="s">
        <v>207</v>
      </c>
      <c r="E2647" t="s">
        <v>979</v>
      </c>
      <c r="F2647" s="3">
        <v>10.4</v>
      </c>
      <c r="G2647" s="3">
        <v>0</v>
      </c>
      <c r="H2647" s="3">
        <v>10.4</v>
      </c>
      <c r="I2647" t="s">
        <v>477</v>
      </c>
    </row>
    <row r="2648" spans="1:9" x14ac:dyDescent="0.35">
      <c r="A2648" s="2">
        <v>45519</v>
      </c>
      <c r="B2648">
        <v>89</v>
      </c>
      <c r="C2648">
        <v>2131002</v>
      </c>
      <c r="D2648" t="s">
        <v>31</v>
      </c>
      <c r="E2648" t="s">
        <v>979</v>
      </c>
      <c r="F2648" s="3">
        <v>0</v>
      </c>
      <c r="G2648" s="3">
        <v>20.8</v>
      </c>
      <c r="H2648" s="3">
        <v>-20.8</v>
      </c>
      <c r="I2648" t="s">
        <v>477</v>
      </c>
    </row>
    <row r="2649" spans="1:9" x14ac:dyDescent="0.35">
      <c r="A2649" s="2">
        <v>45519</v>
      </c>
      <c r="B2649">
        <v>89</v>
      </c>
      <c r="C2649">
        <v>2131003</v>
      </c>
      <c r="D2649" t="s">
        <v>32</v>
      </c>
      <c r="E2649" t="s">
        <v>979</v>
      </c>
      <c r="F2649" s="3">
        <v>0</v>
      </c>
      <c r="G2649" s="3">
        <v>2.6</v>
      </c>
      <c r="H2649" s="3">
        <v>-2.6</v>
      </c>
      <c r="I2649" t="s">
        <v>477</v>
      </c>
    </row>
    <row r="2650" spans="1:9" x14ac:dyDescent="0.35">
      <c r="A2650" s="2">
        <v>45519</v>
      </c>
      <c r="B2650">
        <v>89</v>
      </c>
      <c r="C2650">
        <v>2131004</v>
      </c>
      <c r="D2650" t="s">
        <v>33</v>
      </c>
      <c r="E2650" t="s">
        <v>979</v>
      </c>
      <c r="F2650" s="3">
        <v>0</v>
      </c>
      <c r="G2650" s="3">
        <v>5.2</v>
      </c>
      <c r="H2650" s="3">
        <v>-5.2</v>
      </c>
      <c r="I2650" t="s">
        <v>477</v>
      </c>
    </row>
    <row r="2651" spans="1:9" x14ac:dyDescent="0.35">
      <c r="A2651" s="2">
        <v>45519</v>
      </c>
      <c r="B2651">
        <v>89</v>
      </c>
      <c r="C2651">
        <v>2141001</v>
      </c>
      <c r="D2651" t="s">
        <v>35</v>
      </c>
      <c r="E2651" t="s">
        <v>979</v>
      </c>
      <c r="F2651" s="3">
        <v>0</v>
      </c>
      <c r="G2651" s="3">
        <v>57.2</v>
      </c>
      <c r="H2651" s="3">
        <v>-57.2</v>
      </c>
      <c r="I2651" t="s">
        <v>477</v>
      </c>
    </row>
    <row r="2652" spans="1:9" x14ac:dyDescent="0.35">
      <c r="A2652" s="2">
        <v>45519</v>
      </c>
      <c r="B2652">
        <v>89</v>
      </c>
      <c r="C2652">
        <v>2141002</v>
      </c>
      <c r="D2652" t="s">
        <v>36</v>
      </c>
      <c r="E2652" t="s">
        <v>979</v>
      </c>
      <c r="F2652" s="3">
        <v>0</v>
      </c>
      <c r="G2652" s="3">
        <v>10.4</v>
      </c>
      <c r="H2652" s="3">
        <v>-10.4</v>
      </c>
      <c r="I2652" t="s">
        <v>477</v>
      </c>
    </row>
    <row r="2653" spans="1:9" x14ac:dyDescent="0.35">
      <c r="A2653" s="2">
        <v>45519</v>
      </c>
      <c r="B2653">
        <v>89</v>
      </c>
      <c r="C2653">
        <v>2141003</v>
      </c>
      <c r="D2653" t="s">
        <v>37</v>
      </c>
      <c r="E2653" t="s">
        <v>979</v>
      </c>
      <c r="F2653" s="3">
        <v>0</v>
      </c>
      <c r="G2653" s="3">
        <v>10.4</v>
      </c>
      <c r="H2653" s="3">
        <v>-10.4</v>
      </c>
      <c r="I2653" t="s">
        <v>477</v>
      </c>
    </row>
    <row r="2654" spans="1:9" x14ac:dyDescent="0.35">
      <c r="A2654" s="2">
        <v>45519</v>
      </c>
      <c r="B2654">
        <v>89</v>
      </c>
      <c r="C2654">
        <v>2161004</v>
      </c>
      <c r="D2654" t="s">
        <v>38</v>
      </c>
      <c r="E2654" t="s">
        <v>979</v>
      </c>
      <c r="F2654" s="3">
        <v>0</v>
      </c>
      <c r="G2654" s="3">
        <v>21.67</v>
      </c>
      <c r="H2654" s="3">
        <v>-21.67</v>
      </c>
      <c r="I2654" t="s">
        <v>477</v>
      </c>
    </row>
    <row r="2655" spans="1:9" x14ac:dyDescent="0.35">
      <c r="A2655" s="2">
        <v>45519</v>
      </c>
      <c r="B2655">
        <v>89</v>
      </c>
      <c r="C2655">
        <v>2161005</v>
      </c>
      <c r="D2655" t="s">
        <v>39</v>
      </c>
      <c r="E2655" t="s">
        <v>979</v>
      </c>
      <c r="F2655" s="3">
        <v>0</v>
      </c>
      <c r="G2655" s="3">
        <v>43.33</v>
      </c>
      <c r="H2655" s="3">
        <v>-43.33</v>
      </c>
      <c r="I2655" t="s">
        <v>477</v>
      </c>
    </row>
    <row r="2656" spans="1:9" x14ac:dyDescent="0.35">
      <c r="A2656" s="2">
        <v>45519</v>
      </c>
      <c r="B2656">
        <v>89</v>
      </c>
      <c r="C2656">
        <v>2241001</v>
      </c>
      <c r="D2656" t="s">
        <v>40</v>
      </c>
      <c r="E2656" t="s">
        <v>979</v>
      </c>
      <c r="F2656" s="3">
        <v>0</v>
      </c>
      <c r="G2656" s="3">
        <v>109.2</v>
      </c>
      <c r="H2656" s="3">
        <v>-109.2</v>
      </c>
      <c r="I2656" t="s">
        <v>477</v>
      </c>
    </row>
    <row r="2657" spans="1:9" x14ac:dyDescent="0.35">
      <c r="A2657" s="2">
        <v>45519</v>
      </c>
      <c r="B2657">
        <v>89</v>
      </c>
      <c r="C2657">
        <v>2161001</v>
      </c>
      <c r="D2657" t="s">
        <v>93</v>
      </c>
      <c r="E2657" t="s">
        <v>979</v>
      </c>
      <c r="F2657" s="3">
        <v>0</v>
      </c>
      <c r="G2657" s="3">
        <v>6352.2</v>
      </c>
      <c r="H2657" s="3">
        <v>-6352.2</v>
      </c>
      <c r="I2657" t="s">
        <v>477</v>
      </c>
    </row>
    <row r="2658" spans="1:9" x14ac:dyDescent="0.35">
      <c r="A2658" s="2">
        <v>45519</v>
      </c>
      <c r="B2658">
        <v>89</v>
      </c>
      <c r="C2658">
        <v>6121040</v>
      </c>
      <c r="D2658" t="s">
        <v>98</v>
      </c>
      <c r="E2658" t="s">
        <v>99</v>
      </c>
      <c r="F2658" s="3">
        <v>516.49</v>
      </c>
      <c r="G2658" s="3">
        <v>0</v>
      </c>
      <c r="H2658" s="3">
        <v>516.49</v>
      </c>
      <c r="I2658" t="s">
        <v>472</v>
      </c>
    </row>
    <row r="2659" spans="1:9" x14ac:dyDescent="0.35">
      <c r="A2659" s="2">
        <v>45519</v>
      </c>
      <c r="B2659">
        <v>89</v>
      </c>
      <c r="C2659">
        <v>6121031</v>
      </c>
      <c r="D2659" t="s">
        <v>209</v>
      </c>
      <c r="E2659" t="s">
        <v>980</v>
      </c>
      <c r="F2659" s="3">
        <v>2400</v>
      </c>
      <c r="G2659" s="3">
        <v>0</v>
      </c>
      <c r="H2659" s="3">
        <v>2400</v>
      </c>
      <c r="I2659" t="s">
        <v>472</v>
      </c>
    </row>
    <row r="2660" spans="1:9" x14ac:dyDescent="0.35">
      <c r="A2660" s="2">
        <v>45519</v>
      </c>
      <c r="B2660">
        <v>89</v>
      </c>
      <c r="C2660">
        <v>6121020</v>
      </c>
      <c r="D2660" t="s">
        <v>129</v>
      </c>
      <c r="E2660" t="s">
        <v>283</v>
      </c>
      <c r="F2660" s="3">
        <v>535</v>
      </c>
      <c r="G2660" s="3">
        <v>0</v>
      </c>
      <c r="H2660" s="3">
        <v>535</v>
      </c>
      <c r="I2660" t="s">
        <v>472</v>
      </c>
    </row>
    <row r="2661" spans="1:9" x14ac:dyDescent="0.35">
      <c r="A2661" s="2">
        <v>45519</v>
      </c>
      <c r="B2661">
        <v>89</v>
      </c>
      <c r="C2661">
        <v>2114010</v>
      </c>
      <c r="D2661" t="s">
        <v>48</v>
      </c>
      <c r="E2661" t="s">
        <v>981</v>
      </c>
      <c r="F2661" s="3">
        <v>480</v>
      </c>
      <c r="G2661" s="3">
        <v>0</v>
      </c>
      <c r="H2661" s="3">
        <v>480</v>
      </c>
      <c r="I2661" t="s">
        <v>472</v>
      </c>
    </row>
    <row r="2662" spans="1:9" x14ac:dyDescent="0.35">
      <c r="A2662" s="2">
        <v>45519</v>
      </c>
      <c r="B2662">
        <v>89</v>
      </c>
      <c r="C2662">
        <v>2114001</v>
      </c>
      <c r="D2662" t="s">
        <v>97</v>
      </c>
      <c r="E2662" t="s">
        <v>1768</v>
      </c>
      <c r="F2662" s="3">
        <v>1900</v>
      </c>
      <c r="G2662" s="3">
        <v>0</v>
      </c>
      <c r="H2662" s="3">
        <v>1900</v>
      </c>
      <c r="I2662" t="s">
        <v>472</v>
      </c>
    </row>
    <row r="2663" spans="1:9" x14ac:dyDescent="0.35">
      <c r="A2663" s="2">
        <v>45519</v>
      </c>
      <c r="B2663">
        <v>89</v>
      </c>
      <c r="C2663">
        <v>1111001</v>
      </c>
      <c r="D2663" t="s">
        <v>16</v>
      </c>
      <c r="E2663" t="s">
        <v>982</v>
      </c>
      <c r="F2663" s="3">
        <v>3100</v>
      </c>
      <c r="G2663" s="3">
        <v>0</v>
      </c>
      <c r="H2663" s="3">
        <v>3100</v>
      </c>
      <c r="I2663" t="s">
        <v>472</v>
      </c>
    </row>
    <row r="2664" spans="1:9" x14ac:dyDescent="0.35">
      <c r="A2664" s="2">
        <v>45519</v>
      </c>
      <c r="B2664">
        <v>89</v>
      </c>
      <c r="C2664">
        <v>1111001</v>
      </c>
      <c r="D2664" t="s">
        <v>16</v>
      </c>
      <c r="E2664" t="s">
        <v>983</v>
      </c>
      <c r="F2664" s="3">
        <v>1700</v>
      </c>
      <c r="G2664" s="3">
        <v>0</v>
      </c>
      <c r="H2664" s="3">
        <v>1700</v>
      </c>
      <c r="I2664" t="s">
        <v>472</v>
      </c>
    </row>
    <row r="2665" spans="1:9" x14ac:dyDescent="0.35">
      <c r="A2665" s="2">
        <v>45519</v>
      </c>
      <c r="B2665">
        <v>89</v>
      </c>
      <c r="C2665">
        <v>5132002</v>
      </c>
      <c r="D2665" t="s">
        <v>115</v>
      </c>
      <c r="E2665" t="s">
        <v>984</v>
      </c>
      <c r="F2665" s="3">
        <v>29000</v>
      </c>
      <c r="G2665" s="3">
        <v>0</v>
      </c>
      <c r="H2665" s="3">
        <v>29000</v>
      </c>
      <c r="I2665" t="s">
        <v>472</v>
      </c>
    </row>
    <row r="2666" spans="1:9" x14ac:dyDescent="0.35">
      <c r="A2666" s="2">
        <v>45519</v>
      </c>
      <c r="B2666">
        <v>89</v>
      </c>
      <c r="C2666">
        <v>1111001</v>
      </c>
      <c r="D2666" t="s">
        <v>16</v>
      </c>
      <c r="E2666" t="s">
        <v>985</v>
      </c>
      <c r="F2666" s="3">
        <v>2100</v>
      </c>
      <c r="G2666" s="3">
        <v>0</v>
      </c>
      <c r="H2666" s="3">
        <v>2100</v>
      </c>
      <c r="I2666" t="s">
        <v>472</v>
      </c>
    </row>
    <row r="2667" spans="1:9" x14ac:dyDescent="0.35">
      <c r="A2667" s="2">
        <v>45519</v>
      </c>
      <c r="B2667">
        <v>89</v>
      </c>
      <c r="C2667">
        <v>2161001</v>
      </c>
      <c r="D2667" t="s">
        <v>93</v>
      </c>
      <c r="E2667" t="s">
        <v>1801</v>
      </c>
      <c r="F2667" s="3">
        <v>794.25</v>
      </c>
      <c r="G2667" s="3">
        <v>0</v>
      </c>
      <c r="H2667" s="3">
        <v>794.25</v>
      </c>
      <c r="I2667" t="s">
        <v>472</v>
      </c>
    </row>
    <row r="2668" spans="1:9" x14ac:dyDescent="0.35">
      <c r="A2668" s="2">
        <v>45519</v>
      </c>
      <c r="B2668">
        <v>89</v>
      </c>
      <c r="C2668">
        <v>2161001</v>
      </c>
      <c r="D2668" t="s">
        <v>93</v>
      </c>
      <c r="E2668" t="s">
        <v>1801</v>
      </c>
      <c r="F2668" s="3">
        <v>794.25</v>
      </c>
      <c r="G2668" s="3">
        <v>0</v>
      </c>
      <c r="H2668" s="3">
        <v>794.25</v>
      </c>
      <c r="I2668" t="s">
        <v>472</v>
      </c>
    </row>
    <row r="2669" spans="1:9" x14ac:dyDescent="0.35">
      <c r="A2669" s="2">
        <v>45519</v>
      </c>
      <c r="B2669">
        <v>89</v>
      </c>
      <c r="C2669">
        <v>2161001</v>
      </c>
      <c r="D2669" t="s">
        <v>93</v>
      </c>
      <c r="E2669" t="s">
        <v>1801</v>
      </c>
      <c r="F2669" s="3">
        <v>794.25</v>
      </c>
      <c r="G2669" s="3">
        <v>0</v>
      </c>
      <c r="H2669" s="3">
        <v>794.25</v>
      </c>
      <c r="I2669" t="s">
        <v>472</v>
      </c>
    </row>
    <row r="2670" spans="1:9" x14ac:dyDescent="0.35">
      <c r="A2670" s="2">
        <v>45519</v>
      </c>
      <c r="B2670">
        <v>89</v>
      </c>
      <c r="C2670">
        <v>1112003</v>
      </c>
      <c r="D2670" t="s">
        <v>22</v>
      </c>
      <c r="E2670" t="s">
        <v>758</v>
      </c>
      <c r="F2670" s="3">
        <v>0</v>
      </c>
      <c r="G2670" s="3">
        <v>44114.239999999998</v>
      </c>
      <c r="H2670" s="3">
        <v>-44114.239999999998</v>
      </c>
      <c r="I2670" t="s">
        <v>472</v>
      </c>
    </row>
    <row r="2671" spans="1:9" x14ac:dyDescent="0.35">
      <c r="A2671" s="2">
        <v>45519</v>
      </c>
      <c r="B2671">
        <v>89</v>
      </c>
      <c r="C2671">
        <v>1112003</v>
      </c>
      <c r="D2671" t="s">
        <v>22</v>
      </c>
      <c r="E2671" t="s">
        <v>744</v>
      </c>
      <c r="F2671" s="3">
        <v>47190.35</v>
      </c>
      <c r="G2671" s="3">
        <v>0</v>
      </c>
      <c r="H2671" s="3">
        <v>47190.35</v>
      </c>
      <c r="I2671" t="s">
        <v>472</v>
      </c>
    </row>
    <row r="2672" spans="1:9" x14ac:dyDescent="0.35">
      <c r="A2672" s="2">
        <v>45519</v>
      </c>
      <c r="B2672">
        <v>89</v>
      </c>
      <c r="C2672">
        <v>1111001</v>
      </c>
      <c r="D2672" t="s">
        <v>16</v>
      </c>
      <c r="E2672" t="s">
        <v>111</v>
      </c>
      <c r="F2672" s="3">
        <v>0</v>
      </c>
      <c r="G2672" s="3">
        <v>12500</v>
      </c>
      <c r="H2672" s="3">
        <v>-12500</v>
      </c>
      <c r="I2672" t="s">
        <v>472</v>
      </c>
    </row>
    <row r="2673" spans="1:9" x14ac:dyDescent="0.35">
      <c r="A2673" s="2">
        <v>45519</v>
      </c>
      <c r="B2673">
        <v>89</v>
      </c>
      <c r="C2673">
        <v>1111001</v>
      </c>
      <c r="D2673" t="s">
        <v>16</v>
      </c>
      <c r="E2673" t="s">
        <v>138</v>
      </c>
      <c r="F2673" s="3">
        <v>0</v>
      </c>
      <c r="G2673" s="3">
        <v>4400</v>
      </c>
      <c r="H2673" s="3">
        <v>-4400</v>
      </c>
      <c r="I2673" t="s">
        <v>472</v>
      </c>
    </row>
    <row r="2674" spans="1:9" x14ac:dyDescent="0.35">
      <c r="A2674" s="2">
        <v>45519</v>
      </c>
      <c r="B2674">
        <v>89</v>
      </c>
      <c r="C2674">
        <v>1111001</v>
      </c>
      <c r="D2674" t="s">
        <v>16</v>
      </c>
      <c r="E2674" t="s">
        <v>139</v>
      </c>
      <c r="F2674" s="3">
        <v>0</v>
      </c>
      <c r="G2674" s="3">
        <v>16590.349999999999</v>
      </c>
      <c r="H2674" s="3">
        <v>-16590.349999999999</v>
      </c>
      <c r="I2674" t="s">
        <v>472</v>
      </c>
    </row>
    <row r="2675" spans="1:9" x14ac:dyDescent="0.35">
      <c r="A2675" s="2">
        <v>45519</v>
      </c>
      <c r="B2675">
        <v>89</v>
      </c>
      <c r="C2675">
        <v>1111001</v>
      </c>
      <c r="D2675" t="s">
        <v>16</v>
      </c>
      <c r="E2675" t="s">
        <v>305</v>
      </c>
      <c r="F2675" s="3">
        <v>0</v>
      </c>
      <c r="G2675" s="3">
        <v>1700</v>
      </c>
      <c r="H2675" s="3">
        <v>-1700</v>
      </c>
      <c r="I2675" t="s">
        <v>472</v>
      </c>
    </row>
    <row r="2676" spans="1:9" x14ac:dyDescent="0.35">
      <c r="A2676" s="2">
        <v>45519</v>
      </c>
      <c r="B2676">
        <v>89</v>
      </c>
      <c r="C2676">
        <v>1111001</v>
      </c>
      <c r="D2676" t="s">
        <v>16</v>
      </c>
      <c r="E2676" t="s">
        <v>615</v>
      </c>
      <c r="F2676" s="3">
        <v>0</v>
      </c>
      <c r="G2676" s="3">
        <v>5700</v>
      </c>
      <c r="H2676" s="3">
        <v>-5700</v>
      </c>
      <c r="I2676" t="s">
        <v>472</v>
      </c>
    </row>
    <row r="2677" spans="1:9" x14ac:dyDescent="0.35">
      <c r="A2677" s="2">
        <v>45519</v>
      </c>
      <c r="B2677">
        <v>89</v>
      </c>
      <c r="C2677">
        <v>1111001</v>
      </c>
      <c r="D2677" t="s">
        <v>16</v>
      </c>
      <c r="E2677" t="s">
        <v>299</v>
      </c>
      <c r="F2677" s="3">
        <v>0</v>
      </c>
      <c r="G2677" s="3">
        <v>900</v>
      </c>
      <c r="H2677" s="3">
        <v>-900</v>
      </c>
      <c r="I2677" t="s">
        <v>472</v>
      </c>
    </row>
    <row r="2678" spans="1:9" x14ac:dyDescent="0.35">
      <c r="A2678" s="2">
        <v>45519</v>
      </c>
      <c r="B2678">
        <v>89</v>
      </c>
      <c r="C2678">
        <v>1111001</v>
      </c>
      <c r="D2678" t="s">
        <v>16</v>
      </c>
      <c r="E2678" t="s">
        <v>986</v>
      </c>
      <c r="F2678" s="3">
        <v>0</v>
      </c>
      <c r="G2678" s="3">
        <v>5400</v>
      </c>
      <c r="H2678" s="3">
        <v>-5400</v>
      </c>
      <c r="I2678" t="s">
        <v>472</v>
      </c>
    </row>
    <row r="2679" spans="1:9" x14ac:dyDescent="0.35">
      <c r="A2679" s="2">
        <v>45519</v>
      </c>
      <c r="B2679">
        <v>89</v>
      </c>
      <c r="C2679">
        <v>6121040</v>
      </c>
      <c r="D2679" t="s">
        <v>98</v>
      </c>
      <c r="E2679" t="s">
        <v>99</v>
      </c>
      <c r="F2679" s="3">
        <v>95.6</v>
      </c>
      <c r="G2679" s="3">
        <v>0</v>
      </c>
      <c r="H2679" s="3">
        <v>95.6</v>
      </c>
      <c r="I2679" t="s">
        <v>480</v>
      </c>
    </row>
    <row r="2680" spans="1:9" x14ac:dyDescent="0.35">
      <c r="A2680" s="2">
        <v>45519</v>
      </c>
      <c r="B2680">
        <v>89</v>
      </c>
      <c r="C2680">
        <v>6121021</v>
      </c>
      <c r="D2680" t="s">
        <v>102</v>
      </c>
      <c r="E2680" t="s">
        <v>987</v>
      </c>
      <c r="F2680" s="3">
        <v>1151.95</v>
      </c>
      <c r="G2680" s="3">
        <v>0</v>
      </c>
      <c r="H2680" s="3">
        <v>1151.95</v>
      </c>
      <c r="I2680" t="s">
        <v>480</v>
      </c>
    </row>
    <row r="2681" spans="1:9" x14ac:dyDescent="0.35">
      <c r="A2681" s="2">
        <v>45519</v>
      </c>
      <c r="B2681">
        <v>89</v>
      </c>
      <c r="C2681">
        <v>6121019</v>
      </c>
      <c r="D2681" t="s">
        <v>100</v>
      </c>
      <c r="E2681" t="s">
        <v>483</v>
      </c>
      <c r="F2681" s="3">
        <v>477.48</v>
      </c>
      <c r="G2681" s="3">
        <v>0</v>
      </c>
      <c r="H2681" s="3">
        <v>477.48</v>
      </c>
      <c r="I2681" t="s">
        <v>480</v>
      </c>
    </row>
    <row r="2682" spans="1:9" x14ac:dyDescent="0.35">
      <c r="A2682" s="2">
        <v>45519</v>
      </c>
      <c r="B2682">
        <v>89</v>
      </c>
      <c r="C2682">
        <v>2114001</v>
      </c>
      <c r="D2682" t="s">
        <v>97</v>
      </c>
      <c r="E2682" t="s">
        <v>1768</v>
      </c>
      <c r="F2682" s="3">
        <v>5870</v>
      </c>
      <c r="G2682" s="3">
        <v>0</v>
      </c>
      <c r="H2682" s="3">
        <v>5870</v>
      </c>
      <c r="I2682" t="s">
        <v>480</v>
      </c>
    </row>
    <row r="2683" spans="1:9" x14ac:dyDescent="0.35">
      <c r="A2683" s="2">
        <v>45519</v>
      </c>
      <c r="B2683">
        <v>89</v>
      </c>
      <c r="C2683">
        <v>1111001</v>
      </c>
      <c r="D2683" t="s">
        <v>16</v>
      </c>
      <c r="E2683" t="s">
        <v>132</v>
      </c>
      <c r="F2683" s="3">
        <v>15900</v>
      </c>
      <c r="G2683" s="3">
        <v>0</v>
      </c>
      <c r="H2683" s="3">
        <v>15900</v>
      </c>
      <c r="I2683" t="s">
        <v>480</v>
      </c>
    </row>
    <row r="2684" spans="1:9" x14ac:dyDescent="0.35">
      <c r="A2684" s="2">
        <v>45519</v>
      </c>
      <c r="B2684">
        <v>89</v>
      </c>
      <c r="C2684">
        <v>1111001</v>
      </c>
      <c r="D2684" t="s">
        <v>16</v>
      </c>
      <c r="E2684" t="s">
        <v>213</v>
      </c>
      <c r="F2684" s="3">
        <v>1130</v>
      </c>
      <c r="G2684" s="3">
        <v>0</v>
      </c>
      <c r="H2684" s="3">
        <v>1130</v>
      </c>
      <c r="I2684" t="s">
        <v>480</v>
      </c>
    </row>
    <row r="2685" spans="1:9" x14ac:dyDescent="0.35">
      <c r="A2685" s="2">
        <v>45519</v>
      </c>
      <c r="B2685">
        <v>89</v>
      </c>
      <c r="C2685">
        <v>1112001</v>
      </c>
      <c r="D2685" t="s">
        <v>20</v>
      </c>
      <c r="E2685" t="s">
        <v>758</v>
      </c>
      <c r="F2685" s="3">
        <v>0</v>
      </c>
      <c r="G2685" s="3">
        <v>24625.03</v>
      </c>
      <c r="H2685" s="3">
        <v>-24625.03</v>
      </c>
      <c r="I2685" t="s">
        <v>480</v>
      </c>
    </row>
    <row r="2686" spans="1:9" x14ac:dyDescent="0.35">
      <c r="A2686" s="2">
        <v>45519</v>
      </c>
      <c r="B2686">
        <v>89</v>
      </c>
      <c r="C2686">
        <v>1112001</v>
      </c>
      <c r="D2686" t="s">
        <v>20</v>
      </c>
      <c r="E2686" t="s">
        <v>744</v>
      </c>
      <c r="F2686" s="3">
        <v>24413.919999999998</v>
      </c>
      <c r="G2686" s="3">
        <v>0</v>
      </c>
      <c r="H2686" s="3">
        <v>24413.919999999998</v>
      </c>
      <c r="I2686" t="s">
        <v>480</v>
      </c>
    </row>
    <row r="2687" spans="1:9" x14ac:dyDescent="0.35">
      <c r="A2687" s="2">
        <v>45519</v>
      </c>
      <c r="B2687">
        <v>89</v>
      </c>
      <c r="C2687">
        <v>1111001</v>
      </c>
      <c r="D2687" t="s">
        <v>16</v>
      </c>
      <c r="E2687" t="s">
        <v>988</v>
      </c>
      <c r="F2687" s="3">
        <v>0</v>
      </c>
      <c r="G2687" s="3">
        <v>733</v>
      </c>
      <c r="H2687" s="3">
        <v>-733</v>
      </c>
      <c r="I2687" t="s">
        <v>480</v>
      </c>
    </row>
    <row r="2688" spans="1:9" x14ac:dyDescent="0.35">
      <c r="A2688" s="2">
        <v>45519</v>
      </c>
      <c r="B2688">
        <v>89</v>
      </c>
      <c r="C2688">
        <v>1111001</v>
      </c>
      <c r="D2688" t="s">
        <v>16</v>
      </c>
      <c r="E2688" t="s">
        <v>989</v>
      </c>
      <c r="F2688" s="3">
        <v>0</v>
      </c>
      <c r="G2688" s="3">
        <v>14664</v>
      </c>
      <c r="H2688" s="3">
        <v>-14664</v>
      </c>
      <c r="I2688" t="s">
        <v>480</v>
      </c>
    </row>
    <row r="2689" spans="1:9" x14ac:dyDescent="0.35">
      <c r="A2689" s="2">
        <v>45519</v>
      </c>
      <c r="B2689">
        <v>89</v>
      </c>
      <c r="C2689">
        <v>1111001</v>
      </c>
      <c r="D2689" t="s">
        <v>16</v>
      </c>
      <c r="E2689" t="s">
        <v>112</v>
      </c>
      <c r="F2689" s="3">
        <v>0</v>
      </c>
      <c r="G2689" s="3">
        <v>7011.54</v>
      </c>
      <c r="H2689" s="3">
        <v>-7011.54</v>
      </c>
      <c r="I2689" t="s">
        <v>480</v>
      </c>
    </row>
    <row r="2690" spans="1:9" x14ac:dyDescent="0.35">
      <c r="A2690" s="2">
        <v>45519</v>
      </c>
      <c r="B2690">
        <v>89</v>
      </c>
      <c r="C2690">
        <v>1111001</v>
      </c>
      <c r="D2690" t="s">
        <v>16</v>
      </c>
      <c r="E2690" t="s">
        <v>111</v>
      </c>
      <c r="F2690" s="3">
        <v>0</v>
      </c>
      <c r="G2690" s="3">
        <v>1200</v>
      </c>
      <c r="H2690" s="3">
        <v>-1200</v>
      </c>
      <c r="I2690" t="s">
        <v>480</v>
      </c>
    </row>
    <row r="2691" spans="1:9" x14ac:dyDescent="0.35">
      <c r="A2691" s="2">
        <v>45519</v>
      </c>
      <c r="B2691">
        <v>89</v>
      </c>
      <c r="C2691">
        <v>1111001</v>
      </c>
      <c r="D2691" t="s">
        <v>16</v>
      </c>
      <c r="E2691" t="s">
        <v>990</v>
      </c>
      <c r="F2691" s="3">
        <v>0</v>
      </c>
      <c r="G2691" s="3">
        <v>805.38</v>
      </c>
      <c r="H2691" s="3">
        <v>-805.38</v>
      </c>
      <c r="I2691" t="s">
        <v>480</v>
      </c>
    </row>
    <row r="2692" spans="1:9" x14ac:dyDescent="0.35">
      <c r="A2692" s="2">
        <v>45519</v>
      </c>
      <c r="B2692">
        <v>89</v>
      </c>
      <c r="C2692">
        <v>6121040</v>
      </c>
      <c r="D2692" t="s">
        <v>98</v>
      </c>
      <c r="E2692" t="s">
        <v>99</v>
      </c>
      <c r="F2692" s="3">
        <v>2107.44</v>
      </c>
      <c r="G2692" s="3">
        <v>0</v>
      </c>
      <c r="H2692" s="3">
        <v>2107.44</v>
      </c>
      <c r="I2692" t="s">
        <v>507</v>
      </c>
    </row>
    <row r="2693" spans="1:9" x14ac:dyDescent="0.35">
      <c r="A2693" s="2">
        <v>45519</v>
      </c>
      <c r="B2693">
        <v>89</v>
      </c>
      <c r="C2693">
        <v>1111001</v>
      </c>
      <c r="D2693" t="s">
        <v>16</v>
      </c>
      <c r="E2693" t="s">
        <v>359</v>
      </c>
      <c r="F2693" s="3">
        <v>1200</v>
      </c>
      <c r="G2693" s="3">
        <v>0</v>
      </c>
      <c r="H2693" s="3">
        <v>1200</v>
      </c>
      <c r="I2693" t="s">
        <v>507</v>
      </c>
    </row>
    <row r="2694" spans="1:9" x14ac:dyDescent="0.35">
      <c r="A2694" s="2">
        <v>45519</v>
      </c>
      <c r="B2694">
        <v>89</v>
      </c>
      <c r="C2694">
        <v>2114001</v>
      </c>
      <c r="D2694" t="s">
        <v>97</v>
      </c>
      <c r="E2694" t="s">
        <v>1768</v>
      </c>
      <c r="F2694" s="3">
        <v>13830</v>
      </c>
      <c r="G2694" s="3">
        <v>0</v>
      </c>
      <c r="H2694" s="3">
        <v>13830</v>
      </c>
      <c r="I2694" t="s">
        <v>507</v>
      </c>
    </row>
    <row r="2695" spans="1:9" x14ac:dyDescent="0.35">
      <c r="A2695" s="2">
        <v>45519</v>
      </c>
      <c r="B2695">
        <v>89</v>
      </c>
      <c r="C2695">
        <v>2114001</v>
      </c>
      <c r="D2695" t="s">
        <v>97</v>
      </c>
      <c r="E2695" t="s">
        <v>991</v>
      </c>
      <c r="F2695" s="3">
        <v>1500</v>
      </c>
      <c r="G2695" s="3">
        <v>0</v>
      </c>
      <c r="H2695" s="3">
        <v>1500</v>
      </c>
      <c r="I2695" t="s">
        <v>507</v>
      </c>
    </row>
    <row r="2696" spans="1:9" x14ac:dyDescent="0.35">
      <c r="A2696" s="2">
        <v>45519</v>
      </c>
      <c r="B2696">
        <v>89</v>
      </c>
      <c r="C2696">
        <v>1111001</v>
      </c>
      <c r="D2696" t="s">
        <v>16</v>
      </c>
      <c r="E2696" t="s">
        <v>132</v>
      </c>
      <c r="F2696" s="3">
        <v>3300</v>
      </c>
      <c r="G2696" s="3">
        <v>0</v>
      </c>
      <c r="H2696" s="3">
        <v>3300</v>
      </c>
      <c r="I2696" t="s">
        <v>507</v>
      </c>
    </row>
    <row r="2697" spans="1:9" x14ac:dyDescent="0.35">
      <c r="A2697" s="2">
        <v>45519</v>
      </c>
      <c r="B2697">
        <v>89</v>
      </c>
      <c r="C2697">
        <v>1111001</v>
      </c>
      <c r="D2697" t="s">
        <v>16</v>
      </c>
      <c r="E2697" t="s">
        <v>213</v>
      </c>
      <c r="F2697" s="3">
        <v>35700</v>
      </c>
      <c r="G2697" s="3">
        <v>0</v>
      </c>
      <c r="H2697" s="3">
        <v>35700</v>
      </c>
      <c r="I2697" t="s">
        <v>507</v>
      </c>
    </row>
    <row r="2698" spans="1:9" x14ac:dyDescent="0.35">
      <c r="A2698" s="2">
        <v>45519</v>
      </c>
      <c r="B2698">
        <v>89</v>
      </c>
      <c r="C2698">
        <v>2114010</v>
      </c>
      <c r="D2698" t="s">
        <v>48</v>
      </c>
      <c r="E2698" t="s">
        <v>105</v>
      </c>
      <c r="F2698" s="3">
        <v>6762.48</v>
      </c>
      <c r="G2698" s="3">
        <v>0</v>
      </c>
      <c r="H2698" s="3">
        <v>6762.48</v>
      </c>
      <c r="I2698" t="s">
        <v>507</v>
      </c>
    </row>
    <row r="2699" spans="1:9" x14ac:dyDescent="0.35">
      <c r="A2699" s="2">
        <v>45519</v>
      </c>
      <c r="B2699">
        <v>89</v>
      </c>
      <c r="C2699">
        <v>6121025</v>
      </c>
      <c r="D2699" t="s">
        <v>134</v>
      </c>
      <c r="E2699" t="s">
        <v>559</v>
      </c>
      <c r="F2699" s="3">
        <v>3651.26</v>
      </c>
      <c r="G2699" s="3">
        <v>0</v>
      </c>
      <c r="H2699" s="3">
        <v>3651.26</v>
      </c>
      <c r="I2699" t="s">
        <v>507</v>
      </c>
    </row>
    <row r="2700" spans="1:9" x14ac:dyDescent="0.35">
      <c r="A2700" s="2">
        <v>45519</v>
      </c>
      <c r="B2700">
        <v>89</v>
      </c>
      <c r="C2700">
        <v>1111001</v>
      </c>
      <c r="D2700" t="s">
        <v>16</v>
      </c>
      <c r="E2700" t="s">
        <v>358</v>
      </c>
      <c r="F2700" s="3">
        <v>5700</v>
      </c>
      <c r="G2700" s="3">
        <v>0</v>
      </c>
      <c r="H2700" s="3">
        <v>5700</v>
      </c>
      <c r="I2700" t="s">
        <v>507</v>
      </c>
    </row>
    <row r="2701" spans="1:9" x14ac:dyDescent="0.35">
      <c r="A2701" s="2">
        <v>45519</v>
      </c>
      <c r="B2701">
        <v>89</v>
      </c>
      <c r="C2701">
        <v>1111001</v>
      </c>
      <c r="D2701" t="s">
        <v>16</v>
      </c>
      <c r="E2701" t="s">
        <v>938</v>
      </c>
      <c r="F2701" s="3">
        <v>1700</v>
      </c>
      <c r="G2701" s="3">
        <v>0</v>
      </c>
      <c r="H2701" s="3">
        <v>1700</v>
      </c>
      <c r="I2701" t="s">
        <v>507</v>
      </c>
    </row>
    <row r="2702" spans="1:9" x14ac:dyDescent="0.35">
      <c r="A2702" s="2">
        <v>45519</v>
      </c>
      <c r="B2702">
        <v>89</v>
      </c>
      <c r="C2702">
        <v>1112002</v>
      </c>
      <c r="D2702" t="s">
        <v>21</v>
      </c>
      <c r="E2702" t="s">
        <v>758</v>
      </c>
      <c r="F2702" s="3">
        <v>0</v>
      </c>
      <c r="G2702" s="3">
        <v>75451.179999999993</v>
      </c>
      <c r="H2702" s="3">
        <v>-75451.179999999993</v>
      </c>
      <c r="I2702" t="s">
        <v>507</v>
      </c>
    </row>
    <row r="2703" spans="1:9" x14ac:dyDescent="0.35">
      <c r="A2703" s="2">
        <v>45519</v>
      </c>
      <c r="B2703">
        <v>89</v>
      </c>
      <c r="C2703">
        <v>1112002</v>
      </c>
      <c r="D2703" t="s">
        <v>21</v>
      </c>
      <c r="E2703" t="s">
        <v>744</v>
      </c>
      <c r="F2703" s="3">
        <v>75445.850000000006</v>
      </c>
      <c r="G2703" s="3">
        <v>0</v>
      </c>
      <c r="H2703" s="3">
        <v>75445.850000000006</v>
      </c>
      <c r="I2703" t="s">
        <v>507</v>
      </c>
    </row>
    <row r="2704" spans="1:9" x14ac:dyDescent="0.35">
      <c r="A2704" s="2">
        <v>45519</v>
      </c>
      <c r="B2704">
        <v>89</v>
      </c>
      <c r="C2704">
        <v>1111001</v>
      </c>
      <c r="D2704" t="s">
        <v>16</v>
      </c>
      <c r="E2704" t="s">
        <v>992</v>
      </c>
      <c r="F2704" s="3">
        <v>0</v>
      </c>
      <c r="G2704" s="3">
        <v>1832</v>
      </c>
      <c r="H2704" s="3">
        <v>-1832</v>
      </c>
      <c r="I2704" t="s">
        <v>507</v>
      </c>
    </row>
    <row r="2705" spans="1:9" x14ac:dyDescent="0.35">
      <c r="A2705" s="2">
        <v>45519</v>
      </c>
      <c r="B2705">
        <v>89</v>
      </c>
      <c r="C2705">
        <v>1111001</v>
      </c>
      <c r="D2705" t="s">
        <v>16</v>
      </c>
      <c r="E2705" t="s">
        <v>431</v>
      </c>
      <c r="F2705" s="3">
        <v>0</v>
      </c>
      <c r="G2705" s="3">
        <v>2100</v>
      </c>
      <c r="H2705" s="3">
        <v>-2100</v>
      </c>
      <c r="I2705" t="s">
        <v>507</v>
      </c>
    </row>
    <row r="2706" spans="1:9" x14ac:dyDescent="0.35">
      <c r="A2706" s="2">
        <v>45519</v>
      </c>
      <c r="B2706">
        <v>89</v>
      </c>
      <c r="C2706">
        <v>1111001</v>
      </c>
      <c r="D2706" t="s">
        <v>16</v>
      </c>
      <c r="E2706" t="s">
        <v>137</v>
      </c>
      <c r="F2706" s="3">
        <v>0</v>
      </c>
      <c r="G2706" s="3">
        <v>61789.919999999998</v>
      </c>
      <c r="H2706" s="3">
        <v>-61789.919999999998</v>
      </c>
      <c r="I2706" t="s">
        <v>507</v>
      </c>
    </row>
    <row r="2707" spans="1:9" x14ac:dyDescent="0.35">
      <c r="A2707" s="2">
        <v>45519</v>
      </c>
      <c r="B2707">
        <v>89</v>
      </c>
      <c r="C2707">
        <v>1111001</v>
      </c>
      <c r="D2707" t="s">
        <v>16</v>
      </c>
      <c r="E2707" t="s">
        <v>305</v>
      </c>
      <c r="F2707" s="3">
        <v>0</v>
      </c>
      <c r="G2707" s="3">
        <v>1600</v>
      </c>
      <c r="H2707" s="3">
        <v>-1600</v>
      </c>
      <c r="I2707" t="s">
        <v>507</v>
      </c>
    </row>
    <row r="2708" spans="1:9" x14ac:dyDescent="0.35">
      <c r="A2708" s="2">
        <v>45519</v>
      </c>
      <c r="B2708">
        <v>89</v>
      </c>
      <c r="C2708">
        <v>1111001</v>
      </c>
      <c r="D2708" t="s">
        <v>16</v>
      </c>
      <c r="E2708" t="s">
        <v>945</v>
      </c>
      <c r="F2708" s="3">
        <v>0</v>
      </c>
      <c r="G2708" s="3">
        <v>917</v>
      </c>
      <c r="H2708" s="3">
        <v>-917</v>
      </c>
      <c r="I2708" t="s">
        <v>507</v>
      </c>
    </row>
    <row r="2709" spans="1:9" x14ac:dyDescent="0.35">
      <c r="A2709" s="2">
        <v>45519</v>
      </c>
      <c r="B2709">
        <v>89</v>
      </c>
      <c r="C2709">
        <v>1111001</v>
      </c>
      <c r="D2709" t="s">
        <v>16</v>
      </c>
      <c r="E2709" t="s">
        <v>138</v>
      </c>
      <c r="F2709" s="3">
        <v>0</v>
      </c>
      <c r="G2709" s="3">
        <v>7100</v>
      </c>
      <c r="H2709" s="3">
        <v>-7100</v>
      </c>
      <c r="I2709" t="s">
        <v>507</v>
      </c>
    </row>
    <row r="2710" spans="1:9" x14ac:dyDescent="0.35">
      <c r="A2710" s="2">
        <v>45519</v>
      </c>
      <c r="B2710">
        <v>89</v>
      </c>
      <c r="C2710">
        <v>4141003</v>
      </c>
      <c r="D2710" t="s">
        <v>141</v>
      </c>
      <c r="E2710" t="s">
        <v>142</v>
      </c>
      <c r="F2710" s="3">
        <v>0</v>
      </c>
      <c r="G2710" s="3">
        <v>106.93</v>
      </c>
      <c r="H2710" s="3">
        <v>-106.93</v>
      </c>
      <c r="I2710" t="s">
        <v>507</v>
      </c>
    </row>
    <row r="2711" spans="1:9" x14ac:dyDescent="0.35">
      <c r="A2711" s="2">
        <v>45519</v>
      </c>
      <c r="B2711">
        <v>89</v>
      </c>
      <c r="C2711">
        <v>5131016</v>
      </c>
      <c r="D2711" t="s">
        <v>238</v>
      </c>
      <c r="E2711" t="s">
        <v>993</v>
      </c>
      <c r="F2711" s="3">
        <v>1098</v>
      </c>
      <c r="G2711" s="3">
        <v>0</v>
      </c>
      <c r="H2711" s="3">
        <v>1098</v>
      </c>
      <c r="I2711" t="s">
        <v>144</v>
      </c>
    </row>
    <row r="2712" spans="1:9" x14ac:dyDescent="0.35">
      <c r="A2712" s="2">
        <v>45519</v>
      </c>
      <c r="B2712">
        <v>89</v>
      </c>
      <c r="C2712">
        <v>5132022</v>
      </c>
      <c r="D2712" t="s">
        <v>695</v>
      </c>
      <c r="E2712" t="s">
        <v>994</v>
      </c>
      <c r="F2712" s="3">
        <v>1171.2</v>
      </c>
      <c r="G2712" s="3">
        <v>0</v>
      </c>
      <c r="H2712" s="3">
        <v>1171.2</v>
      </c>
      <c r="I2712" t="s">
        <v>144</v>
      </c>
    </row>
    <row r="2713" spans="1:9" x14ac:dyDescent="0.35">
      <c r="A2713" s="2">
        <v>45519</v>
      </c>
      <c r="B2713">
        <v>89</v>
      </c>
      <c r="C2713">
        <v>2114001</v>
      </c>
      <c r="D2713" t="s">
        <v>97</v>
      </c>
      <c r="E2713" t="s">
        <v>993</v>
      </c>
      <c r="F2713" s="3">
        <v>0</v>
      </c>
      <c r="G2713" s="3">
        <v>1098</v>
      </c>
      <c r="H2713" s="3">
        <v>-1098</v>
      </c>
      <c r="I2713" t="s">
        <v>144</v>
      </c>
    </row>
    <row r="2714" spans="1:9" x14ac:dyDescent="0.35">
      <c r="A2714" s="2">
        <v>45519</v>
      </c>
      <c r="B2714">
        <v>89</v>
      </c>
      <c r="C2714">
        <v>2114001</v>
      </c>
      <c r="D2714" t="s">
        <v>97</v>
      </c>
      <c r="E2714" t="s">
        <v>994</v>
      </c>
      <c r="F2714" s="3">
        <v>0</v>
      </c>
      <c r="G2714" s="3">
        <v>1171.2</v>
      </c>
      <c r="H2714" s="3">
        <v>-1171.2</v>
      </c>
      <c r="I2714" t="s">
        <v>144</v>
      </c>
    </row>
    <row r="2715" spans="1:9" x14ac:dyDescent="0.35">
      <c r="A2715" s="2">
        <v>45519</v>
      </c>
      <c r="B2715">
        <v>89</v>
      </c>
      <c r="C2715">
        <v>2114010</v>
      </c>
      <c r="D2715" t="s">
        <v>48</v>
      </c>
      <c r="E2715" t="s">
        <v>995</v>
      </c>
      <c r="F2715" s="3">
        <v>8476.9599999999991</v>
      </c>
      <c r="G2715" s="3">
        <v>0</v>
      </c>
      <c r="H2715" s="3">
        <v>8476.9599999999991</v>
      </c>
      <c r="I2715" t="s">
        <v>144</v>
      </c>
    </row>
    <row r="2716" spans="1:9" x14ac:dyDescent="0.35">
      <c r="A2716" s="2">
        <v>45519</v>
      </c>
      <c r="B2716">
        <v>89</v>
      </c>
      <c r="C2716">
        <v>2114001</v>
      </c>
      <c r="D2716" t="s">
        <v>97</v>
      </c>
      <c r="E2716" t="s">
        <v>995</v>
      </c>
      <c r="F2716" s="3">
        <v>0</v>
      </c>
      <c r="G2716" s="3">
        <v>8476.9599999999991</v>
      </c>
      <c r="H2716" s="3">
        <v>-8476.9599999999991</v>
      </c>
      <c r="I2716" t="s">
        <v>996</v>
      </c>
    </row>
    <row r="2717" spans="1:9" x14ac:dyDescent="0.35">
      <c r="A2717" s="2">
        <v>45535</v>
      </c>
      <c r="B2717">
        <v>90</v>
      </c>
      <c r="C2717">
        <v>6121023</v>
      </c>
      <c r="D2717" t="s">
        <v>49</v>
      </c>
      <c r="E2717" t="s">
        <v>951</v>
      </c>
      <c r="F2717" s="3">
        <v>583.16</v>
      </c>
      <c r="G2717" s="3">
        <v>0</v>
      </c>
      <c r="H2717" s="3">
        <v>583.16</v>
      </c>
      <c r="I2717" t="s">
        <v>997</v>
      </c>
    </row>
    <row r="2718" spans="1:9" x14ac:dyDescent="0.35">
      <c r="A2718" s="2">
        <v>45535</v>
      </c>
      <c r="B2718">
        <v>90</v>
      </c>
      <c r="C2718">
        <v>2114010</v>
      </c>
      <c r="D2718" t="s">
        <v>48</v>
      </c>
      <c r="E2718" t="s">
        <v>951</v>
      </c>
      <c r="F2718" s="3">
        <v>0</v>
      </c>
      <c r="G2718" s="3">
        <v>583.16</v>
      </c>
      <c r="H2718" s="3">
        <v>-583.16</v>
      </c>
      <c r="I2718" t="s">
        <v>997</v>
      </c>
    </row>
    <row r="2719" spans="1:9" x14ac:dyDescent="0.35">
      <c r="A2719" s="2">
        <v>45535</v>
      </c>
      <c r="B2719">
        <v>90</v>
      </c>
      <c r="C2719">
        <v>6121023</v>
      </c>
      <c r="D2719" t="s">
        <v>49</v>
      </c>
      <c r="E2719" t="s">
        <v>52</v>
      </c>
      <c r="F2719" s="3">
        <v>192.29</v>
      </c>
      <c r="G2719" s="3">
        <v>0</v>
      </c>
      <c r="H2719" s="3">
        <v>192.29</v>
      </c>
      <c r="I2719" t="s">
        <v>998</v>
      </c>
    </row>
    <row r="2720" spans="1:9" x14ac:dyDescent="0.35">
      <c r="A2720" s="2">
        <v>45535</v>
      </c>
      <c r="B2720">
        <v>90</v>
      </c>
      <c r="C2720">
        <v>2114010</v>
      </c>
      <c r="D2720" t="s">
        <v>48</v>
      </c>
      <c r="E2720" t="s">
        <v>52</v>
      </c>
      <c r="F2720" s="3">
        <v>0</v>
      </c>
      <c r="G2720" s="3">
        <v>192.29</v>
      </c>
      <c r="H2720" s="3">
        <v>-192.29</v>
      </c>
      <c r="I2720" t="s">
        <v>998</v>
      </c>
    </row>
    <row r="2721" spans="1:9" x14ac:dyDescent="0.35">
      <c r="A2721" s="2">
        <v>45535</v>
      </c>
      <c r="B2721">
        <v>90</v>
      </c>
      <c r="C2721">
        <v>5132009</v>
      </c>
      <c r="D2721" t="s">
        <v>655</v>
      </c>
      <c r="E2721" t="s">
        <v>656</v>
      </c>
      <c r="F2721" s="3">
        <v>1206.01</v>
      </c>
      <c r="G2721" s="3">
        <v>0</v>
      </c>
      <c r="H2721" s="3">
        <v>1206.01</v>
      </c>
      <c r="I2721" t="s">
        <v>999</v>
      </c>
    </row>
    <row r="2722" spans="1:9" x14ac:dyDescent="0.35">
      <c r="A2722" s="2">
        <v>45535</v>
      </c>
      <c r="B2722">
        <v>90</v>
      </c>
      <c r="C2722">
        <v>2114010</v>
      </c>
      <c r="D2722" t="s">
        <v>48</v>
      </c>
      <c r="E2722" t="s">
        <v>656</v>
      </c>
      <c r="F2722" s="3">
        <v>0</v>
      </c>
      <c r="G2722" s="3">
        <v>1206.01</v>
      </c>
      <c r="H2722" s="3">
        <v>-1206.01</v>
      </c>
      <c r="I2722" t="s">
        <v>999</v>
      </c>
    </row>
    <row r="2723" spans="1:9" x14ac:dyDescent="0.35">
      <c r="A2723" s="2">
        <v>45535</v>
      </c>
      <c r="B2723">
        <v>90</v>
      </c>
      <c r="C2723">
        <v>6121023</v>
      </c>
      <c r="D2723" t="s">
        <v>49</v>
      </c>
      <c r="E2723" t="s">
        <v>52</v>
      </c>
      <c r="F2723" s="3">
        <v>145.87</v>
      </c>
      <c r="G2723" s="3">
        <v>0</v>
      </c>
      <c r="H2723" s="3">
        <v>145.87</v>
      </c>
      <c r="I2723" t="s">
        <v>1000</v>
      </c>
    </row>
    <row r="2724" spans="1:9" x14ac:dyDescent="0.35">
      <c r="A2724" s="2">
        <v>45535</v>
      </c>
      <c r="B2724">
        <v>90</v>
      </c>
      <c r="C2724">
        <v>2114010</v>
      </c>
      <c r="D2724" t="s">
        <v>48</v>
      </c>
      <c r="E2724" t="s">
        <v>52</v>
      </c>
      <c r="F2724" s="3">
        <v>0</v>
      </c>
      <c r="G2724" s="3">
        <v>145.87</v>
      </c>
      <c r="H2724" s="3">
        <v>-145.87</v>
      </c>
      <c r="I2724" t="s">
        <v>1000</v>
      </c>
    </row>
    <row r="2725" spans="1:9" x14ac:dyDescent="0.35">
      <c r="A2725" s="2">
        <v>45535</v>
      </c>
      <c r="B2725">
        <v>90</v>
      </c>
      <c r="C2725">
        <v>6121023</v>
      </c>
      <c r="D2725" t="s">
        <v>49</v>
      </c>
      <c r="E2725" t="s">
        <v>951</v>
      </c>
      <c r="F2725" s="3">
        <v>429.85</v>
      </c>
      <c r="G2725" s="3">
        <v>0</v>
      </c>
      <c r="H2725" s="3">
        <v>429.85</v>
      </c>
      <c r="I2725" t="s">
        <v>1001</v>
      </c>
    </row>
    <row r="2726" spans="1:9" x14ac:dyDescent="0.35">
      <c r="A2726" s="2">
        <v>45535</v>
      </c>
      <c r="B2726">
        <v>90</v>
      </c>
      <c r="C2726">
        <v>2114010</v>
      </c>
      <c r="D2726" t="s">
        <v>48</v>
      </c>
      <c r="E2726" t="s">
        <v>951</v>
      </c>
      <c r="F2726" s="3">
        <v>0</v>
      </c>
      <c r="G2726" s="3">
        <v>429.85</v>
      </c>
      <c r="H2726" s="3">
        <v>-429.85</v>
      </c>
      <c r="I2726" t="s">
        <v>1001</v>
      </c>
    </row>
    <row r="2727" spans="1:9" x14ac:dyDescent="0.35">
      <c r="A2727" s="2">
        <v>45535</v>
      </c>
      <c r="B2727">
        <v>90</v>
      </c>
      <c r="C2727">
        <v>6121023</v>
      </c>
      <c r="D2727" t="s">
        <v>49</v>
      </c>
      <c r="E2727" t="s">
        <v>52</v>
      </c>
      <c r="F2727" s="3">
        <v>485.27</v>
      </c>
      <c r="G2727" s="3">
        <v>0</v>
      </c>
      <c r="H2727" s="3">
        <v>485.27</v>
      </c>
      <c r="I2727" t="s">
        <v>1002</v>
      </c>
    </row>
    <row r="2728" spans="1:9" x14ac:dyDescent="0.35">
      <c r="A2728" s="2">
        <v>45535</v>
      </c>
      <c r="B2728">
        <v>90</v>
      </c>
      <c r="C2728">
        <v>2114010</v>
      </c>
      <c r="D2728" t="s">
        <v>48</v>
      </c>
      <c r="E2728" t="s">
        <v>52</v>
      </c>
      <c r="F2728" s="3">
        <v>0</v>
      </c>
      <c r="G2728" s="3">
        <v>485.27</v>
      </c>
      <c r="H2728" s="3">
        <v>-485.27</v>
      </c>
      <c r="I2728" t="s">
        <v>1002</v>
      </c>
    </row>
    <row r="2729" spans="1:9" x14ac:dyDescent="0.35">
      <c r="A2729" s="2">
        <v>45535</v>
      </c>
      <c r="B2729">
        <v>90</v>
      </c>
      <c r="C2729">
        <v>6121023</v>
      </c>
      <c r="D2729" t="s">
        <v>49</v>
      </c>
      <c r="E2729" t="s">
        <v>166</v>
      </c>
      <c r="F2729" s="3">
        <v>137.47</v>
      </c>
      <c r="G2729" s="3">
        <v>0</v>
      </c>
      <c r="H2729" s="3">
        <v>137.47</v>
      </c>
      <c r="I2729" t="s">
        <v>1003</v>
      </c>
    </row>
    <row r="2730" spans="1:9" x14ac:dyDescent="0.35">
      <c r="A2730" s="2">
        <v>45535</v>
      </c>
      <c r="B2730">
        <v>90</v>
      </c>
      <c r="C2730">
        <v>2114010</v>
      </c>
      <c r="D2730" t="s">
        <v>48</v>
      </c>
      <c r="E2730" t="s">
        <v>166</v>
      </c>
      <c r="F2730" s="3">
        <v>0</v>
      </c>
      <c r="G2730" s="3">
        <v>137.47</v>
      </c>
      <c r="H2730" s="3">
        <v>-137.47</v>
      </c>
      <c r="I2730" t="s">
        <v>1003</v>
      </c>
    </row>
    <row r="2731" spans="1:9" x14ac:dyDescent="0.35">
      <c r="A2731" s="2">
        <v>45535</v>
      </c>
      <c r="B2731">
        <v>90</v>
      </c>
      <c r="C2731">
        <v>6121023</v>
      </c>
      <c r="D2731" t="s">
        <v>49</v>
      </c>
      <c r="E2731" t="s">
        <v>166</v>
      </c>
      <c r="F2731" s="3">
        <v>388.45</v>
      </c>
      <c r="G2731" s="3">
        <v>0</v>
      </c>
      <c r="H2731" s="3">
        <v>388.45</v>
      </c>
      <c r="I2731" t="s">
        <v>1004</v>
      </c>
    </row>
    <row r="2732" spans="1:9" x14ac:dyDescent="0.35">
      <c r="A2732" s="2">
        <v>45535</v>
      </c>
      <c r="B2732">
        <v>90</v>
      </c>
      <c r="C2732">
        <v>2114010</v>
      </c>
      <c r="D2732" t="s">
        <v>48</v>
      </c>
      <c r="E2732" t="s">
        <v>166</v>
      </c>
      <c r="F2732" s="3">
        <v>0</v>
      </c>
      <c r="G2732" s="3">
        <v>388.45</v>
      </c>
      <c r="H2732" s="3">
        <v>-388.45</v>
      </c>
      <c r="I2732" t="s">
        <v>1004</v>
      </c>
    </row>
    <row r="2733" spans="1:9" x14ac:dyDescent="0.35">
      <c r="A2733" s="2">
        <v>45535</v>
      </c>
      <c r="B2733">
        <v>90</v>
      </c>
      <c r="C2733">
        <v>6121023</v>
      </c>
      <c r="D2733" t="s">
        <v>49</v>
      </c>
      <c r="E2733" t="s">
        <v>166</v>
      </c>
      <c r="F2733" s="3">
        <v>556.26</v>
      </c>
      <c r="G2733" s="3">
        <v>0</v>
      </c>
      <c r="H2733" s="3">
        <v>556.26</v>
      </c>
      <c r="I2733" t="s">
        <v>1005</v>
      </c>
    </row>
    <row r="2734" spans="1:9" x14ac:dyDescent="0.35">
      <c r="A2734" s="2">
        <v>45535</v>
      </c>
      <c r="B2734">
        <v>90</v>
      </c>
      <c r="C2734">
        <v>2114010</v>
      </c>
      <c r="D2734" t="s">
        <v>48</v>
      </c>
      <c r="E2734" t="s">
        <v>166</v>
      </c>
      <c r="F2734" s="3">
        <v>0</v>
      </c>
      <c r="G2734" s="3">
        <v>556.26</v>
      </c>
      <c r="H2734" s="3">
        <v>-556.26</v>
      </c>
      <c r="I2734" t="s">
        <v>1005</v>
      </c>
    </row>
    <row r="2735" spans="1:9" x14ac:dyDescent="0.35">
      <c r="A2735" s="2">
        <v>45535</v>
      </c>
      <c r="B2735">
        <v>90</v>
      </c>
      <c r="C2735">
        <v>6121023</v>
      </c>
      <c r="D2735" t="s">
        <v>49</v>
      </c>
      <c r="E2735" t="s">
        <v>161</v>
      </c>
      <c r="F2735" s="3">
        <v>419.95</v>
      </c>
      <c r="G2735" s="3">
        <v>0</v>
      </c>
      <c r="H2735" s="3">
        <v>419.95</v>
      </c>
      <c r="I2735" t="s">
        <v>1006</v>
      </c>
    </row>
    <row r="2736" spans="1:9" x14ac:dyDescent="0.35">
      <c r="A2736" s="2">
        <v>45535</v>
      </c>
      <c r="B2736">
        <v>90</v>
      </c>
      <c r="C2736">
        <v>2114010</v>
      </c>
      <c r="D2736" t="s">
        <v>48</v>
      </c>
      <c r="E2736" t="s">
        <v>161</v>
      </c>
      <c r="F2736" s="3">
        <v>0</v>
      </c>
      <c r="G2736" s="3">
        <v>419.95</v>
      </c>
      <c r="H2736" s="3">
        <v>-419.95</v>
      </c>
      <c r="I2736" t="s">
        <v>1006</v>
      </c>
    </row>
    <row r="2737" spans="1:9" x14ac:dyDescent="0.35">
      <c r="A2737" s="2">
        <v>45535</v>
      </c>
      <c r="B2737">
        <v>90</v>
      </c>
      <c r="C2737">
        <v>4112003</v>
      </c>
      <c r="D2737" t="s">
        <v>58</v>
      </c>
      <c r="E2737" t="s">
        <v>59</v>
      </c>
      <c r="F2737" s="3">
        <v>0</v>
      </c>
      <c r="G2737" s="3">
        <v>7302.41</v>
      </c>
      <c r="H2737" s="3">
        <v>-7302.41</v>
      </c>
      <c r="I2737" t="s">
        <v>1007</v>
      </c>
    </row>
    <row r="2738" spans="1:9" x14ac:dyDescent="0.35">
      <c r="A2738" s="2">
        <v>45535</v>
      </c>
      <c r="B2738">
        <v>90</v>
      </c>
      <c r="C2738">
        <v>2121001</v>
      </c>
      <c r="D2738" t="s">
        <v>27</v>
      </c>
      <c r="E2738" t="s">
        <v>59</v>
      </c>
      <c r="F2738" s="3">
        <v>0</v>
      </c>
      <c r="G2738" s="3">
        <v>1168.3900000000001</v>
      </c>
      <c r="H2738" s="3">
        <v>-1168.3900000000001</v>
      </c>
      <c r="I2738" t="s">
        <v>1007</v>
      </c>
    </row>
    <row r="2739" spans="1:9" x14ac:dyDescent="0.35">
      <c r="A2739" s="2">
        <v>45535</v>
      </c>
      <c r="B2739">
        <v>90</v>
      </c>
      <c r="C2739">
        <v>1111001</v>
      </c>
      <c r="D2739" t="s">
        <v>16</v>
      </c>
      <c r="E2739" t="s">
        <v>59</v>
      </c>
      <c r="F2739" s="3">
        <v>8470.7999999999993</v>
      </c>
      <c r="G2739" s="3">
        <v>0</v>
      </c>
      <c r="H2739" s="3">
        <v>8470.7999999999993</v>
      </c>
      <c r="I2739" t="s">
        <v>1007</v>
      </c>
    </row>
    <row r="2740" spans="1:9" x14ac:dyDescent="0.35">
      <c r="A2740" s="2">
        <v>45535</v>
      </c>
      <c r="B2740">
        <v>90</v>
      </c>
      <c r="C2740">
        <v>4112003</v>
      </c>
      <c r="D2740" t="s">
        <v>58</v>
      </c>
      <c r="E2740" t="s">
        <v>59</v>
      </c>
      <c r="F2740" s="3">
        <v>0</v>
      </c>
      <c r="G2740" s="3">
        <v>1801.83</v>
      </c>
      <c r="H2740" s="3">
        <v>-1801.83</v>
      </c>
      <c r="I2740" t="s">
        <v>1008</v>
      </c>
    </row>
    <row r="2741" spans="1:9" x14ac:dyDescent="0.35">
      <c r="A2741" s="2">
        <v>45535</v>
      </c>
      <c r="B2741">
        <v>90</v>
      </c>
      <c r="C2741">
        <v>2121001</v>
      </c>
      <c r="D2741" t="s">
        <v>27</v>
      </c>
      <c r="E2741" t="s">
        <v>59</v>
      </c>
      <c r="F2741" s="3">
        <v>0</v>
      </c>
      <c r="G2741" s="3">
        <v>288.29000000000002</v>
      </c>
      <c r="H2741" s="3">
        <v>-288.29000000000002</v>
      </c>
      <c r="I2741" t="s">
        <v>1008</v>
      </c>
    </row>
    <row r="2742" spans="1:9" x14ac:dyDescent="0.35">
      <c r="A2742" s="2">
        <v>45535</v>
      </c>
      <c r="B2742">
        <v>90</v>
      </c>
      <c r="C2742">
        <v>1111001</v>
      </c>
      <c r="D2742" t="s">
        <v>16</v>
      </c>
      <c r="E2742" t="s">
        <v>59</v>
      </c>
      <c r="F2742" s="3">
        <v>2090.12</v>
      </c>
      <c r="G2742" s="3">
        <v>0</v>
      </c>
      <c r="H2742" s="3">
        <v>2090.12</v>
      </c>
      <c r="I2742" t="s">
        <v>1008</v>
      </c>
    </row>
    <row r="2743" spans="1:9" x14ac:dyDescent="0.35">
      <c r="A2743" s="2">
        <v>45535</v>
      </c>
      <c r="B2743">
        <v>90</v>
      </c>
      <c r="C2743">
        <v>4112003</v>
      </c>
      <c r="D2743" t="s">
        <v>58</v>
      </c>
      <c r="E2743" t="s">
        <v>59</v>
      </c>
      <c r="F2743" s="3">
        <v>0</v>
      </c>
      <c r="G2743" s="3">
        <v>1232.8599999999999</v>
      </c>
      <c r="H2743" s="3">
        <v>-1232.8599999999999</v>
      </c>
      <c r="I2743" t="s">
        <v>1009</v>
      </c>
    </row>
    <row r="2744" spans="1:9" x14ac:dyDescent="0.35">
      <c r="A2744" s="2">
        <v>45535</v>
      </c>
      <c r="B2744">
        <v>90</v>
      </c>
      <c r="C2744">
        <v>2121001</v>
      </c>
      <c r="D2744" t="s">
        <v>27</v>
      </c>
      <c r="E2744" t="s">
        <v>59</v>
      </c>
      <c r="F2744" s="3">
        <v>0</v>
      </c>
      <c r="G2744" s="3">
        <v>197.26</v>
      </c>
      <c r="H2744" s="3">
        <v>-197.26</v>
      </c>
      <c r="I2744" t="s">
        <v>1009</v>
      </c>
    </row>
    <row r="2745" spans="1:9" x14ac:dyDescent="0.35">
      <c r="A2745" s="2">
        <v>45535</v>
      </c>
      <c r="B2745">
        <v>90</v>
      </c>
      <c r="C2745">
        <v>1111001</v>
      </c>
      <c r="D2745" t="s">
        <v>16</v>
      </c>
      <c r="E2745" t="s">
        <v>59</v>
      </c>
      <c r="F2745" s="3">
        <v>1430.12</v>
      </c>
      <c r="G2745" s="3">
        <v>0</v>
      </c>
      <c r="H2745" s="3">
        <v>1430.12</v>
      </c>
      <c r="I2745" t="s">
        <v>1009</v>
      </c>
    </row>
    <row r="2746" spans="1:9" x14ac:dyDescent="0.35">
      <c r="A2746" s="2">
        <v>45535</v>
      </c>
      <c r="B2746">
        <v>90</v>
      </c>
      <c r="C2746">
        <v>4112003</v>
      </c>
      <c r="D2746" t="s">
        <v>58</v>
      </c>
      <c r="E2746" t="s">
        <v>59</v>
      </c>
      <c r="F2746" s="3">
        <v>0</v>
      </c>
      <c r="G2746" s="3">
        <v>4172.9399999999996</v>
      </c>
      <c r="H2746" s="3">
        <v>-4172.9399999999996</v>
      </c>
      <c r="I2746" t="s">
        <v>1010</v>
      </c>
    </row>
    <row r="2747" spans="1:9" x14ac:dyDescent="0.35">
      <c r="A2747" s="2">
        <v>45535</v>
      </c>
      <c r="B2747">
        <v>90</v>
      </c>
      <c r="C2747">
        <v>2121001</v>
      </c>
      <c r="D2747" t="s">
        <v>27</v>
      </c>
      <c r="E2747" t="s">
        <v>59</v>
      </c>
      <c r="F2747" s="3">
        <v>0</v>
      </c>
      <c r="G2747" s="3">
        <v>667.67</v>
      </c>
      <c r="H2747" s="3">
        <v>-667.67</v>
      </c>
      <c r="I2747" t="s">
        <v>1010</v>
      </c>
    </row>
    <row r="2748" spans="1:9" x14ac:dyDescent="0.35">
      <c r="A2748" s="2">
        <v>45535</v>
      </c>
      <c r="B2748">
        <v>90</v>
      </c>
      <c r="C2748">
        <v>1111001</v>
      </c>
      <c r="D2748" t="s">
        <v>16</v>
      </c>
      <c r="E2748" t="s">
        <v>59</v>
      </c>
      <c r="F2748" s="3">
        <v>4840.6099999999997</v>
      </c>
      <c r="G2748" s="3">
        <v>0</v>
      </c>
      <c r="H2748" s="3">
        <v>4840.6099999999997</v>
      </c>
      <c r="I2748" t="s">
        <v>1010</v>
      </c>
    </row>
    <row r="2749" spans="1:9" x14ac:dyDescent="0.35">
      <c r="A2749" s="2">
        <v>45535</v>
      </c>
      <c r="B2749">
        <v>90</v>
      </c>
      <c r="C2749">
        <v>4112003</v>
      </c>
      <c r="D2749" t="s">
        <v>58</v>
      </c>
      <c r="E2749" t="s">
        <v>59</v>
      </c>
      <c r="F2749" s="3">
        <v>0</v>
      </c>
      <c r="G2749" s="3">
        <v>5026.54</v>
      </c>
      <c r="H2749" s="3">
        <v>-5026.54</v>
      </c>
      <c r="I2749" t="s">
        <v>1011</v>
      </c>
    </row>
    <row r="2750" spans="1:9" x14ac:dyDescent="0.35">
      <c r="A2750" s="2">
        <v>45535</v>
      </c>
      <c r="B2750">
        <v>90</v>
      </c>
      <c r="C2750">
        <v>2121001</v>
      </c>
      <c r="D2750" t="s">
        <v>27</v>
      </c>
      <c r="E2750" t="s">
        <v>59</v>
      </c>
      <c r="F2750" s="3">
        <v>0</v>
      </c>
      <c r="G2750" s="3">
        <v>804.25</v>
      </c>
      <c r="H2750" s="3">
        <v>-804.25</v>
      </c>
      <c r="I2750" t="s">
        <v>1011</v>
      </c>
    </row>
    <row r="2751" spans="1:9" x14ac:dyDescent="0.35">
      <c r="A2751" s="2">
        <v>45535</v>
      </c>
      <c r="B2751">
        <v>90</v>
      </c>
      <c r="C2751">
        <v>1111001</v>
      </c>
      <c r="D2751" t="s">
        <v>16</v>
      </c>
      <c r="E2751" t="s">
        <v>59</v>
      </c>
      <c r="F2751" s="3">
        <v>5830.79</v>
      </c>
      <c r="G2751" s="3">
        <v>0</v>
      </c>
      <c r="H2751" s="3">
        <v>5830.79</v>
      </c>
      <c r="I2751" t="s">
        <v>1011</v>
      </c>
    </row>
    <row r="2752" spans="1:9" x14ac:dyDescent="0.35">
      <c r="A2752" s="2">
        <v>45535</v>
      </c>
      <c r="B2752">
        <v>90</v>
      </c>
      <c r="C2752">
        <v>4112003</v>
      </c>
      <c r="D2752" t="s">
        <v>58</v>
      </c>
      <c r="E2752" t="s">
        <v>59</v>
      </c>
      <c r="F2752" s="3">
        <v>0</v>
      </c>
      <c r="G2752" s="3">
        <v>5121.2700000000004</v>
      </c>
      <c r="H2752" s="3">
        <v>-5121.2700000000004</v>
      </c>
      <c r="I2752" t="s">
        <v>1012</v>
      </c>
    </row>
    <row r="2753" spans="1:9" x14ac:dyDescent="0.35">
      <c r="A2753" s="2">
        <v>45535</v>
      </c>
      <c r="B2753">
        <v>90</v>
      </c>
      <c r="C2753">
        <v>2121001</v>
      </c>
      <c r="D2753" t="s">
        <v>27</v>
      </c>
      <c r="E2753" t="s">
        <v>59</v>
      </c>
      <c r="F2753" s="3">
        <v>0</v>
      </c>
      <c r="G2753" s="3">
        <v>819.4</v>
      </c>
      <c r="H2753" s="3">
        <v>-819.4</v>
      </c>
      <c r="I2753" t="s">
        <v>1012</v>
      </c>
    </row>
    <row r="2754" spans="1:9" x14ac:dyDescent="0.35">
      <c r="A2754" s="2">
        <v>45535</v>
      </c>
      <c r="B2754">
        <v>90</v>
      </c>
      <c r="C2754">
        <v>1111001</v>
      </c>
      <c r="D2754" t="s">
        <v>16</v>
      </c>
      <c r="E2754" t="s">
        <v>59</v>
      </c>
      <c r="F2754" s="3">
        <v>5940.67</v>
      </c>
      <c r="G2754" s="3">
        <v>0</v>
      </c>
      <c r="H2754" s="3">
        <v>5940.67</v>
      </c>
      <c r="I2754" t="s">
        <v>1012</v>
      </c>
    </row>
    <row r="2755" spans="1:9" x14ac:dyDescent="0.35">
      <c r="A2755" s="2">
        <v>45535</v>
      </c>
      <c r="B2755">
        <v>90</v>
      </c>
      <c r="C2755">
        <v>4112003</v>
      </c>
      <c r="D2755" t="s">
        <v>58</v>
      </c>
      <c r="E2755" t="s">
        <v>59</v>
      </c>
      <c r="F2755" s="3">
        <v>0</v>
      </c>
      <c r="G2755" s="3">
        <v>7397.12</v>
      </c>
      <c r="H2755" s="3">
        <v>-7397.12</v>
      </c>
      <c r="I2755" t="s">
        <v>1013</v>
      </c>
    </row>
    <row r="2756" spans="1:9" x14ac:dyDescent="0.35">
      <c r="A2756" s="2">
        <v>45535</v>
      </c>
      <c r="B2756">
        <v>90</v>
      </c>
      <c r="C2756">
        <v>2121001</v>
      </c>
      <c r="D2756" t="s">
        <v>27</v>
      </c>
      <c r="E2756" t="s">
        <v>59</v>
      </c>
      <c r="F2756" s="3">
        <v>0</v>
      </c>
      <c r="G2756" s="3">
        <v>1183.54</v>
      </c>
      <c r="H2756" s="3">
        <v>-1183.54</v>
      </c>
      <c r="I2756" t="s">
        <v>1013</v>
      </c>
    </row>
    <row r="2757" spans="1:9" x14ac:dyDescent="0.35">
      <c r="A2757" s="2">
        <v>45535</v>
      </c>
      <c r="B2757">
        <v>90</v>
      </c>
      <c r="C2757">
        <v>1111001</v>
      </c>
      <c r="D2757" t="s">
        <v>16</v>
      </c>
      <c r="E2757" t="s">
        <v>59</v>
      </c>
      <c r="F2757" s="3">
        <v>8580.66</v>
      </c>
      <c r="G2757" s="3">
        <v>0</v>
      </c>
      <c r="H2757" s="3">
        <v>8580.66</v>
      </c>
      <c r="I2757" t="s">
        <v>1013</v>
      </c>
    </row>
    <row r="2758" spans="1:9" x14ac:dyDescent="0.35">
      <c r="A2758" s="2">
        <v>45535</v>
      </c>
      <c r="B2758">
        <v>90</v>
      </c>
      <c r="C2758">
        <v>4112003</v>
      </c>
      <c r="D2758" t="s">
        <v>58</v>
      </c>
      <c r="E2758" t="s">
        <v>59</v>
      </c>
      <c r="F2758" s="3">
        <v>0</v>
      </c>
      <c r="G2758" s="3">
        <v>6448.8</v>
      </c>
      <c r="H2758" s="3">
        <v>-6448.8</v>
      </c>
      <c r="I2758" t="s">
        <v>1014</v>
      </c>
    </row>
    <row r="2759" spans="1:9" x14ac:dyDescent="0.35">
      <c r="A2759" s="2">
        <v>45535</v>
      </c>
      <c r="B2759">
        <v>90</v>
      </c>
      <c r="C2759">
        <v>2121001</v>
      </c>
      <c r="D2759" t="s">
        <v>27</v>
      </c>
      <c r="E2759" t="s">
        <v>59</v>
      </c>
      <c r="F2759" s="3">
        <v>0</v>
      </c>
      <c r="G2759" s="3">
        <v>1031.81</v>
      </c>
      <c r="H2759" s="3">
        <v>-1031.81</v>
      </c>
      <c r="I2759" t="s">
        <v>1014</v>
      </c>
    </row>
    <row r="2760" spans="1:9" x14ac:dyDescent="0.35">
      <c r="A2760" s="2">
        <v>45535</v>
      </c>
      <c r="B2760">
        <v>90</v>
      </c>
      <c r="C2760">
        <v>1111001</v>
      </c>
      <c r="D2760" t="s">
        <v>16</v>
      </c>
      <c r="E2760" t="s">
        <v>59</v>
      </c>
      <c r="F2760" s="3">
        <v>7480.61</v>
      </c>
      <c r="G2760" s="3">
        <v>0</v>
      </c>
      <c r="H2760" s="3">
        <v>7480.61</v>
      </c>
      <c r="I2760" t="s">
        <v>1014</v>
      </c>
    </row>
    <row r="2761" spans="1:9" x14ac:dyDescent="0.35">
      <c r="A2761" s="2">
        <v>45535</v>
      </c>
      <c r="B2761">
        <v>90</v>
      </c>
      <c r="C2761">
        <v>4112003</v>
      </c>
      <c r="D2761" t="s">
        <v>58</v>
      </c>
      <c r="E2761" t="s">
        <v>59</v>
      </c>
      <c r="F2761" s="3">
        <v>0</v>
      </c>
      <c r="G2761" s="3">
        <v>3793.33</v>
      </c>
      <c r="H2761" s="3">
        <v>-3793.33</v>
      </c>
      <c r="I2761" t="s">
        <v>1015</v>
      </c>
    </row>
    <row r="2762" spans="1:9" x14ac:dyDescent="0.35">
      <c r="A2762" s="2">
        <v>45535</v>
      </c>
      <c r="B2762">
        <v>90</v>
      </c>
      <c r="C2762">
        <v>2121001</v>
      </c>
      <c r="D2762" t="s">
        <v>27</v>
      </c>
      <c r="E2762" t="s">
        <v>59</v>
      </c>
      <c r="F2762" s="3">
        <v>0</v>
      </c>
      <c r="G2762" s="3">
        <v>606.92999999999995</v>
      </c>
      <c r="H2762" s="3">
        <v>-606.92999999999995</v>
      </c>
      <c r="I2762" t="s">
        <v>1015</v>
      </c>
    </row>
    <row r="2763" spans="1:9" x14ac:dyDescent="0.35">
      <c r="A2763" s="2">
        <v>45535</v>
      </c>
      <c r="B2763">
        <v>90</v>
      </c>
      <c r="C2763">
        <v>1111001</v>
      </c>
      <c r="D2763" t="s">
        <v>16</v>
      </c>
      <c r="E2763" t="s">
        <v>59</v>
      </c>
      <c r="F2763" s="3">
        <v>4400.26</v>
      </c>
      <c r="G2763" s="3">
        <v>0</v>
      </c>
      <c r="H2763" s="3">
        <v>4400.26</v>
      </c>
      <c r="I2763" t="s">
        <v>1015</v>
      </c>
    </row>
    <row r="2764" spans="1:9" x14ac:dyDescent="0.35">
      <c r="A2764" s="2">
        <v>45535</v>
      </c>
      <c r="B2764">
        <v>90</v>
      </c>
      <c r="C2764">
        <v>4112003</v>
      </c>
      <c r="D2764" t="s">
        <v>58</v>
      </c>
      <c r="E2764" t="s">
        <v>59</v>
      </c>
      <c r="F2764" s="3">
        <v>0</v>
      </c>
      <c r="G2764" s="3">
        <v>1232.79</v>
      </c>
      <c r="H2764" s="3">
        <v>-1232.79</v>
      </c>
      <c r="I2764" t="s">
        <v>1016</v>
      </c>
    </row>
    <row r="2765" spans="1:9" x14ac:dyDescent="0.35">
      <c r="A2765" s="2">
        <v>45535</v>
      </c>
      <c r="B2765">
        <v>90</v>
      </c>
      <c r="C2765">
        <v>2121001</v>
      </c>
      <c r="D2765" t="s">
        <v>27</v>
      </c>
      <c r="E2765" t="s">
        <v>59</v>
      </c>
      <c r="F2765" s="3">
        <v>0</v>
      </c>
      <c r="G2765" s="3">
        <v>197.25</v>
      </c>
      <c r="H2765" s="3">
        <v>-197.25</v>
      </c>
      <c r="I2765" t="s">
        <v>1016</v>
      </c>
    </row>
    <row r="2766" spans="1:9" x14ac:dyDescent="0.35">
      <c r="A2766" s="2">
        <v>45535</v>
      </c>
      <c r="B2766">
        <v>90</v>
      </c>
      <c r="C2766">
        <v>1111001</v>
      </c>
      <c r="D2766" t="s">
        <v>16</v>
      </c>
      <c r="E2766" t="s">
        <v>59</v>
      </c>
      <c r="F2766" s="3">
        <v>1430.04</v>
      </c>
      <c r="G2766" s="3">
        <v>0</v>
      </c>
      <c r="H2766" s="3">
        <v>1430.04</v>
      </c>
      <c r="I2766" t="s">
        <v>1016</v>
      </c>
    </row>
    <row r="2767" spans="1:9" x14ac:dyDescent="0.35">
      <c r="A2767" s="2">
        <v>45535</v>
      </c>
      <c r="B2767">
        <v>90</v>
      </c>
      <c r="C2767">
        <v>4112003</v>
      </c>
      <c r="D2767" t="s">
        <v>58</v>
      </c>
      <c r="E2767" t="s">
        <v>59</v>
      </c>
      <c r="F2767" s="3">
        <v>0</v>
      </c>
      <c r="G2767" s="3">
        <v>5974.62</v>
      </c>
      <c r="H2767" s="3">
        <v>-5974.62</v>
      </c>
      <c r="I2767" t="s">
        <v>1017</v>
      </c>
    </row>
    <row r="2768" spans="1:9" x14ac:dyDescent="0.35">
      <c r="A2768" s="2">
        <v>45535</v>
      </c>
      <c r="B2768">
        <v>90</v>
      </c>
      <c r="C2768">
        <v>2121001</v>
      </c>
      <c r="D2768" t="s">
        <v>27</v>
      </c>
      <c r="E2768" t="s">
        <v>59</v>
      </c>
      <c r="F2768" s="3">
        <v>0</v>
      </c>
      <c r="G2768" s="3">
        <v>955.94</v>
      </c>
      <c r="H2768" s="3">
        <v>-955.94</v>
      </c>
      <c r="I2768" t="s">
        <v>1017</v>
      </c>
    </row>
    <row r="2769" spans="1:9" x14ac:dyDescent="0.35">
      <c r="A2769" s="2">
        <v>45535</v>
      </c>
      <c r="B2769">
        <v>90</v>
      </c>
      <c r="C2769">
        <v>1111001</v>
      </c>
      <c r="D2769" t="s">
        <v>16</v>
      </c>
      <c r="E2769" t="s">
        <v>59</v>
      </c>
      <c r="F2769" s="3">
        <v>6930.56</v>
      </c>
      <c r="G2769" s="3">
        <v>0</v>
      </c>
      <c r="H2769" s="3">
        <v>6930.56</v>
      </c>
      <c r="I2769" t="s">
        <v>1017</v>
      </c>
    </row>
    <row r="2770" spans="1:9" x14ac:dyDescent="0.35">
      <c r="A2770" s="2">
        <v>45535</v>
      </c>
      <c r="B2770">
        <v>90</v>
      </c>
      <c r="C2770">
        <v>4112003</v>
      </c>
      <c r="D2770" t="s">
        <v>58</v>
      </c>
      <c r="E2770" t="s">
        <v>59</v>
      </c>
      <c r="F2770" s="3">
        <v>0</v>
      </c>
      <c r="G2770" s="3">
        <v>4362.5600000000004</v>
      </c>
      <c r="H2770" s="3">
        <v>-4362.5600000000004</v>
      </c>
      <c r="I2770" t="s">
        <v>1018</v>
      </c>
    </row>
    <row r="2771" spans="1:9" x14ac:dyDescent="0.35">
      <c r="A2771" s="2">
        <v>45535</v>
      </c>
      <c r="B2771">
        <v>90</v>
      </c>
      <c r="C2771">
        <v>2121001</v>
      </c>
      <c r="D2771" t="s">
        <v>27</v>
      </c>
      <c r="E2771" t="s">
        <v>59</v>
      </c>
      <c r="F2771" s="3">
        <v>0</v>
      </c>
      <c r="G2771" s="3">
        <v>698.01</v>
      </c>
      <c r="H2771" s="3">
        <v>-698.01</v>
      </c>
      <c r="I2771" t="s">
        <v>1018</v>
      </c>
    </row>
    <row r="2772" spans="1:9" x14ac:dyDescent="0.35">
      <c r="A2772" s="2">
        <v>45535</v>
      </c>
      <c r="B2772">
        <v>90</v>
      </c>
      <c r="C2772">
        <v>1111001</v>
      </c>
      <c r="D2772" t="s">
        <v>16</v>
      </c>
      <c r="E2772" t="s">
        <v>59</v>
      </c>
      <c r="F2772" s="3">
        <v>5060.57</v>
      </c>
      <c r="G2772" s="3">
        <v>0</v>
      </c>
      <c r="H2772" s="3">
        <v>5060.57</v>
      </c>
      <c r="I2772" t="s">
        <v>1018</v>
      </c>
    </row>
    <row r="2773" spans="1:9" x14ac:dyDescent="0.35">
      <c r="A2773" s="2">
        <v>45535</v>
      </c>
      <c r="B2773">
        <v>90</v>
      </c>
      <c r="C2773">
        <v>4112003</v>
      </c>
      <c r="D2773" t="s">
        <v>58</v>
      </c>
      <c r="E2773" t="s">
        <v>59</v>
      </c>
      <c r="F2773" s="3">
        <v>0</v>
      </c>
      <c r="G2773" s="3">
        <v>5216.1000000000004</v>
      </c>
      <c r="H2773" s="3">
        <v>-5216.1000000000004</v>
      </c>
      <c r="I2773" t="s">
        <v>1019</v>
      </c>
    </row>
    <row r="2774" spans="1:9" x14ac:dyDescent="0.35">
      <c r="A2774" s="2">
        <v>45535</v>
      </c>
      <c r="B2774">
        <v>90</v>
      </c>
      <c r="C2774">
        <v>2121001</v>
      </c>
      <c r="D2774" t="s">
        <v>27</v>
      </c>
      <c r="E2774" t="s">
        <v>59</v>
      </c>
      <c r="F2774" s="3">
        <v>0</v>
      </c>
      <c r="G2774" s="3">
        <v>834.58</v>
      </c>
      <c r="H2774" s="3">
        <v>-834.58</v>
      </c>
      <c r="I2774" t="s">
        <v>1019</v>
      </c>
    </row>
    <row r="2775" spans="1:9" x14ac:dyDescent="0.35">
      <c r="A2775" s="2">
        <v>45535</v>
      </c>
      <c r="B2775">
        <v>90</v>
      </c>
      <c r="C2775">
        <v>1111001</v>
      </c>
      <c r="D2775" t="s">
        <v>16</v>
      </c>
      <c r="E2775" t="s">
        <v>59</v>
      </c>
      <c r="F2775" s="3">
        <v>6050.68</v>
      </c>
      <c r="G2775" s="3">
        <v>0</v>
      </c>
      <c r="H2775" s="3">
        <v>6050.68</v>
      </c>
      <c r="I2775" t="s">
        <v>1019</v>
      </c>
    </row>
    <row r="2776" spans="1:9" x14ac:dyDescent="0.35">
      <c r="A2776" s="2">
        <v>45535</v>
      </c>
      <c r="B2776">
        <v>90</v>
      </c>
      <c r="C2776">
        <v>4112003</v>
      </c>
      <c r="D2776" t="s">
        <v>58</v>
      </c>
      <c r="E2776" t="s">
        <v>59</v>
      </c>
      <c r="F2776" s="3">
        <v>0</v>
      </c>
      <c r="G2776" s="3">
        <v>6267.74</v>
      </c>
      <c r="H2776" s="3">
        <v>-6267.74</v>
      </c>
      <c r="I2776" t="s">
        <v>1020</v>
      </c>
    </row>
    <row r="2777" spans="1:9" x14ac:dyDescent="0.35">
      <c r="A2777" s="2">
        <v>45535</v>
      </c>
      <c r="B2777">
        <v>90</v>
      </c>
      <c r="C2777">
        <v>2121001</v>
      </c>
      <c r="D2777" t="s">
        <v>27</v>
      </c>
      <c r="E2777" t="s">
        <v>59</v>
      </c>
      <c r="F2777" s="3">
        <v>0</v>
      </c>
      <c r="G2777" s="3">
        <v>1002.84</v>
      </c>
      <c r="H2777" s="3">
        <v>-1002.84</v>
      </c>
      <c r="I2777" t="s">
        <v>1020</v>
      </c>
    </row>
    <row r="2778" spans="1:9" x14ac:dyDescent="0.35">
      <c r="A2778" s="2">
        <v>45535</v>
      </c>
      <c r="B2778">
        <v>90</v>
      </c>
      <c r="C2778">
        <v>1111001</v>
      </c>
      <c r="D2778" t="s">
        <v>16</v>
      </c>
      <c r="E2778" t="s">
        <v>59</v>
      </c>
      <c r="F2778" s="3">
        <v>7270.58</v>
      </c>
      <c r="G2778" s="3">
        <v>0</v>
      </c>
      <c r="H2778" s="3">
        <v>7270.58</v>
      </c>
      <c r="I2778" t="s">
        <v>1020</v>
      </c>
    </row>
    <row r="2779" spans="1:9" x14ac:dyDescent="0.35">
      <c r="A2779" s="2">
        <v>45535</v>
      </c>
      <c r="B2779">
        <v>90</v>
      </c>
      <c r="C2779">
        <v>4112003</v>
      </c>
      <c r="D2779" t="s">
        <v>58</v>
      </c>
      <c r="E2779" t="s">
        <v>59</v>
      </c>
      <c r="F2779" s="3">
        <v>0</v>
      </c>
      <c r="G2779" s="3">
        <v>1327.7</v>
      </c>
      <c r="H2779" s="3">
        <v>-1327.7</v>
      </c>
      <c r="I2779" t="s">
        <v>1021</v>
      </c>
    </row>
    <row r="2780" spans="1:9" x14ac:dyDescent="0.35">
      <c r="A2780" s="2">
        <v>45535</v>
      </c>
      <c r="B2780">
        <v>90</v>
      </c>
      <c r="C2780">
        <v>2121001</v>
      </c>
      <c r="D2780" t="s">
        <v>27</v>
      </c>
      <c r="E2780" t="s">
        <v>59</v>
      </c>
      <c r="F2780" s="3">
        <v>0</v>
      </c>
      <c r="G2780" s="3">
        <v>212.43</v>
      </c>
      <c r="H2780" s="3">
        <v>-212.43</v>
      </c>
      <c r="I2780" t="s">
        <v>1021</v>
      </c>
    </row>
    <row r="2781" spans="1:9" x14ac:dyDescent="0.35">
      <c r="A2781" s="2">
        <v>45535</v>
      </c>
      <c r="B2781">
        <v>90</v>
      </c>
      <c r="C2781">
        <v>1111001</v>
      </c>
      <c r="D2781" t="s">
        <v>16</v>
      </c>
      <c r="E2781" t="s">
        <v>59</v>
      </c>
      <c r="F2781" s="3">
        <v>1540.13</v>
      </c>
      <c r="G2781" s="3">
        <v>0</v>
      </c>
      <c r="H2781" s="3">
        <v>1540.13</v>
      </c>
      <c r="I2781" t="s">
        <v>1021</v>
      </c>
    </row>
    <row r="2782" spans="1:9" x14ac:dyDescent="0.35">
      <c r="A2782" s="2">
        <v>45535</v>
      </c>
      <c r="B2782">
        <v>90</v>
      </c>
      <c r="C2782">
        <v>4112003</v>
      </c>
      <c r="D2782" t="s">
        <v>58</v>
      </c>
      <c r="E2782" t="s">
        <v>59</v>
      </c>
      <c r="F2782" s="3">
        <v>0</v>
      </c>
      <c r="G2782" s="3">
        <v>2939.97</v>
      </c>
      <c r="H2782" s="3">
        <v>-2939.97</v>
      </c>
      <c r="I2782" t="s">
        <v>1022</v>
      </c>
    </row>
    <row r="2783" spans="1:9" x14ac:dyDescent="0.35">
      <c r="A2783" s="2">
        <v>45535</v>
      </c>
      <c r="B2783">
        <v>90</v>
      </c>
      <c r="C2783">
        <v>2121001</v>
      </c>
      <c r="D2783" t="s">
        <v>27</v>
      </c>
      <c r="E2783" t="s">
        <v>59</v>
      </c>
      <c r="F2783" s="3">
        <v>0</v>
      </c>
      <c r="G2783" s="3">
        <v>470.4</v>
      </c>
      <c r="H2783" s="3">
        <v>-470.4</v>
      </c>
      <c r="I2783" t="s">
        <v>1022</v>
      </c>
    </row>
    <row r="2784" spans="1:9" x14ac:dyDescent="0.35">
      <c r="A2784" s="2">
        <v>45535</v>
      </c>
      <c r="B2784">
        <v>90</v>
      </c>
      <c r="C2784">
        <v>1111001</v>
      </c>
      <c r="D2784" t="s">
        <v>16</v>
      </c>
      <c r="E2784" t="s">
        <v>59</v>
      </c>
      <c r="F2784" s="3">
        <v>3410.37</v>
      </c>
      <c r="G2784" s="3">
        <v>0</v>
      </c>
      <c r="H2784" s="3">
        <v>3410.37</v>
      </c>
      <c r="I2784" t="s">
        <v>1022</v>
      </c>
    </row>
    <row r="2785" spans="1:9" x14ac:dyDescent="0.35">
      <c r="A2785" s="2">
        <v>45535</v>
      </c>
      <c r="B2785">
        <v>90</v>
      </c>
      <c r="C2785">
        <v>4112004</v>
      </c>
      <c r="D2785" t="s">
        <v>74</v>
      </c>
      <c r="E2785" t="s">
        <v>197</v>
      </c>
      <c r="F2785" s="3">
        <v>0</v>
      </c>
      <c r="G2785" s="3">
        <v>16643.61</v>
      </c>
      <c r="H2785" s="3">
        <v>-16643.61</v>
      </c>
      <c r="I2785" t="s">
        <v>1023</v>
      </c>
    </row>
    <row r="2786" spans="1:9" x14ac:dyDescent="0.35">
      <c r="A2786" s="2">
        <v>45535</v>
      </c>
      <c r="B2786">
        <v>90</v>
      </c>
      <c r="C2786">
        <v>2121001</v>
      </c>
      <c r="D2786" t="s">
        <v>27</v>
      </c>
      <c r="E2786" t="s">
        <v>197</v>
      </c>
      <c r="F2786" s="3">
        <v>0</v>
      </c>
      <c r="G2786" s="3">
        <v>2662.98</v>
      </c>
      <c r="H2786" s="3">
        <v>-2662.98</v>
      </c>
      <c r="I2786" t="s">
        <v>1023</v>
      </c>
    </row>
    <row r="2787" spans="1:9" x14ac:dyDescent="0.35">
      <c r="A2787" s="2">
        <v>45535</v>
      </c>
      <c r="B2787">
        <v>90</v>
      </c>
      <c r="C2787">
        <v>1141002</v>
      </c>
      <c r="D2787" t="s">
        <v>23</v>
      </c>
      <c r="E2787" t="s">
        <v>197</v>
      </c>
      <c r="F2787" s="3">
        <v>1997.23</v>
      </c>
      <c r="G2787" s="3">
        <v>0</v>
      </c>
      <c r="H2787" s="3">
        <v>1997.23</v>
      </c>
      <c r="I2787" t="s">
        <v>1438</v>
      </c>
    </row>
    <row r="2788" spans="1:9" x14ac:dyDescent="0.35">
      <c r="A2788" s="2">
        <v>45535</v>
      </c>
      <c r="B2788">
        <v>90</v>
      </c>
      <c r="C2788">
        <v>1142001</v>
      </c>
      <c r="D2788" t="s">
        <v>199</v>
      </c>
      <c r="E2788" t="s">
        <v>197</v>
      </c>
      <c r="F2788" s="3">
        <v>332.87</v>
      </c>
      <c r="G2788" s="3">
        <v>0</v>
      </c>
      <c r="H2788" s="3">
        <v>332.87</v>
      </c>
      <c r="I2788" t="s">
        <v>1438</v>
      </c>
    </row>
    <row r="2789" spans="1:9" x14ac:dyDescent="0.35">
      <c r="A2789" s="2">
        <v>45535</v>
      </c>
      <c r="B2789">
        <v>90</v>
      </c>
      <c r="C2789">
        <v>1111001</v>
      </c>
      <c r="D2789" t="s">
        <v>16</v>
      </c>
      <c r="E2789" t="s">
        <v>197</v>
      </c>
      <c r="F2789" s="3">
        <v>16976.48</v>
      </c>
      <c r="G2789" s="3">
        <v>0</v>
      </c>
      <c r="H2789" s="3">
        <v>16976.48</v>
      </c>
      <c r="I2789" t="s">
        <v>1023</v>
      </c>
    </row>
    <row r="2790" spans="1:9" x14ac:dyDescent="0.35">
      <c r="A2790" s="2">
        <v>45535</v>
      </c>
      <c r="B2790">
        <v>90</v>
      </c>
      <c r="C2790">
        <v>4112004</v>
      </c>
      <c r="D2790" t="s">
        <v>74</v>
      </c>
      <c r="E2790" t="s">
        <v>197</v>
      </c>
      <c r="F2790" s="3">
        <v>0</v>
      </c>
      <c r="G2790" s="3">
        <v>18397.84</v>
      </c>
      <c r="H2790" s="3">
        <v>-18397.84</v>
      </c>
      <c r="I2790" t="s">
        <v>1024</v>
      </c>
    </row>
    <row r="2791" spans="1:9" x14ac:dyDescent="0.35">
      <c r="A2791" s="2">
        <v>45535</v>
      </c>
      <c r="B2791">
        <v>90</v>
      </c>
      <c r="C2791">
        <v>2121001</v>
      </c>
      <c r="D2791" t="s">
        <v>27</v>
      </c>
      <c r="E2791" t="s">
        <v>197</v>
      </c>
      <c r="F2791" s="3">
        <v>0</v>
      </c>
      <c r="G2791" s="3">
        <v>2943.65</v>
      </c>
      <c r="H2791" s="3">
        <v>-2943.65</v>
      </c>
      <c r="I2791" t="s">
        <v>1024</v>
      </c>
    </row>
    <row r="2792" spans="1:9" x14ac:dyDescent="0.35">
      <c r="A2792" s="2">
        <v>45535</v>
      </c>
      <c r="B2792">
        <v>90</v>
      </c>
      <c r="C2792">
        <v>1141002</v>
      </c>
      <c r="D2792" t="s">
        <v>23</v>
      </c>
      <c r="E2792" t="s">
        <v>197</v>
      </c>
      <c r="F2792" s="3">
        <v>2207.7399999999998</v>
      </c>
      <c r="G2792" s="3">
        <v>0</v>
      </c>
      <c r="H2792" s="3">
        <v>2207.7399999999998</v>
      </c>
      <c r="I2792" t="s">
        <v>1438</v>
      </c>
    </row>
    <row r="2793" spans="1:9" x14ac:dyDescent="0.35">
      <c r="A2793" s="2">
        <v>45535</v>
      </c>
      <c r="B2793">
        <v>90</v>
      </c>
      <c r="C2793">
        <v>1142001</v>
      </c>
      <c r="D2793" t="s">
        <v>199</v>
      </c>
      <c r="E2793" t="s">
        <v>197</v>
      </c>
      <c r="F2793" s="3">
        <v>367.96</v>
      </c>
      <c r="G2793" s="3">
        <v>0</v>
      </c>
      <c r="H2793" s="3">
        <v>367.96</v>
      </c>
      <c r="I2793" t="s">
        <v>1438</v>
      </c>
    </row>
    <row r="2794" spans="1:9" x14ac:dyDescent="0.35">
      <c r="A2794" s="2">
        <v>45535</v>
      </c>
      <c r="B2794">
        <v>90</v>
      </c>
      <c r="C2794">
        <v>1111001</v>
      </c>
      <c r="D2794" t="s">
        <v>16</v>
      </c>
      <c r="E2794" t="s">
        <v>197</v>
      </c>
      <c r="F2794" s="3">
        <v>18765.8</v>
      </c>
      <c r="G2794" s="3">
        <v>0</v>
      </c>
      <c r="H2794" s="3">
        <v>18765.8</v>
      </c>
      <c r="I2794" t="s">
        <v>1024</v>
      </c>
    </row>
    <row r="2795" spans="1:9" x14ac:dyDescent="0.35">
      <c r="A2795" s="2">
        <v>45535</v>
      </c>
      <c r="B2795">
        <v>90</v>
      </c>
      <c r="C2795">
        <v>4112004</v>
      </c>
      <c r="D2795" t="s">
        <v>74</v>
      </c>
      <c r="E2795" t="s">
        <v>740</v>
      </c>
      <c r="F2795" s="3">
        <v>0</v>
      </c>
      <c r="G2795" s="3">
        <v>5536.65</v>
      </c>
      <c r="H2795" s="3">
        <v>-5536.65</v>
      </c>
      <c r="I2795" t="s">
        <v>1025</v>
      </c>
    </row>
    <row r="2796" spans="1:9" x14ac:dyDescent="0.35">
      <c r="A2796" s="2">
        <v>45535</v>
      </c>
      <c r="B2796">
        <v>90</v>
      </c>
      <c r="C2796">
        <v>2121001</v>
      </c>
      <c r="D2796" t="s">
        <v>27</v>
      </c>
      <c r="E2796" t="s">
        <v>740</v>
      </c>
      <c r="F2796" s="3">
        <v>0</v>
      </c>
      <c r="G2796" s="3">
        <v>885.86</v>
      </c>
      <c r="H2796" s="3">
        <v>-885.86</v>
      </c>
      <c r="I2796" t="s">
        <v>1025</v>
      </c>
    </row>
    <row r="2797" spans="1:9" x14ac:dyDescent="0.35">
      <c r="A2797" s="2">
        <v>45535</v>
      </c>
      <c r="B2797">
        <v>90</v>
      </c>
      <c r="C2797">
        <v>1111001</v>
      </c>
      <c r="D2797" t="s">
        <v>16</v>
      </c>
      <c r="E2797" t="s">
        <v>740</v>
      </c>
      <c r="F2797" s="3">
        <v>6422.51</v>
      </c>
      <c r="G2797" s="3">
        <v>0</v>
      </c>
      <c r="H2797" s="3">
        <v>6422.51</v>
      </c>
      <c r="I2797" t="s">
        <v>1025</v>
      </c>
    </row>
    <row r="2798" spans="1:9" x14ac:dyDescent="0.35">
      <c r="A2798" s="2">
        <v>45535</v>
      </c>
      <c r="B2798">
        <v>90</v>
      </c>
      <c r="C2798">
        <v>4112004</v>
      </c>
      <c r="D2798" t="s">
        <v>74</v>
      </c>
      <c r="E2798" t="s">
        <v>79</v>
      </c>
      <c r="F2798" s="3">
        <v>0</v>
      </c>
      <c r="G2798" s="3">
        <v>2361.84</v>
      </c>
      <c r="H2798" s="3">
        <v>-2361.84</v>
      </c>
      <c r="I2798" t="s">
        <v>1026</v>
      </c>
    </row>
    <row r="2799" spans="1:9" x14ac:dyDescent="0.35">
      <c r="A2799" s="2">
        <v>45535</v>
      </c>
      <c r="B2799">
        <v>90</v>
      </c>
      <c r="C2799">
        <v>2121001</v>
      </c>
      <c r="D2799" t="s">
        <v>27</v>
      </c>
      <c r="E2799" t="s">
        <v>79</v>
      </c>
      <c r="F2799" s="3">
        <v>0</v>
      </c>
      <c r="G2799" s="3">
        <v>377.89</v>
      </c>
      <c r="H2799" s="3">
        <v>-377.89</v>
      </c>
      <c r="I2799" t="s">
        <v>1026</v>
      </c>
    </row>
    <row r="2800" spans="1:9" x14ac:dyDescent="0.35">
      <c r="A2800" s="2">
        <v>45535</v>
      </c>
      <c r="B2800">
        <v>90</v>
      </c>
      <c r="C2800">
        <v>1111001</v>
      </c>
      <c r="D2800" t="s">
        <v>16</v>
      </c>
      <c r="E2800" t="s">
        <v>79</v>
      </c>
      <c r="F2800" s="3">
        <v>2739.73</v>
      </c>
      <c r="G2800" s="3">
        <v>0</v>
      </c>
      <c r="H2800" s="3">
        <v>2739.73</v>
      </c>
      <c r="I2800" t="s">
        <v>1026</v>
      </c>
    </row>
    <row r="2801" spans="1:9" x14ac:dyDescent="0.35">
      <c r="A2801" s="2">
        <v>45535</v>
      </c>
      <c r="B2801">
        <v>90</v>
      </c>
      <c r="C2801">
        <v>2121001</v>
      </c>
      <c r="D2801" t="s">
        <v>27</v>
      </c>
      <c r="E2801" t="s">
        <v>742</v>
      </c>
      <c r="F2801" s="3">
        <v>18009.36</v>
      </c>
      <c r="G2801" s="3">
        <v>0</v>
      </c>
      <c r="H2801" s="3">
        <v>18009.36</v>
      </c>
      <c r="I2801" t="s">
        <v>544</v>
      </c>
    </row>
    <row r="2802" spans="1:9" x14ac:dyDescent="0.35">
      <c r="A2802" s="2">
        <v>45535</v>
      </c>
      <c r="B2802">
        <v>90</v>
      </c>
      <c r="C2802">
        <v>1141002</v>
      </c>
      <c r="D2802" t="s">
        <v>23</v>
      </c>
      <c r="E2802" t="s">
        <v>742</v>
      </c>
      <c r="F2802" s="3">
        <v>0</v>
      </c>
      <c r="G2802" s="3">
        <v>4204.97</v>
      </c>
      <c r="H2802" s="3">
        <v>-4204.97</v>
      </c>
      <c r="I2802" t="s">
        <v>544</v>
      </c>
    </row>
    <row r="2803" spans="1:9" x14ac:dyDescent="0.35">
      <c r="A2803" s="2">
        <v>45535</v>
      </c>
      <c r="B2803">
        <v>90</v>
      </c>
      <c r="C2803">
        <v>2121003</v>
      </c>
      <c r="D2803" t="s">
        <v>28</v>
      </c>
      <c r="E2803" t="s">
        <v>742</v>
      </c>
      <c r="F2803" s="3">
        <v>0</v>
      </c>
      <c r="G2803" s="3">
        <v>13804.39</v>
      </c>
      <c r="H2803" s="3">
        <v>-13804.39</v>
      </c>
      <c r="I2803" t="s">
        <v>544</v>
      </c>
    </row>
    <row r="2804" spans="1:9" x14ac:dyDescent="0.35">
      <c r="A2804" s="2">
        <v>45535</v>
      </c>
      <c r="B2804">
        <v>90</v>
      </c>
      <c r="C2804">
        <v>1142004</v>
      </c>
      <c r="D2804" t="s">
        <v>83</v>
      </c>
      <c r="E2804" t="s">
        <v>502</v>
      </c>
      <c r="F2804" s="3">
        <v>1125.5899999999999</v>
      </c>
      <c r="G2804" s="3">
        <v>0</v>
      </c>
      <c r="H2804" s="3">
        <v>1125.5899999999999</v>
      </c>
      <c r="I2804" t="s">
        <v>503</v>
      </c>
    </row>
    <row r="2805" spans="1:9" x14ac:dyDescent="0.35">
      <c r="A2805" s="2">
        <v>45535</v>
      </c>
      <c r="B2805">
        <v>90</v>
      </c>
      <c r="C2805">
        <v>2124004</v>
      </c>
      <c r="D2805" t="s">
        <v>29</v>
      </c>
      <c r="E2805" t="s">
        <v>502</v>
      </c>
      <c r="F2805" s="3">
        <v>0</v>
      </c>
      <c r="G2805" s="3">
        <v>1125.5899999999999</v>
      </c>
      <c r="H2805" s="3">
        <v>-1125.5899999999999</v>
      </c>
      <c r="I2805" t="s">
        <v>503</v>
      </c>
    </row>
    <row r="2806" spans="1:9" x14ac:dyDescent="0.35">
      <c r="A2806" s="2">
        <v>45535</v>
      </c>
      <c r="B2806">
        <v>90</v>
      </c>
      <c r="C2806">
        <v>5131001</v>
      </c>
      <c r="D2806" t="s">
        <v>86</v>
      </c>
      <c r="E2806" t="s">
        <v>1027</v>
      </c>
      <c r="F2806" s="3">
        <v>520</v>
      </c>
      <c r="G2806" s="3">
        <v>0</v>
      </c>
      <c r="H2806" s="3">
        <v>520</v>
      </c>
      <c r="I2806" t="s">
        <v>477</v>
      </c>
    </row>
    <row r="2807" spans="1:9" x14ac:dyDescent="0.35">
      <c r="A2807" s="2">
        <v>45535</v>
      </c>
      <c r="B2807">
        <v>90</v>
      </c>
      <c r="C2807">
        <v>5131005</v>
      </c>
      <c r="D2807" t="s">
        <v>205</v>
      </c>
      <c r="E2807" t="s">
        <v>1027</v>
      </c>
      <c r="F2807" s="3">
        <v>5860.8</v>
      </c>
      <c r="G2807" s="3">
        <v>0</v>
      </c>
      <c r="H2807" s="3">
        <v>5860.8</v>
      </c>
      <c r="I2807" t="s">
        <v>477</v>
      </c>
    </row>
    <row r="2808" spans="1:9" x14ac:dyDescent="0.35">
      <c r="A2808" s="2">
        <v>45535</v>
      </c>
      <c r="B2808">
        <v>90</v>
      </c>
      <c r="C2808">
        <v>5131008</v>
      </c>
      <c r="D2808" t="s">
        <v>89</v>
      </c>
      <c r="E2808" t="s">
        <v>1027</v>
      </c>
      <c r="F2808" s="3">
        <v>109.2</v>
      </c>
      <c r="G2808" s="3">
        <v>0</v>
      </c>
      <c r="H2808" s="3">
        <v>109.2</v>
      </c>
      <c r="I2808" t="s">
        <v>477</v>
      </c>
    </row>
    <row r="2809" spans="1:9" x14ac:dyDescent="0.35">
      <c r="A2809" s="2">
        <v>45535</v>
      </c>
      <c r="B2809">
        <v>90</v>
      </c>
      <c r="C2809">
        <v>5131009</v>
      </c>
      <c r="D2809" t="s">
        <v>90</v>
      </c>
      <c r="E2809" t="s">
        <v>1027</v>
      </c>
      <c r="F2809" s="3">
        <v>21.67</v>
      </c>
      <c r="G2809" s="3">
        <v>0</v>
      </c>
      <c r="H2809" s="3">
        <v>21.67</v>
      </c>
      <c r="I2809" t="s">
        <v>477</v>
      </c>
    </row>
    <row r="2810" spans="1:9" x14ac:dyDescent="0.35">
      <c r="A2810" s="2">
        <v>45535</v>
      </c>
      <c r="B2810">
        <v>90</v>
      </c>
      <c r="C2810">
        <v>5131010</v>
      </c>
      <c r="D2810" t="s">
        <v>91</v>
      </c>
      <c r="E2810" t="s">
        <v>1027</v>
      </c>
      <c r="F2810" s="3">
        <v>43.33</v>
      </c>
      <c r="G2810" s="3">
        <v>0</v>
      </c>
      <c r="H2810" s="3">
        <v>43.33</v>
      </c>
      <c r="I2810" t="s">
        <v>477</v>
      </c>
    </row>
    <row r="2811" spans="1:9" x14ac:dyDescent="0.35">
      <c r="A2811" s="2">
        <v>45535</v>
      </c>
      <c r="B2811">
        <v>90</v>
      </c>
      <c r="C2811">
        <v>5131012</v>
      </c>
      <c r="D2811" t="s">
        <v>206</v>
      </c>
      <c r="E2811" t="s">
        <v>1027</v>
      </c>
      <c r="F2811" s="3">
        <v>57.2</v>
      </c>
      <c r="G2811" s="3">
        <v>0</v>
      </c>
      <c r="H2811" s="3">
        <v>57.2</v>
      </c>
      <c r="I2811" t="s">
        <v>477</v>
      </c>
    </row>
    <row r="2812" spans="1:9" x14ac:dyDescent="0.35">
      <c r="A2812" s="2">
        <v>45535</v>
      </c>
      <c r="B2812">
        <v>90</v>
      </c>
      <c r="C2812">
        <v>5131013</v>
      </c>
      <c r="D2812" t="s">
        <v>92</v>
      </c>
      <c r="E2812" t="s">
        <v>1027</v>
      </c>
      <c r="F2812" s="3">
        <v>10.4</v>
      </c>
      <c r="G2812" s="3">
        <v>0</v>
      </c>
      <c r="H2812" s="3">
        <v>10.4</v>
      </c>
      <c r="I2812" t="s">
        <v>477</v>
      </c>
    </row>
    <row r="2813" spans="1:9" x14ac:dyDescent="0.35">
      <c r="A2813" s="2">
        <v>45535</v>
      </c>
      <c r="B2813">
        <v>90</v>
      </c>
      <c r="C2813">
        <v>5131014</v>
      </c>
      <c r="D2813" t="s">
        <v>207</v>
      </c>
      <c r="E2813" t="s">
        <v>1027</v>
      </c>
      <c r="F2813" s="3">
        <v>10.4</v>
      </c>
      <c r="G2813" s="3">
        <v>0</v>
      </c>
      <c r="H2813" s="3">
        <v>10.4</v>
      </c>
      <c r="I2813" t="s">
        <v>477</v>
      </c>
    </row>
    <row r="2814" spans="1:9" x14ac:dyDescent="0.35">
      <c r="A2814" s="2">
        <v>45535</v>
      </c>
      <c r="B2814">
        <v>90</v>
      </c>
      <c r="C2814">
        <v>2131002</v>
      </c>
      <c r="D2814" t="s">
        <v>31</v>
      </c>
      <c r="E2814" t="s">
        <v>1027</v>
      </c>
      <c r="F2814" s="3">
        <v>0</v>
      </c>
      <c r="G2814" s="3">
        <v>20.8</v>
      </c>
      <c r="H2814" s="3">
        <v>-20.8</v>
      </c>
      <c r="I2814" t="s">
        <v>477</v>
      </c>
    </row>
    <row r="2815" spans="1:9" x14ac:dyDescent="0.35">
      <c r="A2815" s="2">
        <v>45535</v>
      </c>
      <c r="B2815">
        <v>90</v>
      </c>
      <c r="C2815">
        <v>2131003</v>
      </c>
      <c r="D2815" t="s">
        <v>32</v>
      </c>
      <c r="E2815" t="s">
        <v>1027</v>
      </c>
      <c r="F2815" s="3">
        <v>0</v>
      </c>
      <c r="G2815" s="3">
        <v>2.6</v>
      </c>
      <c r="H2815" s="3">
        <v>-2.6</v>
      </c>
      <c r="I2815" t="s">
        <v>477</v>
      </c>
    </row>
    <row r="2816" spans="1:9" x14ac:dyDescent="0.35">
      <c r="A2816" s="2">
        <v>45535</v>
      </c>
      <c r="B2816">
        <v>90</v>
      </c>
      <c r="C2816">
        <v>2131004</v>
      </c>
      <c r="D2816" t="s">
        <v>33</v>
      </c>
      <c r="E2816" t="s">
        <v>1027</v>
      </c>
      <c r="F2816" s="3">
        <v>0</v>
      </c>
      <c r="G2816" s="3">
        <v>5.2</v>
      </c>
      <c r="H2816" s="3">
        <v>-5.2</v>
      </c>
      <c r="I2816" t="s">
        <v>477</v>
      </c>
    </row>
    <row r="2817" spans="1:9" x14ac:dyDescent="0.35">
      <c r="A2817" s="2">
        <v>45535</v>
      </c>
      <c r="B2817">
        <v>90</v>
      </c>
      <c r="C2817">
        <v>2141001</v>
      </c>
      <c r="D2817" t="s">
        <v>35</v>
      </c>
      <c r="E2817" t="s">
        <v>1027</v>
      </c>
      <c r="F2817" s="3">
        <v>0</v>
      </c>
      <c r="G2817" s="3">
        <v>57.2</v>
      </c>
      <c r="H2817" s="3">
        <v>-57.2</v>
      </c>
      <c r="I2817" t="s">
        <v>477</v>
      </c>
    </row>
    <row r="2818" spans="1:9" x14ac:dyDescent="0.35">
      <c r="A2818" s="2">
        <v>45535</v>
      </c>
      <c r="B2818">
        <v>90</v>
      </c>
      <c r="C2818">
        <v>2141002</v>
      </c>
      <c r="D2818" t="s">
        <v>36</v>
      </c>
      <c r="E2818" t="s">
        <v>1027</v>
      </c>
      <c r="F2818" s="3">
        <v>0</v>
      </c>
      <c r="G2818" s="3">
        <v>10.4</v>
      </c>
      <c r="H2818" s="3">
        <v>-10.4</v>
      </c>
      <c r="I2818" t="s">
        <v>477</v>
      </c>
    </row>
    <row r="2819" spans="1:9" x14ac:dyDescent="0.35">
      <c r="A2819" s="2">
        <v>45535</v>
      </c>
      <c r="B2819">
        <v>90</v>
      </c>
      <c r="C2819">
        <v>2141003</v>
      </c>
      <c r="D2819" t="s">
        <v>37</v>
      </c>
      <c r="E2819" t="s">
        <v>1027</v>
      </c>
      <c r="F2819" s="3">
        <v>0</v>
      </c>
      <c r="G2819" s="3">
        <v>10.4</v>
      </c>
      <c r="H2819" s="3">
        <v>-10.4</v>
      </c>
      <c r="I2819" t="s">
        <v>477</v>
      </c>
    </row>
    <row r="2820" spans="1:9" x14ac:dyDescent="0.35">
      <c r="A2820" s="2">
        <v>45535</v>
      </c>
      <c r="B2820">
        <v>90</v>
      </c>
      <c r="C2820">
        <v>2161004</v>
      </c>
      <c r="D2820" t="s">
        <v>38</v>
      </c>
      <c r="E2820" t="s">
        <v>1027</v>
      </c>
      <c r="F2820" s="3">
        <v>0</v>
      </c>
      <c r="G2820" s="3">
        <v>21.67</v>
      </c>
      <c r="H2820" s="3">
        <v>-21.67</v>
      </c>
      <c r="I2820" t="s">
        <v>477</v>
      </c>
    </row>
    <row r="2821" spans="1:9" x14ac:dyDescent="0.35">
      <c r="A2821" s="2">
        <v>45535</v>
      </c>
      <c r="B2821">
        <v>90</v>
      </c>
      <c r="C2821">
        <v>2161005</v>
      </c>
      <c r="D2821" t="s">
        <v>39</v>
      </c>
      <c r="E2821" t="s">
        <v>1027</v>
      </c>
      <c r="F2821" s="3">
        <v>0</v>
      </c>
      <c r="G2821" s="3">
        <v>43.33</v>
      </c>
      <c r="H2821" s="3">
        <v>-43.33</v>
      </c>
      <c r="I2821" t="s">
        <v>477</v>
      </c>
    </row>
    <row r="2822" spans="1:9" x14ac:dyDescent="0.35">
      <c r="A2822" s="2">
        <v>45535</v>
      </c>
      <c r="B2822">
        <v>90</v>
      </c>
      <c r="C2822">
        <v>2241001</v>
      </c>
      <c r="D2822" t="s">
        <v>40</v>
      </c>
      <c r="E2822" t="s">
        <v>1027</v>
      </c>
      <c r="F2822" s="3">
        <v>0</v>
      </c>
      <c r="G2822" s="3">
        <v>109.2</v>
      </c>
      <c r="H2822" s="3">
        <v>-109.2</v>
      </c>
      <c r="I2822" t="s">
        <v>477</v>
      </c>
    </row>
    <row r="2823" spans="1:9" x14ac:dyDescent="0.35">
      <c r="A2823" s="2">
        <v>45535</v>
      </c>
      <c r="B2823">
        <v>90</v>
      </c>
      <c r="C2823">
        <v>2161001</v>
      </c>
      <c r="D2823" t="s">
        <v>93</v>
      </c>
      <c r="E2823" t="s">
        <v>1027</v>
      </c>
      <c r="F2823" s="3">
        <v>0</v>
      </c>
      <c r="G2823" s="3">
        <v>6352.2</v>
      </c>
      <c r="H2823" s="3">
        <v>-6352.2</v>
      </c>
      <c r="I2823" t="s">
        <v>477</v>
      </c>
    </row>
    <row r="2824" spans="1:9" x14ac:dyDescent="0.35">
      <c r="A2824" s="2">
        <v>45535</v>
      </c>
      <c r="B2824">
        <v>90</v>
      </c>
      <c r="C2824">
        <v>6121023</v>
      </c>
      <c r="D2824" t="s">
        <v>49</v>
      </c>
      <c r="E2824" t="s">
        <v>1028</v>
      </c>
      <c r="F2824" s="3">
        <v>1457</v>
      </c>
      <c r="G2824" s="3">
        <v>0</v>
      </c>
      <c r="H2824" s="3">
        <v>1457</v>
      </c>
      <c r="I2824" t="s">
        <v>144</v>
      </c>
    </row>
    <row r="2825" spans="1:9" x14ac:dyDescent="0.35">
      <c r="A2825" s="2">
        <v>45535</v>
      </c>
      <c r="B2825">
        <v>90</v>
      </c>
      <c r="C2825">
        <v>2114010</v>
      </c>
      <c r="D2825" t="s">
        <v>48</v>
      </c>
      <c r="E2825" t="s">
        <v>1028</v>
      </c>
      <c r="F2825" s="3">
        <v>0</v>
      </c>
      <c r="G2825" s="3">
        <v>1457</v>
      </c>
      <c r="H2825" s="3">
        <v>-1457</v>
      </c>
      <c r="I2825" t="s">
        <v>144</v>
      </c>
    </row>
    <row r="2826" spans="1:9" x14ac:dyDescent="0.35">
      <c r="A2826" s="2">
        <v>45535</v>
      </c>
      <c r="B2826">
        <v>90</v>
      </c>
      <c r="C2826">
        <v>2114001</v>
      </c>
      <c r="D2826" t="s">
        <v>97</v>
      </c>
      <c r="E2826" t="s">
        <v>213</v>
      </c>
      <c r="F2826" s="3">
        <v>2300</v>
      </c>
      <c r="G2826" s="3">
        <v>0</v>
      </c>
      <c r="H2826" s="3">
        <v>2300</v>
      </c>
      <c r="I2826" t="s">
        <v>472</v>
      </c>
    </row>
    <row r="2827" spans="1:9" x14ac:dyDescent="0.35">
      <c r="A2827" s="2">
        <v>45535</v>
      </c>
      <c r="B2827">
        <v>90</v>
      </c>
      <c r="C2827">
        <v>6121040</v>
      </c>
      <c r="D2827" t="s">
        <v>98</v>
      </c>
      <c r="E2827" t="s">
        <v>99</v>
      </c>
      <c r="F2827" s="3">
        <v>936.4</v>
      </c>
      <c r="G2827" s="3">
        <v>0</v>
      </c>
      <c r="H2827" s="3">
        <v>936.4</v>
      </c>
      <c r="I2827" t="s">
        <v>472</v>
      </c>
    </row>
    <row r="2828" spans="1:9" x14ac:dyDescent="0.35">
      <c r="A2828" s="2">
        <v>45535</v>
      </c>
      <c r="B2828">
        <v>90</v>
      </c>
      <c r="C2828">
        <v>2161001</v>
      </c>
      <c r="D2828" t="s">
        <v>93</v>
      </c>
      <c r="E2828" t="s">
        <v>939</v>
      </c>
      <c r="F2828" s="3">
        <v>1595.2</v>
      </c>
      <c r="G2828" s="3">
        <v>0</v>
      </c>
      <c r="H2828" s="3">
        <v>1595.2</v>
      </c>
      <c r="I2828" t="s">
        <v>472</v>
      </c>
    </row>
    <row r="2829" spans="1:9" x14ac:dyDescent="0.35">
      <c r="A2829" s="2">
        <v>45535</v>
      </c>
      <c r="B2829">
        <v>90</v>
      </c>
      <c r="C2829">
        <v>2161001</v>
      </c>
      <c r="D2829" t="s">
        <v>93</v>
      </c>
      <c r="E2829" t="s">
        <v>1801</v>
      </c>
      <c r="F2829" s="3">
        <v>1588.5</v>
      </c>
      <c r="G2829" s="3">
        <v>0</v>
      </c>
      <c r="H2829" s="3">
        <v>1588.5</v>
      </c>
      <c r="I2829" t="s">
        <v>472</v>
      </c>
    </row>
    <row r="2830" spans="1:9" x14ac:dyDescent="0.35">
      <c r="A2830" s="2">
        <v>45535</v>
      </c>
      <c r="B2830">
        <v>90</v>
      </c>
      <c r="C2830">
        <v>2122003</v>
      </c>
      <c r="D2830" t="s">
        <v>308</v>
      </c>
      <c r="E2830" t="s">
        <v>548</v>
      </c>
      <c r="F2830" s="3">
        <v>129.47999999999999</v>
      </c>
      <c r="G2830" s="3">
        <v>0</v>
      </c>
      <c r="H2830" s="3">
        <v>129.47999999999999</v>
      </c>
      <c r="I2830" t="s">
        <v>472</v>
      </c>
    </row>
    <row r="2831" spans="1:9" x14ac:dyDescent="0.35">
      <c r="A2831" s="2">
        <v>45535</v>
      </c>
      <c r="B2831">
        <v>90</v>
      </c>
      <c r="C2831">
        <v>2124007</v>
      </c>
      <c r="D2831" t="s">
        <v>30</v>
      </c>
      <c r="E2831" t="s">
        <v>214</v>
      </c>
      <c r="F2831" s="3">
        <v>308.39</v>
      </c>
      <c r="G2831" s="3">
        <v>0</v>
      </c>
      <c r="H2831" s="3">
        <v>308.39</v>
      </c>
      <c r="I2831" t="s">
        <v>472</v>
      </c>
    </row>
    <row r="2832" spans="1:9" x14ac:dyDescent="0.35">
      <c r="A2832" s="2">
        <v>45535</v>
      </c>
      <c r="B2832">
        <v>90</v>
      </c>
      <c r="C2832">
        <v>2124004</v>
      </c>
      <c r="D2832" t="s">
        <v>29</v>
      </c>
      <c r="E2832" t="s">
        <v>119</v>
      </c>
      <c r="F2832" s="3">
        <v>1442.58</v>
      </c>
      <c r="G2832" s="3">
        <v>0</v>
      </c>
      <c r="H2832" s="3">
        <v>1442.58</v>
      </c>
      <c r="I2832" t="s">
        <v>472</v>
      </c>
    </row>
    <row r="2833" spans="1:9" x14ac:dyDescent="0.35">
      <c r="A2833" s="2">
        <v>45535</v>
      </c>
      <c r="B2833">
        <v>90</v>
      </c>
      <c r="C2833">
        <v>2124010</v>
      </c>
      <c r="D2833" t="s">
        <v>769</v>
      </c>
      <c r="E2833" t="s">
        <v>858</v>
      </c>
      <c r="F2833" s="3">
        <v>3080.26</v>
      </c>
      <c r="G2833" s="3">
        <v>0</v>
      </c>
      <c r="H2833" s="3">
        <v>3080.26</v>
      </c>
      <c r="I2833" t="s">
        <v>472</v>
      </c>
    </row>
    <row r="2834" spans="1:9" x14ac:dyDescent="0.35">
      <c r="A2834" s="2">
        <v>45535</v>
      </c>
      <c r="B2834">
        <v>90</v>
      </c>
      <c r="C2834">
        <v>5132010</v>
      </c>
      <c r="D2834" t="s">
        <v>211</v>
      </c>
      <c r="E2834" t="s">
        <v>1029</v>
      </c>
      <c r="F2834" s="3">
        <v>5880</v>
      </c>
      <c r="G2834" s="3">
        <v>0</v>
      </c>
      <c r="H2834" s="3">
        <v>5880</v>
      </c>
      <c r="I2834" t="s">
        <v>472</v>
      </c>
    </row>
    <row r="2835" spans="1:9" x14ac:dyDescent="0.35">
      <c r="A2835" s="2">
        <v>45535</v>
      </c>
      <c r="B2835">
        <v>90</v>
      </c>
      <c r="C2835">
        <v>5131016</v>
      </c>
      <c r="D2835" t="s">
        <v>238</v>
      </c>
      <c r="E2835" t="s">
        <v>1030</v>
      </c>
      <c r="F2835" s="3">
        <v>2862</v>
      </c>
      <c r="G2835" s="3">
        <v>0</v>
      </c>
      <c r="H2835" s="3">
        <v>2862</v>
      </c>
      <c r="I2835" t="s">
        <v>472</v>
      </c>
    </row>
    <row r="2836" spans="1:9" x14ac:dyDescent="0.35">
      <c r="A2836" s="2">
        <v>45535</v>
      </c>
      <c r="B2836">
        <v>90</v>
      </c>
      <c r="C2836">
        <v>5132010</v>
      </c>
      <c r="D2836" t="s">
        <v>211</v>
      </c>
      <c r="E2836" t="s">
        <v>1031</v>
      </c>
      <c r="F2836" s="3">
        <v>420</v>
      </c>
      <c r="G2836" s="3">
        <v>0</v>
      </c>
      <c r="H2836" s="3">
        <v>420</v>
      </c>
      <c r="I2836" t="s">
        <v>472</v>
      </c>
    </row>
    <row r="2837" spans="1:9" x14ac:dyDescent="0.35">
      <c r="A2837" s="2">
        <v>45535</v>
      </c>
      <c r="B2837">
        <v>90</v>
      </c>
      <c r="C2837">
        <v>2121003</v>
      </c>
      <c r="D2837" t="s">
        <v>28</v>
      </c>
      <c r="E2837" t="s">
        <v>297</v>
      </c>
      <c r="F2837" s="3">
        <v>22234.98</v>
      </c>
      <c r="G2837" s="3">
        <v>0</v>
      </c>
      <c r="H2837" s="3">
        <v>22234.98</v>
      </c>
      <c r="I2837" t="s">
        <v>472</v>
      </c>
    </row>
    <row r="2838" spans="1:9" x14ac:dyDescent="0.35">
      <c r="A2838" s="2">
        <v>45535</v>
      </c>
      <c r="B2838">
        <v>90</v>
      </c>
      <c r="C2838">
        <v>2124009</v>
      </c>
      <c r="D2838" t="s">
        <v>154</v>
      </c>
      <c r="E2838" t="s">
        <v>296</v>
      </c>
      <c r="F2838" s="3">
        <v>795.59</v>
      </c>
      <c r="G2838" s="3">
        <v>0</v>
      </c>
      <c r="H2838" s="3">
        <v>795.59</v>
      </c>
      <c r="I2838" t="s">
        <v>472</v>
      </c>
    </row>
    <row r="2839" spans="1:9" x14ac:dyDescent="0.35">
      <c r="A2839" s="2">
        <v>45535</v>
      </c>
      <c r="B2839">
        <v>90</v>
      </c>
      <c r="C2839">
        <v>2114001</v>
      </c>
      <c r="D2839" t="s">
        <v>97</v>
      </c>
      <c r="E2839" t="s">
        <v>1768</v>
      </c>
      <c r="F2839" s="3">
        <v>1000</v>
      </c>
      <c r="G2839" s="3">
        <v>0</v>
      </c>
      <c r="H2839" s="3">
        <v>1000</v>
      </c>
      <c r="I2839" t="s">
        <v>472</v>
      </c>
    </row>
    <row r="2840" spans="1:9" x14ac:dyDescent="0.35">
      <c r="A2840" s="2">
        <v>45535</v>
      </c>
      <c r="B2840">
        <v>90</v>
      </c>
      <c r="C2840">
        <v>2161001</v>
      </c>
      <c r="D2840" t="s">
        <v>93</v>
      </c>
      <c r="E2840" t="s">
        <v>1771</v>
      </c>
      <c r="F2840" s="3">
        <v>3660</v>
      </c>
      <c r="G2840" s="3">
        <v>0</v>
      </c>
      <c r="H2840" s="3">
        <v>3660</v>
      </c>
      <c r="I2840" t="s">
        <v>472</v>
      </c>
    </row>
    <row r="2841" spans="1:9" x14ac:dyDescent="0.35">
      <c r="A2841" s="2">
        <v>45535</v>
      </c>
      <c r="B2841">
        <v>90</v>
      </c>
      <c r="C2841">
        <v>2161001</v>
      </c>
      <c r="D2841" t="s">
        <v>93</v>
      </c>
      <c r="E2841" t="s">
        <v>1801</v>
      </c>
      <c r="F2841" s="3">
        <v>730.8</v>
      </c>
      <c r="G2841" s="3">
        <v>0</v>
      </c>
      <c r="H2841" s="3">
        <v>730.8</v>
      </c>
      <c r="I2841" t="s">
        <v>472</v>
      </c>
    </row>
    <row r="2842" spans="1:9" x14ac:dyDescent="0.35">
      <c r="A2842" s="2">
        <v>45535</v>
      </c>
      <c r="B2842">
        <v>90</v>
      </c>
      <c r="C2842">
        <v>2114001</v>
      </c>
      <c r="D2842" t="s">
        <v>97</v>
      </c>
      <c r="E2842" t="s">
        <v>619</v>
      </c>
      <c r="F2842" s="3">
        <v>1700</v>
      </c>
      <c r="G2842" s="3">
        <v>0</v>
      </c>
      <c r="H2842" s="3">
        <v>1700</v>
      </c>
      <c r="I2842" t="s">
        <v>472</v>
      </c>
    </row>
    <row r="2843" spans="1:9" x14ac:dyDescent="0.35">
      <c r="A2843" s="2">
        <v>45535</v>
      </c>
      <c r="B2843">
        <v>90</v>
      </c>
      <c r="C2843">
        <v>2114001</v>
      </c>
      <c r="D2843" t="s">
        <v>97</v>
      </c>
      <c r="E2843" t="s">
        <v>132</v>
      </c>
      <c r="F2843" s="3">
        <v>20000</v>
      </c>
      <c r="G2843" s="3">
        <v>0</v>
      </c>
      <c r="H2843" s="3">
        <v>20000</v>
      </c>
      <c r="I2843" t="s">
        <v>472</v>
      </c>
    </row>
    <row r="2844" spans="1:9" x14ac:dyDescent="0.35">
      <c r="A2844" s="2">
        <v>45535</v>
      </c>
      <c r="B2844">
        <v>90</v>
      </c>
      <c r="C2844">
        <v>2161001</v>
      </c>
      <c r="D2844" t="s">
        <v>93</v>
      </c>
      <c r="E2844" t="s">
        <v>1801</v>
      </c>
      <c r="F2844" s="3">
        <v>794.25</v>
      </c>
      <c r="G2844" s="3">
        <v>0</v>
      </c>
      <c r="H2844" s="3">
        <v>794.25</v>
      </c>
      <c r="I2844" t="s">
        <v>472</v>
      </c>
    </row>
    <row r="2845" spans="1:9" x14ac:dyDescent="0.35">
      <c r="A2845" s="2">
        <v>45535</v>
      </c>
      <c r="B2845">
        <v>90</v>
      </c>
      <c r="C2845">
        <v>2161001</v>
      </c>
      <c r="D2845" t="s">
        <v>93</v>
      </c>
      <c r="E2845" t="s">
        <v>1801</v>
      </c>
      <c r="F2845" s="3">
        <v>794.25</v>
      </c>
      <c r="G2845" s="3">
        <v>0</v>
      </c>
      <c r="H2845" s="3">
        <v>794.25</v>
      </c>
      <c r="I2845" t="s">
        <v>472</v>
      </c>
    </row>
    <row r="2846" spans="1:9" x14ac:dyDescent="0.35">
      <c r="A2846" s="2">
        <v>45535</v>
      </c>
      <c r="B2846">
        <v>90</v>
      </c>
      <c r="C2846">
        <v>1112003</v>
      </c>
      <c r="D2846" t="s">
        <v>22</v>
      </c>
      <c r="E2846" t="s">
        <v>758</v>
      </c>
      <c r="F2846" s="3">
        <v>0</v>
      </c>
      <c r="G2846" s="3">
        <v>72252.679999999993</v>
      </c>
      <c r="H2846" s="3">
        <v>-72252.679999999993</v>
      </c>
      <c r="I2846" t="s">
        <v>472</v>
      </c>
    </row>
    <row r="2847" spans="1:9" x14ac:dyDescent="0.35">
      <c r="A2847" s="2">
        <v>45535</v>
      </c>
      <c r="B2847">
        <v>90</v>
      </c>
      <c r="C2847">
        <v>1112003</v>
      </c>
      <c r="D2847" t="s">
        <v>22</v>
      </c>
      <c r="E2847" t="s">
        <v>744</v>
      </c>
      <c r="F2847" s="3">
        <v>73017.37</v>
      </c>
      <c r="G2847" s="3">
        <v>0</v>
      </c>
      <c r="H2847" s="3">
        <v>73017.37</v>
      </c>
      <c r="I2847" t="s">
        <v>472</v>
      </c>
    </row>
    <row r="2848" spans="1:9" x14ac:dyDescent="0.35">
      <c r="A2848" s="2">
        <v>45535</v>
      </c>
      <c r="B2848">
        <v>90</v>
      </c>
      <c r="C2848">
        <v>1111001</v>
      </c>
      <c r="D2848" t="s">
        <v>16</v>
      </c>
      <c r="E2848" t="s">
        <v>139</v>
      </c>
      <c r="F2848" s="3">
        <v>0</v>
      </c>
      <c r="G2848" s="3">
        <v>15734.87</v>
      </c>
      <c r="H2848" s="3">
        <v>-15734.87</v>
      </c>
      <c r="I2848" t="s">
        <v>472</v>
      </c>
    </row>
    <row r="2849" spans="1:9" x14ac:dyDescent="0.35">
      <c r="A2849" s="2">
        <v>45535</v>
      </c>
      <c r="B2849">
        <v>90</v>
      </c>
      <c r="C2849">
        <v>1111001</v>
      </c>
      <c r="D2849" t="s">
        <v>16</v>
      </c>
      <c r="E2849" t="s">
        <v>299</v>
      </c>
      <c r="F2849" s="3">
        <v>0</v>
      </c>
      <c r="G2849" s="3">
        <v>560</v>
      </c>
      <c r="H2849" s="3">
        <v>-560</v>
      </c>
      <c r="I2849" t="s">
        <v>472</v>
      </c>
    </row>
    <row r="2850" spans="1:9" x14ac:dyDescent="0.35">
      <c r="A2850" s="2">
        <v>45535</v>
      </c>
      <c r="B2850">
        <v>90</v>
      </c>
      <c r="C2850">
        <v>1111001</v>
      </c>
      <c r="D2850" t="s">
        <v>16</v>
      </c>
      <c r="E2850" t="s">
        <v>300</v>
      </c>
      <c r="F2850" s="3">
        <v>0</v>
      </c>
      <c r="G2850" s="3">
        <v>1800</v>
      </c>
      <c r="H2850" s="3">
        <v>-1800</v>
      </c>
      <c r="I2850" t="s">
        <v>472</v>
      </c>
    </row>
    <row r="2851" spans="1:9" x14ac:dyDescent="0.35">
      <c r="A2851" s="2">
        <v>45535</v>
      </c>
      <c r="B2851">
        <v>90</v>
      </c>
      <c r="C2851">
        <v>1111001</v>
      </c>
      <c r="D2851" t="s">
        <v>16</v>
      </c>
      <c r="E2851" t="s">
        <v>111</v>
      </c>
      <c r="F2851" s="3">
        <v>0</v>
      </c>
      <c r="G2851" s="3">
        <v>40300</v>
      </c>
      <c r="H2851" s="3">
        <v>-40300</v>
      </c>
      <c r="I2851" t="s">
        <v>472</v>
      </c>
    </row>
    <row r="2852" spans="1:9" x14ac:dyDescent="0.35">
      <c r="A2852" s="2">
        <v>45535</v>
      </c>
      <c r="B2852">
        <v>90</v>
      </c>
      <c r="C2852">
        <v>1111001</v>
      </c>
      <c r="D2852" t="s">
        <v>16</v>
      </c>
      <c r="E2852" t="s">
        <v>1032</v>
      </c>
      <c r="F2852" s="3">
        <v>0</v>
      </c>
      <c r="G2852" s="3">
        <v>6422.5</v>
      </c>
      <c r="H2852" s="3">
        <v>-6422.5</v>
      </c>
      <c r="I2852" t="s">
        <v>472</v>
      </c>
    </row>
    <row r="2853" spans="1:9" x14ac:dyDescent="0.35">
      <c r="A2853" s="2">
        <v>45535</v>
      </c>
      <c r="B2853">
        <v>90</v>
      </c>
      <c r="C2853">
        <v>1111001</v>
      </c>
      <c r="D2853" t="s">
        <v>16</v>
      </c>
      <c r="E2853" t="s">
        <v>615</v>
      </c>
      <c r="F2853" s="3">
        <v>0</v>
      </c>
      <c r="G2853" s="3">
        <v>3000</v>
      </c>
      <c r="H2853" s="3">
        <v>-3000</v>
      </c>
      <c r="I2853" t="s">
        <v>472</v>
      </c>
    </row>
    <row r="2854" spans="1:9" x14ac:dyDescent="0.35">
      <c r="A2854" s="2">
        <v>45535</v>
      </c>
      <c r="B2854">
        <v>90</v>
      </c>
      <c r="C2854">
        <v>1111001</v>
      </c>
      <c r="D2854" t="s">
        <v>16</v>
      </c>
      <c r="E2854" t="s">
        <v>937</v>
      </c>
      <c r="F2854" s="3">
        <v>0</v>
      </c>
      <c r="G2854" s="3">
        <v>5200</v>
      </c>
      <c r="H2854" s="3">
        <v>-5200</v>
      </c>
      <c r="I2854" t="s">
        <v>472</v>
      </c>
    </row>
    <row r="2855" spans="1:9" x14ac:dyDescent="0.35">
      <c r="A2855" s="2">
        <v>45535</v>
      </c>
      <c r="B2855">
        <v>90</v>
      </c>
      <c r="C2855">
        <v>6121040</v>
      </c>
      <c r="D2855" t="s">
        <v>98</v>
      </c>
      <c r="E2855" t="s">
        <v>99</v>
      </c>
      <c r="F2855" s="3">
        <v>118.63</v>
      </c>
      <c r="G2855" s="3">
        <v>0</v>
      </c>
      <c r="H2855" s="3">
        <v>118.63</v>
      </c>
      <c r="I2855" t="s">
        <v>480</v>
      </c>
    </row>
    <row r="2856" spans="1:9" x14ac:dyDescent="0.35">
      <c r="A2856" s="2">
        <v>45535</v>
      </c>
      <c r="B2856">
        <v>90</v>
      </c>
      <c r="C2856">
        <v>2114001</v>
      </c>
      <c r="D2856" t="s">
        <v>97</v>
      </c>
      <c r="E2856" t="s">
        <v>1768</v>
      </c>
      <c r="F2856" s="3">
        <v>8150</v>
      </c>
      <c r="G2856" s="3">
        <v>0</v>
      </c>
      <c r="H2856" s="3">
        <v>8150</v>
      </c>
      <c r="I2856" t="s">
        <v>480</v>
      </c>
    </row>
    <row r="2857" spans="1:9" x14ac:dyDescent="0.35">
      <c r="A2857" s="2">
        <v>45535</v>
      </c>
      <c r="B2857">
        <v>90</v>
      </c>
      <c r="C2857">
        <v>2114001</v>
      </c>
      <c r="D2857" t="s">
        <v>97</v>
      </c>
      <c r="E2857" t="s">
        <v>1033</v>
      </c>
      <c r="F2857" s="3">
        <v>184.73</v>
      </c>
      <c r="G2857" s="3">
        <v>0</v>
      </c>
      <c r="H2857" s="3">
        <v>184.73</v>
      </c>
      <c r="I2857" t="s">
        <v>480</v>
      </c>
    </row>
    <row r="2858" spans="1:9" x14ac:dyDescent="0.35">
      <c r="A2858" s="2">
        <v>45535</v>
      </c>
      <c r="B2858">
        <v>90</v>
      </c>
      <c r="C2858">
        <v>6121019</v>
      </c>
      <c r="D2858" t="s">
        <v>100</v>
      </c>
      <c r="E2858" t="s">
        <v>1034</v>
      </c>
      <c r="F2858" s="3">
        <v>477.68</v>
      </c>
      <c r="G2858" s="3">
        <v>0</v>
      </c>
      <c r="H2858" s="3">
        <v>477.68</v>
      </c>
      <c r="I2858" t="s">
        <v>480</v>
      </c>
    </row>
    <row r="2859" spans="1:9" x14ac:dyDescent="0.35">
      <c r="A2859" s="2">
        <v>45535</v>
      </c>
      <c r="B2859">
        <v>90</v>
      </c>
      <c r="C2859">
        <v>6121021</v>
      </c>
      <c r="D2859" t="s">
        <v>102</v>
      </c>
      <c r="E2859" t="s">
        <v>1035</v>
      </c>
      <c r="F2859" s="3">
        <v>1253.21</v>
      </c>
      <c r="G2859" s="3">
        <v>0</v>
      </c>
      <c r="H2859" s="3">
        <v>1253.21</v>
      </c>
      <c r="I2859" t="s">
        <v>480</v>
      </c>
    </row>
    <row r="2860" spans="1:9" x14ac:dyDescent="0.35">
      <c r="A2860" s="2">
        <v>45535</v>
      </c>
      <c r="B2860">
        <v>90</v>
      </c>
      <c r="C2860">
        <v>1112001</v>
      </c>
      <c r="D2860" t="s">
        <v>20</v>
      </c>
      <c r="E2860" t="s">
        <v>758</v>
      </c>
      <c r="F2860" s="3">
        <v>0</v>
      </c>
      <c r="G2860" s="3">
        <v>10184.25</v>
      </c>
      <c r="H2860" s="3">
        <v>-10184.25</v>
      </c>
      <c r="I2860" t="s">
        <v>480</v>
      </c>
    </row>
    <row r="2861" spans="1:9" x14ac:dyDescent="0.35">
      <c r="A2861" s="2">
        <v>45535</v>
      </c>
      <c r="B2861">
        <v>90</v>
      </c>
      <c r="C2861">
        <v>1112001</v>
      </c>
      <c r="D2861" t="s">
        <v>20</v>
      </c>
      <c r="E2861" t="s">
        <v>744</v>
      </c>
      <c r="F2861" s="3">
        <v>10181.02</v>
      </c>
      <c r="G2861" s="3">
        <v>0</v>
      </c>
      <c r="H2861" s="3">
        <v>10181.02</v>
      </c>
      <c r="I2861" t="s">
        <v>480</v>
      </c>
    </row>
    <row r="2862" spans="1:9" x14ac:dyDescent="0.35">
      <c r="A2862" s="2">
        <v>45535</v>
      </c>
      <c r="B2862">
        <v>90</v>
      </c>
      <c r="C2862">
        <v>1111001</v>
      </c>
      <c r="D2862" t="s">
        <v>16</v>
      </c>
      <c r="E2862" t="s">
        <v>1036</v>
      </c>
      <c r="F2862" s="3">
        <v>0</v>
      </c>
      <c r="G2862" s="3">
        <v>2739.75</v>
      </c>
      <c r="H2862" s="3">
        <v>-2739.75</v>
      </c>
      <c r="I2862" t="s">
        <v>480</v>
      </c>
    </row>
    <row r="2863" spans="1:9" x14ac:dyDescent="0.35">
      <c r="A2863" s="2">
        <v>45535</v>
      </c>
      <c r="B2863">
        <v>90</v>
      </c>
      <c r="C2863">
        <v>1111001</v>
      </c>
      <c r="D2863" t="s">
        <v>16</v>
      </c>
      <c r="E2863" t="s">
        <v>112</v>
      </c>
      <c r="F2863" s="3">
        <v>0</v>
      </c>
      <c r="G2863" s="3">
        <v>7441.27</v>
      </c>
      <c r="H2863" s="3">
        <v>-7441.27</v>
      </c>
      <c r="I2863" t="s">
        <v>480</v>
      </c>
    </row>
    <row r="2864" spans="1:9" x14ac:dyDescent="0.35">
      <c r="A2864" s="2">
        <v>45535</v>
      </c>
      <c r="B2864">
        <v>90</v>
      </c>
      <c r="C2864">
        <v>6121040</v>
      </c>
      <c r="D2864" t="s">
        <v>98</v>
      </c>
      <c r="E2864" t="s">
        <v>99</v>
      </c>
      <c r="F2864" s="3">
        <v>2329.5700000000002</v>
      </c>
      <c r="G2864" s="3">
        <v>0</v>
      </c>
      <c r="H2864" s="3">
        <v>2329.5700000000002</v>
      </c>
      <c r="I2864" t="s">
        <v>507</v>
      </c>
    </row>
    <row r="2865" spans="1:9" x14ac:dyDescent="0.35">
      <c r="A2865" s="2">
        <v>45535</v>
      </c>
      <c r="B2865">
        <v>90</v>
      </c>
      <c r="C2865">
        <v>2114001</v>
      </c>
      <c r="D2865" t="s">
        <v>97</v>
      </c>
      <c r="E2865" t="s">
        <v>1768</v>
      </c>
      <c r="F2865" s="3">
        <v>18230.8</v>
      </c>
      <c r="G2865" s="3">
        <v>0</v>
      </c>
      <c r="H2865" s="3">
        <v>18230.8</v>
      </c>
      <c r="I2865" t="s">
        <v>507</v>
      </c>
    </row>
    <row r="2866" spans="1:9" x14ac:dyDescent="0.35">
      <c r="A2866" s="2">
        <v>45535</v>
      </c>
      <c r="B2866">
        <v>90</v>
      </c>
      <c r="C2866">
        <v>1111001</v>
      </c>
      <c r="D2866" t="s">
        <v>16</v>
      </c>
      <c r="E2866" t="s">
        <v>213</v>
      </c>
      <c r="F2866" s="3">
        <v>26600</v>
      </c>
      <c r="G2866" s="3">
        <v>0</v>
      </c>
      <c r="H2866" s="3">
        <v>26600</v>
      </c>
      <c r="I2866" t="s">
        <v>507</v>
      </c>
    </row>
    <row r="2867" spans="1:9" x14ac:dyDescent="0.35">
      <c r="A2867" s="2">
        <v>45535</v>
      </c>
      <c r="B2867">
        <v>90</v>
      </c>
      <c r="C2867">
        <v>1111001</v>
      </c>
      <c r="D2867" t="s">
        <v>16</v>
      </c>
      <c r="E2867" t="s">
        <v>132</v>
      </c>
      <c r="F2867" s="3">
        <v>22200</v>
      </c>
      <c r="G2867" s="3">
        <v>0</v>
      </c>
      <c r="H2867" s="3">
        <v>22200</v>
      </c>
      <c r="I2867" t="s">
        <v>507</v>
      </c>
    </row>
    <row r="2868" spans="1:9" x14ac:dyDescent="0.35">
      <c r="A2868" s="2">
        <v>45535</v>
      </c>
      <c r="B2868">
        <v>90</v>
      </c>
      <c r="C2868">
        <v>2111002</v>
      </c>
      <c r="D2868" t="s">
        <v>424</v>
      </c>
      <c r="E2868" t="s">
        <v>1037</v>
      </c>
      <c r="F2868" s="3">
        <v>6455.19</v>
      </c>
      <c r="G2868" s="3">
        <v>0</v>
      </c>
      <c r="H2868" s="3">
        <v>6455.19</v>
      </c>
      <c r="I2868" t="s">
        <v>507</v>
      </c>
    </row>
    <row r="2869" spans="1:9" x14ac:dyDescent="0.35">
      <c r="A2869" s="2">
        <v>45535</v>
      </c>
      <c r="B2869">
        <v>90</v>
      </c>
      <c r="C2869">
        <v>1112002</v>
      </c>
      <c r="D2869" t="s">
        <v>21</v>
      </c>
      <c r="E2869" t="s">
        <v>758</v>
      </c>
      <c r="F2869" s="3">
        <v>0</v>
      </c>
      <c r="G2869" s="3">
        <v>75815.56</v>
      </c>
      <c r="H2869" s="3">
        <v>-75815.56</v>
      </c>
      <c r="I2869" t="s">
        <v>507</v>
      </c>
    </row>
    <row r="2870" spans="1:9" x14ac:dyDescent="0.35">
      <c r="A2870" s="2">
        <v>45535</v>
      </c>
      <c r="B2870">
        <v>90</v>
      </c>
      <c r="C2870">
        <v>1112002</v>
      </c>
      <c r="D2870" t="s">
        <v>21</v>
      </c>
      <c r="E2870" t="s">
        <v>744</v>
      </c>
      <c r="F2870" s="3">
        <v>75806.12</v>
      </c>
      <c r="G2870" s="3">
        <v>0</v>
      </c>
      <c r="H2870" s="3">
        <v>75806.12</v>
      </c>
      <c r="I2870" t="s">
        <v>507</v>
      </c>
    </row>
    <row r="2871" spans="1:9" x14ac:dyDescent="0.35">
      <c r="A2871" s="2">
        <v>45535</v>
      </c>
      <c r="B2871">
        <v>90</v>
      </c>
      <c r="C2871">
        <v>1111001</v>
      </c>
      <c r="D2871" t="s">
        <v>16</v>
      </c>
      <c r="E2871" t="s">
        <v>1038</v>
      </c>
      <c r="F2871" s="3">
        <v>0</v>
      </c>
      <c r="G2871" s="3">
        <v>1831</v>
      </c>
      <c r="H2871" s="3">
        <v>-1831</v>
      </c>
      <c r="I2871" t="s">
        <v>507</v>
      </c>
    </row>
    <row r="2872" spans="1:9" x14ac:dyDescent="0.35">
      <c r="A2872" s="2">
        <v>45535</v>
      </c>
      <c r="B2872">
        <v>90</v>
      </c>
      <c r="C2872">
        <v>1111001</v>
      </c>
      <c r="D2872" t="s">
        <v>16</v>
      </c>
      <c r="E2872" t="s">
        <v>1039</v>
      </c>
      <c r="F2872" s="3">
        <v>0</v>
      </c>
      <c r="G2872" s="3">
        <v>2751</v>
      </c>
      <c r="H2872" s="3">
        <v>-2751</v>
      </c>
      <c r="I2872" t="s">
        <v>507</v>
      </c>
    </row>
    <row r="2873" spans="1:9" x14ac:dyDescent="0.35">
      <c r="A2873" s="2">
        <v>45535</v>
      </c>
      <c r="B2873">
        <v>90</v>
      </c>
      <c r="C2873">
        <v>4141003</v>
      </c>
      <c r="D2873" t="s">
        <v>141</v>
      </c>
      <c r="E2873" t="s">
        <v>142</v>
      </c>
      <c r="F2873" s="3">
        <v>0</v>
      </c>
      <c r="G2873" s="3">
        <v>133.68</v>
      </c>
      <c r="H2873" s="3">
        <v>-133.68</v>
      </c>
      <c r="I2873" t="s">
        <v>507</v>
      </c>
    </row>
    <row r="2874" spans="1:9" x14ac:dyDescent="0.35">
      <c r="A2874" s="2">
        <v>45535</v>
      </c>
      <c r="B2874">
        <v>90</v>
      </c>
      <c r="C2874">
        <v>1111001</v>
      </c>
      <c r="D2874" t="s">
        <v>16</v>
      </c>
      <c r="E2874" t="s">
        <v>137</v>
      </c>
      <c r="F2874" s="3">
        <v>0</v>
      </c>
      <c r="G2874" s="3">
        <v>71090.44</v>
      </c>
      <c r="H2874" s="3">
        <v>-71090.44</v>
      </c>
      <c r="I2874" t="s">
        <v>507</v>
      </c>
    </row>
    <row r="2875" spans="1:9" x14ac:dyDescent="0.35">
      <c r="A2875" s="2">
        <v>45535</v>
      </c>
      <c r="B2875">
        <v>90</v>
      </c>
      <c r="C2875">
        <v>5131016</v>
      </c>
      <c r="D2875" t="s">
        <v>238</v>
      </c>
      <c r="E2875" t="s">
        <v>1040</v>
      </c>
      <c r="F2875" s="3">
        <v>1095</v>
      </c>
      <c r="G2875" s="3">
        <v>0</v>
      </c>
      <c r="H2875" s="3">
        <v>1095</v>
      </c>
      <c r="I2875" t="s">
        <v>144</v>
      </c>
    </row>
    <row r="2876" spans="1:9" x14ac:dyDescent="0.35">
      <c r="A2876" s="2">
        <v>45535</v>
      </c>
      <c r="B2876">
        <v>90</v>
      </c>
      <c r="C2876">
        <v>2114001</v>
      </c>
      <c r="D2876" t="s">
        <v>97</v>
      </c>
      <c r="E2876" t="s">
        <v>1040</v>
      </c>
      <c r="F2876" s="3">
        <v>0</v>
      </c>
      <c r="G2876" s="3">
        <v>1095</v>
      </c>
      <c r="H2876" s="3">
        <v>-1095</v>
      </c>
      <c r="I2876" t="s">
        <v>144</v>
      </c>
    </row>
    <row r="2877" spans="1:9" x14ac:dyDescent="0.35">
      <c r="A2877" s="2">
        <v>45535</v>
      </c>
      <c r="B2877">
        <v>90</v>
      </c>
      <c r="C2877">
        <v>2114010</v>
      </c>
      <c r="D2877" t="s">
        <v>48</v>
      </c>
      <c r="E2877" t="s">
        <v>1041</v>
      </c>
      <c r="F2877" s="3">
        <v>6001.58</v>
      </c>
      <c r="G2877" s="3">
        <v>0</v>
      </c>
      <c r="H2877" s="3">
        <v>6001.58</v>
      </c>
      <c r="I2877" t="s">
        <v>144</v>
      </c>
    </row>
    <row r="2878" spans="1:9" x14ac:dyDescent="0.35">
      <c r="A2878" s="2">
        <v>45535</v>
      </c>
      <c r="B2878">
        <v>90</v>
      </c>
      <c r="C2878">
        <v>2114001</v>
      </c>
      <c r="D2878" t="s">
        <v>97</v>
      </c>
      <c r="E2878" t="s">
        <v>1041</v>
      </c>
      <c r="F2878" s="3">
        <v>0</v>
      </c>
      <c r="G2878" s="3">
        <v>6001.58</v>
      </c>
      <c r="H2878" s="3">
        <v>-6001.58</v>
      </c>
      <c r="I2878" t="s">
        <v>144</v>
      </c>
    </row>
    <row r="2879" spans="1:9" x14ac:dyDescent="0.35">
      <c r="A2879" s="2">
        <v>45535</v>
      </c>
      <c r="B2879">
        <v>90</v>
      </c>
      <c r="C2879">
        <v>5131015</v>
      </c>
      <c r="D2879" t="s">
        <v>766</v>
      </c>
      <c r="E2879" t="s">
        <v>1042</v>
      </c>
      <c r="F2879" s="3">
        <v>3087.63</v>
      </c>
      <c r="G2879" s="3">
        <v>0</v>
      </c>
      <c r="H2879" s="3">
        <v>3087.63</v>
      </c>
      <c r="I2879" t="s">
        <v>950</v>
      </c>
    </row>
    <row r="2880" spans="1:9" x14ac:dyDescent="0.35">
      <c r="A2880" s="2">
        <v>45535</v>
      </c>
      <c r="B2880">
        <v>90</v>
      </c>
      <c r="C2880">
        <v>2124010</v>
      </c>
      <c r="D2880" t="s">
        <v>769</v>
      </c>
      <c r="E2880" t="s">
        <v>1042</v>
      </c>
      <c r="F2880" s="3">
        <v>0</v>
      </c>
      <c r="G2880" s="3">
        <v>3087.63</v>
      </c>
      <c r="H2880" s="3">
        <v>-3087.63</v>
      </c>
      <c r="I2880" t="s">
        <v>950</v>
      </c>
    </row>
    <row r="2881" spans="1:9" x14ac:dyDescent="0.35">
      <c r="A2881" s="2">
        <v>45535</v>
      </c>
      <c r="B2881">
        <v>90</v>
      </c>
      <c r="C2881">
        <v>2161001</v>
      </c>
      <c r="D2881" t="s">
        <v>93</v>
      </c>
      <c r="E2881" t="s">
        <v>1043</v>
      </c>
      <c r="F2881" s="3">
        <v>1158.6500000000001</v>
      </c>
      <c r="G2881" s="3">
        <v>0</v>
      </c>
      <c r="H2881" s="3">
        <v>1158.6500000000001</v>
      </c>
      <c r="I2881" t="s">
        <v>144</v>
      </c>
    </row>
    <row r="2882" spans="1:9" x14ac:dyDescent="0.35">
      <c r="A2882" s="2">
        <v>45535</v>
      </c>
      <c r="B2882">
        <v>90</v>
      </c>
      <c r="C2882">
        <v>2114001</v>
      </c>
      <c r="D2882" t="s">
        <v>97</v>
      </c>
      <c r="E2882" t="s">
        <v>1043</v>
      </c>
      <c r="F2882" s="3">
        <v>0</v>
      </c>
      <c r="G2882" s="3">
        <v>1158.6500000000001</v>
      </c>
      <c r="H2882" s="3">
        <v>-1158.6500000000001</v>
      </c>
      <c r="I2882" t="s">
        <v>144</v>
      </c>
    </row>
    <row r="2883" spans="1:9" x14ac:dyDescent="0.35">
      <c r="A2883" s="2">
        <v>45550</v>
      </c>
      <c r="B2883">
        <v>91</v>
      </c>
      <c r="C2883">
        <v>6121018</v>
      </c>
      <c r="D2883" t="s">
        <v>150</v>
      </c>
      <c r="E2883" t="s">
        <v>151</v>
      </c>
      <c r="F2883" s="3">
        <v>6757.57</v>
      </c>
      <c r="G2883" s="3">
        <v>0</v>
      </c>
      <c r="H2883" s="3">
        <v>6757.57</v>
      </c>
      <c r="I2883" t="s">
        <v>1044</v>
      </c>
    </row>
    <row r="2884" spans="1:9" x14ac:dyDescent="0.35">
      <c r="A2884" s="2">
        <v>45550</v>
      </c>
      <c r="B2884">
        <v>91</v>
      </c>
      <c r="C2884">
        <v>1141001</v>
      </c>
      <c r="D2884" t="s">
        <v>153</v>
      </c>
      <c r="E2884" t="s">
        <v>151</v>
      </c>
      <c r="F2884" s="3">
        <v>1081.21</v>
      </c>
      <c r="G2884" s="3">
        <v>0</v>
      </c>
      <c r="H2884" s="3">
        <v>1081.21</v>
      </c>
      <c r="I2884" t="s">
        <v>1044</v>
      </c>
    </row>
    <row r="2885" spans="1:9" x14ac:dyDescent="0.35">
      <c r="A2885" s="2">
        <v>45550</v>
      </c>
      <c r="B2885">
        <v>91</v>
      </c>
      <c r="C2885">
        <v>2124009</v>
      </c>
      <c r="D2885" t="s">
        <v>154</v>
      </c>
      <c r="E2885" t="s">
        <v>151</v>
      </c>
      <c r="F2885" s="3">
        <v>0</v>
      </c>
      <c r="G2885" s="3">
        <v>810.91</v>
      </c>
      <c r="H2885" s="3">
        <v>-810.91</v>
      </c>
      <c r="I2885" t="s">
        <v>1438</v>
      </c>
    </row>
    <row r="2886" spans="1:9" x14ac:dyDescent="0.35">
      <c r="A2886" s="2">
        <v>45550</v>
      </c>
      <c r="B2886">
        <v>91</v>
      </c>
      <c r="C2886">
        <v>2122003</v>
      </c>
      <c r="D2886" t="s">
        <v>308</v>
      </c>
      <c r="E2886" t="s">
        <v>151</v>
      </c>
      <c r="F2886" s="3">
        <v>0</v>
      </c>
      <c r="G2886" s="3">
        <v>135.15</v>
      </c>
      <c r="H2886" s="3">
        <v>-135.15</v>
      </c>
      <c r="I2886" t="s">
        <v>1044</v>
      </c>
    </row>
    <row r="2887" spans="1:9" x14ac:dyDescent="0.35">
      <c r="A2887" s="2">
        <v>45550</v>
      </c>
      <c r="B2887">
        <v>91</v>
      </c>
      <c r="C2887">
        <v>2114010</v>
      </c>
      <c r="D2887" t="s">
        <v>48</v>
      </c>
      <c r="E2887" t="s">
        <v>151</v>
      </c>
      <c r="F2887" s="3">
        <v>0</v>
      </c>
      <c r="G2887" s="3">
        <v>6892.72</v>
      </c>
      <c r="H2887" s="3">
        <v>-6892.72</v>
      </c>
      <c r="I2887" t="s">
        <v>1044</v>
      </c>
    </row>
    <row r="2888" spans="1:9" x14ac:dyDescent="0.35">
      <c r="A2888" s="2">
        <v>45550</v>
      </c>
      <c r="B2888">
        <v>91</v>
      </c>
      <c r="C2888">
        <v>6121023</v>
      </c>
      <c r="D2888" t="s">
        <v>49</v>
      </c>
      <c r="E2888" t="s">
        <v>640</v>
      </c>
      <c r="F2888" s="3">
        <v>7429.37</v>
      </c>
      <c r="G2888" s="3">
        <v>0</v>
      </c>
      <c r="H2888" s="3">
        <v>7429.37</v>
      </c>
      <c r="I2888" t="s">
        <v>1045</v>
      </c>
    </row>
    <row r="2889" spans="1:9" x14ac:dyDescent="0.35">
      <c r="A2889" s="2">
        <v>45550</v>
      </c>
      <c r="B2889">
        <v>91</v>
      </c>
      <c r="C2889">
        <v>6121046</v>
      </c>
      <c r="D2889" t="s">
        <v>94</v>
      </c>
      <c r="E2889" t="s">
        <v>640</v>
      </c>
      <c r="F2889" s="3">
        <v>222.88</v>
      </c>
      <c r="G2889" s="3">
        <v>0</v>
      </c>
      <c r="H2889" s="3">
        <v>222.88</v>
      </c>
      <c r="I2889" t="s">
        <v>1045</v>
      </c>
    </row>
    <row r="2890" spans="1:9" x14ac:dyDescent="0.35">
      <c r="A2890" s="2">
        <v>45550</v>
      </c>
      <c r="B2890">
        <v>91</v>
      </c>
      <c r="C2890">
        <v>2114010</v>
      </c>
      <c r="D2890" t="s">
        <v>48</v>
      </c>
      <c r="E2890" t="s">
        <v>640</v>
      </c>
      <c r="F2890" s="3">
        <v>0</v>
      </c>
      <c r="G2890" s="3">
        <v>222.88</v>
      </c>
      <c r="H2890" s="3">
        <v>-222.88</v>
      </c>
      <c r="I2890" t="s">
        <v>1045</v>
      </c>
    </row>
    <row r="2891" spans="1:9" x14ac:dyDescent="0.35">
      <c r="A2891" s="2">
        <v>45550</v>
      </c>
      <c r="B2891">
        <v>91</v>
      </c>
      <c r="C2891">
        <v>2114010</v>
      </c>
      <c r="D2891" t="s">
        <v>48</v>
      </c>
      <c r="E2891" t="s">
        <v>640</v>
      </c>
      <c r="F2891" s="3">
        <v>0</v>
      </c>
      <c r="G2891" s="3">
        <v>7429.37</v>
      </c>
      <c r="H2891" s="3">
        <v>-7429.37</v>
      </c>
      <c r="I2891" t="s">
        <v>1045</v>
      </c>
    </row>
    <row r="2892" spans="1:9" x14ac:dyDescent="0.35">
      <c r="A2892" s="2">
        <v>45550</v>
      </c>
      <c r="B2892">
        <v>91</v>
      </c>
      <c r="C2892">
        <v>6121023</v>
      </c>
      <c r="D2892" t="s">
        <v>49</v>
      </c>
      <c r="E2892" t="s">
        <v>660</v>
      </c>
      <c r="F2892" s="3">
        <v>824.49</v>
      </c>
      <c r="G2892" s="3">
        <v>0</v>
      </c>
      <c r="H2892" s="3">
        <v>824.49</v>
      </c>
      <c r="I2892" t="s">
        <v>1046</v>
      </c>
    </row>
    <row r="2893" spans="1:9" x14ac:dyDescent="0.35">
      <c r="A2893" s="2">
        <v>45550</v>
      </c>
      <c r="B2893">
        <v>91</v>
      </c>
      <c r="C2893">
        <v>2114010</v>
      </c>
      <c r="D2893" t="s">
        <v>48</v>
      </c>
      <c r="E2893" t="s">
        <v>660</v>
      </c>
      <c r="F2893" s="3">
        <v>0</v>
      </c>
      <c r="G2893" s="3">
        <v>824.49</v>
      </c>
      <c r="H2893" s="3">
        <v>-824.49</v>
      </c>
      <c r="I2893" t="s">
        <v>1046</v>
      </c>
    </row>
    <row r="2894" spans="1:9" x14ac:dyDescent="0.35">
      <c r="A2894" s="2">
        <v>45550</v>
      </c>
      <c r="B2894">
        <v>91</v>
      </c>
      <c r="C2894">
        <v>6121023</v>
      </c>
      <c r="D2894" t="s">
        <v>49</v>
      </c>
      <c r="E2894" t="s">
        <v>52</v>
      </c>
      <c r="F2894" s="3">
        <v>1129.8900000000001</v>
      </c>
      <c r="G2894" s="3">
        <v>0</v>
      </c>
      <c r="H2894" s="3">
        <v>1129.8900000000001</v>
      </c>
      <c r="I2894" t="s">
        <v>1047</v>
      </c>
    </row>
    <row r="2895" spans="1:9" x14ac:dyDescent="0.35">
      <c r="A2895" s="2">
        <v>45550</v>
      </c>
      <c r="B2895">
        <v>91</v>
      </c>
      <c r="C2895">
        <v>6121046</v>
      </c>
      <c r="D2895" t="s">
        <v>94</v>
      </c>
      <c r="E2895" t="s">
        <v>52</v>
      </c>
      <c r="F2895" s="3">
        <v>33.9</v>
      </c>
      <c r="G2895" s="3">
        <v>0</v>
      </c>
      <c r="H2895" s="3">
        <v>33.9</v>
      </c>
      <c r="I2895" t="s">
        <v>1047</v>
      </c>
    </row>
    <row r="2896" spans="1:9" x14ac:dyDescent="0.35">
      <c r="A2896" s="2">
        <v>45550</v>
      </c>
      <c r="B2896">
        <v>91</v>
      </c>
      <c r="C2896">
        <v>2114010</v>
      </c>
      <c r="D2896" t="s">
        <v>48</v>
      </c>
      <c r="E2896" t="s">
        <v>52</v>
      </c>
      <c r="F2896" s="3">
        <v>0</v>
      </c>
      <c r="G2896" s="3">
        <v>33.9</v>
      </c>
      <c r="H2896" s="3">
        <v>-33.9</v>
      </c>
      <c r="I2896" t="s">
        <v>1047</v>
      </c>
    </row>
    <row r="2897" spans="1:9" x14ac:dyDescent="0.35">
      <c r="A2897" s="2">
        <v>45550</v>
      </c>
      <c r="B2897">
        <v>91</v>
      </c>
      <c r="C2897">
        <v>2114010</v>
      </c>
      <c r="D2897" t="s">
        <v>48</v>
      </c>
      <c r="E2897" t="s">
        <v>52</v>
      </c>
      <c r="F2897" s="3">
        <v>0</v>
      </c>
      <c r="G2897" s="3">
        <v>1129.8900000000001</v>
      </c>
      <c r="H2897" s="3">
        <v>-1129.8900000000001</v>
      </c>
      <c r="I2897" t="s">
        <v>1047</v>
      </c>
    </row>
    <row r="2898" spans="1:9" x14ac:dyDescent="0.35">
      <c r="A2898" s="2">
        <v>45550</v>
      </c>
      <c r="B2898">
        <v>91</v>
      </c>
      <c r="C2898">
        <v>4112003</v>
      </c>
      <c r="D2898" t="s">
        <v>58</v>
      </c>
      <c r="E2898" t="s">
        <v>59</v>
      </c>
      <c r="F2898" s="3">
        <v>0</v>
      </c>
      <c r="G2898" s="3">
        <v>758.67</v>
      </c>
      <c r="H2898" s="3">
        <v>-758.67</v>
      </c>
      <c r="I2898" t="s">
        <v>1048</v>
      </c>
    </row>
    <row r="2899" spans="1:9" x14ac:dyDescent="0.35">
      <c r="A2899" s="2">
        <v>45550</v>
      </c>
      <c r="B2899">
        <v>91</v>
      </c>
      <c r="C2899">
        <v>2121001</v>
      </c>
      <c r="D2899" t="s">
        <v>27</v>
      </c>
      <c r="E2899" t="s">
        <v>59</v>
      </c>
      <c r="F2899" s="3">
        <v>0</v>
      </c>
      <c r="G2899" s="3">
        <v>121.39</v>
      </c>
      <c r="H2899" s="3">
        <v>-121.39</v>
      </c>
      <c r="I2899" t="s">
        <v>1048</v>
      </c>
    </row>
    <row r="2900" spans="1:9" x14ac:dyDescent="0.35">
      <c r="A2900" s="2">
        <v>45550</v>
      </c>
      <c r="B2900">
        <v>91</v>
      </c>
      <c r="C2900">
        <v>1111001</v>
      </c>
      <c r="D2900" t="s">
        <v>16</v>
      </c>
      <c r="E2900" t="s">
        <v>59</v>
      </c>
      <c r="F2900" s="3">
        <v>880.06</v>
      </c>
      <c r="G2900" s="3">
        <v>0</v>
      </c>
      <c r="H2900" s="3">
        <v>880.06</v>
      </c>
      <c r="I2900" t="s">
        <v>1048</v>
      </c>
    </row>
    <row r="2901" spans="1:9" x14ac:dyDescent="0.35">
      <c r="A2901" s="2">
        <v>45550</v>
      </c>
      <c r="B2901">
        <v>91</v>
      </c>
      <c r="C2901">
        <v>4112003</v>
      </c>
      <c r="D2901" t="s">
        <v>58</v>
      </c>
      <c r="E2901" t="s">
        <v>59</v>
      </c>
      <c r="F2901" s="3">
        <v>0</v>
      </c>
      <c r="G2901" s="3">
        <v>7112.64</v>
      </c>
      <c r="H2901" s="3">
        <v>-7112.64</v>
      </c>
      <c r="I2901" t="s">
        <v>1049</v>
      </c>
    </row>
    <row r="2902" spans="1:9" x14ac:dyDescent="0.35">
      <c r="A2902" s="2">
        <v>45550</v>
      </c>
      <c r="B2902">
        <v>91</v>
      </c>
      <c r="C2902">
        <v>2121001</v>
      </c>
      <c r="D2902" t="s">
        <v>27</v>
      </c>
      <c r="E2902" t="s">
        <v>59</v>
      </c>
      <c r="F2902" s="3">
        <v>0</v>
      </c>
      <c r="G2902" s="3">
        <v>1138.02</v>
      </c>
      <c r="H2902" s="3">
        <v>-1138.02</v>
      </c>
      <c r="I2902" t="s">
        <v>1049</v>
      </c>
    </row>
    <row r="2903" spans="1:9" x14ac:dyDescent="0.35">
      <c r="A2903" s="2">
        <v>45550</v>
      </c>
      <c r="B2903">
        <v>91</v>
      </c>
      <c r="C2903">
        <v>1111001</v>
      </c>
      <c r="D2903" t="s">
        <v>16</v>
      </c>
      <c r="E2903" t="s">
        <v>59</v>
      </c>
      <c r="F2903" s="3">
        <v>8250.66</v>
      </c>
      <c r="G2903" s="3">
        <v>0</v>
      </c>
      <c r="H2903" s="3">
        <v>8250.66</v>
      </c>
      <c r="I2903" t="s">
        <v>1049</v>
      </c>
    </row>
    <row r="2904" spans="1:9" x14ac:dyDescent="0.35">
      <c r="A2904" s="2">
        <v>45550</v>
      </c>
      <c r="B2904">
        <v>91</v>
      </c>
      <c r="C2904">
        <v>4112003</v>
      </c>
      <c r="D2904" t="s">
        <v>58</v>
      </c>
      <c r="E2904" t="s">
        <v>59</v>
      </c>
      <c r="F2904" s="3">
        <v>0</v>
      </c>
      <c r="G2904" s="3">
        <v>6733.46</v>
      </c>
      <c r="H2904" s="3">
        <v>-6733.46</v>
      </c>
      <c r="I2904" t="s">
        <v>1050</v>
      </c>
    </row>
    <row r="2905" spans="1:9" x14ac:dyDescent="0.35">
      <c r="A2905" s="2">
        <v>45550</v>
      </c>
      <c r="B2905">
        <v>91</v>
      </c>
      <c r="C2905">
        <v>2121001</v>
      </c>
      <c r="D2905" t="s">
        <v>27</v>
      </c>
      <c r="E2905" t="s">
        <v>59</v>
      </c>
      <c r="F2905" s="3">
        <v>0</v>
      </c>
      <c r="G2905" s="3">
        <v>1077.3499999999999</v>
      </c>
      <c r="H2905" s="3">
        <v>-1077.3499999999999</v>
      </c>
      <c r="I2905" t="s">
        <v>1050</v>
      </c>
    </row>
    <row r="2906" spans="1:9" x14ac:dyDescent="0.35">
      <c r="A2906" s="2">
        <v>45550</v>
      </c>
      <c r="B2906">
        <v>91</v>
      </c>
      <c r="C2906">
        <v>1111001</v>
      </c>
      <c r="D2906" t="s">
        <v>16</v>
      </c>
      <c r="E2906" t="s">
        <v>59</v>
      </c>
      <c r="F2906" s="3">
        <v>7810.81</v>
      </c>
      <c r="G2906" s="3">
        <v>0</v>
      </c>
      <c r="H2906" s="3">
        <v>7810.81</v>
      </c>
      <c r="I2906" t="s">
        <v>1050</v>
      </c>
    </row>
    <row r="2907" spans="1:9" x14ac:dyDescent="0.35">
      <c r="A2907" s="2">
        <v>45550</v>
      </c>
      <c r="B2907">
        <v>91</v>
      </c>
      <c r="C2907">
        <v>4112003</v>
      </c>
      <c r="D2907" t="s">
        <v>58</v>
      </c>
      <c r="E2907" t="s">
        <v>59</v>
      </c>
      <c r="F2907" s="3">
        <v>0</v>
      </c>
      <c r="G2907" s="3">
        <v>6828.24</v>
      </c>
      <c r="H2907" s="3">
        <v>-6828.24</v>
      </c>
      <c r="I2907" t="s">
        <v>1051</v>
      </c>
    </row>
    <row r="2908" spans="1:9" x14ac:dyDescent="0.35">
      <c r="A2908" s="2">
        <v>45550</v>
      </c>
      <c r="B2908">
        <v>91</v>
      </c>
      <c r="C2908">
        <v>2121001</v>
      </c>
      <c r="D2908" t="s">
        <v>27</v>
      </c>
      <c r="E2908" t="s">
        <v>59</v>
      </c>
      <c r="F2908" s="3">
        <v>0</v>
      </c>
      <c r="G2908" s="3">
        <v>1092.52</v>
      </c>
      <c r="H2908" s="3">
        <v>-1092.52</v>
      </c>
      <c r="I2908" t="s">
        <v>1051</v>
      </c>
    </row>
    <row r="2909" spans="1:9" x14ac:dyDescent="0.35">
      <c r="A2909" s="2">
        <v>45550</v>
      </c>
      <c r="B2909">
        <v>91</v>
      </c>
      <c r="C2909">
        <v>1111001</v>
      </c>
      <c r="D2909" t="s">
        <v>16</v>
      </c>
      <c r="E2909" t="s">
        <v>59</v>
      </c>
      <c r="F2909" s="3">
        <v>7920.76</v>
      </c>
      <c r="G2909" s="3">
        <v>0</v>
      </c>
      <c r="H2909" s="3">
        <v>7920.76</v>
      </c>
      <c r="I2909" t="s">
        <v>1051</v>
      </c>
    </row>
    <row r="2910" spans="1:9" x14ac:dyDescent="0.35">
      <c r="A2910" s="2">
        <v>45550</v>
      </c>
      <c r="B2910">
        <v>91</v>
      </c>
      <c r="C2910">
        <v>4112003</v>
      </c>
      <c r="D2910" t="s">
        <v>58</v>
      </c>
      <c r="E2910" t="s">
        <v>59</v>
      </c>
      <c r="F2910" s="3">
        <v>0</v>
      </c>
      <c r="G2910" s="3">
        <v>7397.09</v>
      </c>
      <c r="H2910" s="3">
        <v>-7397.09</v>
      </c>
      <c r="I2910" t="s">
        <v>1052</v>
      </c>
    </row>
    <row r="2911" spans="1:9" x14ac:dyDescent="0.35">
      <c r="A2911" s="2">
        <v>45550</v>
      </c>
      <c r="B2911">
        <v>91</v>
      </c>
      <c r="C2911">
        <v>2121001</v>
      </c>
      <c r="D2911" t="s">
        <v>27</v>
      </c>
      <c r="E2911" t="s">
        <v>59</v>
      </c>
      <c r="F2911" s="3">
        <v>0</v>
      </c>
      <c r="G2911" s="3">
        <v>1183.53</v>
      </c>
      <c r="H2911" s="3">
        <v>-1183.53</v>
      </c>
      <c r="I2911" t="s">
        <v>1052</v>
      </c>
    </row>
    <row r="2912" spans="1:9" x14ac:dyDescent="0.35">
      <c r="A2912" s="2">
        <v>45550</v>
      </c>
      <c r="B2912">
        <v>91</v>
      </c>
      <c r="C2912">
        <v>1111001</v>
      </c>
      <c r="D2912" t="s">
        <v>16</v>
      </c>
      <c r="E2912" t="s">
        <v>59</v>
      </c>
      <c r="F2912" s="3">
        <v>8580.6200000000008</v>
      </c>
      <c r="G2912" s="3">
        <v>0</v>
      </c>
      <c r="H2912" s="3">
        <v>8580.6200000000008</v>
      </c>
      <c r="I2912" t="s">
        <v>1052</v>
      </c>
    </row>
    <row r="2913" spans="1:9" x14ac:dyDescent="0.35">
      <c r="A2913" s="2">
        <v>45550</v>
      </c>
      <c r="B2913">
        <v>91</v>
      </c>
      <c r="C2913">
        <v>4112003</v>
      </c>
      <c r="D2913" t="s">
        <v>58</v>
      </c>
      <c r="E2913" t="s">
        <v>59</v>
      </c>
      <c r="F2913" s="3">
        <v>0</v>
      </c>
      <c r="G2913" s="3">
        <v>7776.42</v>
      </c>
      <c r="H2913" s="3">
        <v>-7776.42</v>
      </c>
      <c r="I2913" t="s">
        <v>1053</v>
      </c>
    </row>
    <row r="2914" spans="1:9" x14ac:dyDescent="0.35">
      <c r="A2914" s="2">
        <v>45550</v>
      </c>
      <c r="B2914">
        <v>91</v>
      </c>
      <c r="C2914">
        <v>2121001</v>
      </c>
      <c r="D2914" t="s">
        <v>27</v>
      </c>
      <c r="E2914" t="s">
        <v>59</v>
      </c>
      <c r="F2914" s="3">
        <v>0</v>
      </c>
      <c r="G2914" s="3">
        <v>1244.23</v>
      </c>
      <c r="H2914" s="3">
        <v>-1244.23</v>
      </c>
      <c r="I2914" t="s">
        <v>1053</v>
      </c>
    </row>
    <row r="2915" spans="1:9" x14ac:dyDescent="0.35">
      <c r="A2915" s="2">
        <v>45550</v>
      </c>
      <c r="B2915">
        <v>91</v>
      </c>
      <c r="C2915">
        <v>1111001</v>
      </c>
      <c r="D2915" t="s">
        <v>16</v>
      </c>
      <c r="E2915" t="s">
        <v>59</v>
      </c>
      <c r="F2915" s="3">
        <v>9020.65</v>
      </c>
      <c r="G2915" s="3">
        <v>0</v>
      </c>
      <c r="H2915" s="3">
        <v>9020.65</v>
      </c>
      <c r="I2915" t="s">
        <v>1053</v>
      </c>
    </row>
    <row r="2916" spans="1:9" x14ac:dyDescent="0.35">
      <c r="A2916" s="2">
        <v>45550</v>
      </c>
      <c r="B2916">
        <v>91</v>
      </c>
      <c r="C2916">
        <v>4112003</v>
      </c>
      <c r="D2916" t="s">
        <v>58</v>
      </c>
      <c r="E2916" t="s">
        <v>59</v>
      </c>
      <c r="F2916" s="3">
        <v>0</v>
      </c>
      <c r="G2916" s="3">
        <v>2845.01</v>
      </c>
      <c r="H2916" s="3">
        <v>-2845.01</v>
      </c>
      <c r="I2916" t="s">
        <v>1054</v>
      </c>
    </row>
    <row r="2917" spans="1:9" x14ac:dyDescent="0.35">
      <c r="A2917" s="2">
        <v>45550</v>
      </c>
      <c r="B2917">
        <v>91</v>
      </c>
      <c r="C2917">
        <v>2121001</v>
      </c>
      <c r="D2917" t="s">
        <v>27</v>
      </c>
      <c r="E2917" t="s">
        <v>59</v>
      </c>
      <c r="F2917" s="3">
        <v>0</v>
      </c>
      <c r="G2917" s="3">
        <v>455.2</v>
      </c>
      <c r="H2917" s="3">
        <v>-455.2</v>
      </c>
      <c r="I2917" t="s">
        <v>1054</v>
      </c>
    </row>
    <row r="2918" spans="1:9" x14ac:dyDescent="0.35">
      <c r="A2918" s="2">
        <v>45550</v>
      </c>
      <c r="B2918">
        <v>91</v>
      </c>
      <c r="C2918">
        <v>1111001</v>
      </c>
      <c r="D2918" t="s">
        <v>16</v>
      </c>
      <c r="E2918" t="s">
        <v>59</v>
      </c>
      <c r="F2918" s="3">
        <v>3300.21</v>
      </c>
      <c r="G2918" s="3">
        <v>0</v>
      </c>
      <c r="H2918" s="3">
        <v>3300.21</v>
      </c>
      <c r="I2918" t="s">
        <v>1054</v>
      </c>
    </row>
    <row r="2919" spans="1:9" x14ac:dyDescent="0.35">
      <c r="A2919" s="2">
        <v>45550</v>
      </c>
      <c r="B2919">
        <v>91</v>
      </c>
      <c r="C2919">
        <v>4112003</v>
      </c>
      <c r="D2919" t="s">
        <v>58</v>
      </c>
      <c r="E2919" t="s">
        <v>59</v>
      </c>
      <c r="F2919" s="3">
        <v>0</v>
      </c>
      <c r="G2919" s="3">
        <v>853.5</v>
      </c>
      <c r="H2919" s="3">
        <v>-853.5</v>
      </c>
      <c r="I2919" t="s">
        <v>1055</v>
      </c>
    </row>
    <row r="2920" spans="1:9" x14ac:dyDescent="0.35">
      <c r="A2920" s="2">
        <v>45550</v>
      </c>
      <c r="B2920">
        <v>91</v>
      </c>
      <c r="C2920">
        <v>2121001</v>
      </c>
      <c r="D2920" t="s">
        <v>27</v>
      </c>
      <c r="E2920" t="s">
        <v>59</v>
      </c>
      <c r="F2920" s="3">
        <v>0</v>
      </c>
      <c r="G2920" s="3">
        <v>136.56</v>
      </c>
      <c r="H2920" s="3">
        <v>-136.56</v>
      </c>
      <c r="I2920" t="s">
        <v>1055</v>
      </c>
    </row>
    <row r="2921" spans="1:9" x14ac:dyDescent="0.35">
      <c r="A2921" s="2">
        <v>45550</v>
      </c>
      <c r="B2921">
        <v>91</v>
      </c>
      <c r="C2921">
        <v>1111001</v>
      </c>
      <c r="D2921" t="s">
        <v>16</v>
      </c>
      <c r="E2921" t="s">
        <v>59</v>
      </c>
      <c r="F2921" s="3">
        <v>990.06</v>
      </c>
      <c r="G2921" s="3">
        <v>0</v>
      </c>
      <c r="H2921" s="3">
        <v>990.06</v>
      </c>
      <c r="I2921" t="s">
        <v>1055</v>
      </c>
    </row>
    <row r="2922" spans="1:9" x14ac:dyDescent="0.35">
      <c r="A2922" s="2">
        <v>45550</v>
      </c>
      <c r="B2922">
        <v>91</v>
      </c>
      <c r="C2922">
        <v>4112003</v>
      </c>
      <c r="D2922" t="s">
        <v>58</v>
      </c>
      <c r="E2922" t="s">
        <v>59</v>
      </c>
      <c r="F2922" s="3">
        <v>0</v>
      </c>
      <c r="G2922" s="3">
        <v>5595.4</v>
      </c>
      <c r="H2922" s="3">
        <v>-5595.4</v>
      </c>
      <c r="I2922" t="s">
        <v>1056</v>
      </c>
    </row>
    <row r="2923" spans="1:9" x14ac:dyDescent="0.35">
      <c r="A2923" s="2">
        <v>45550</v>
      </c>
      <c r="B2923">
        <v>91</v>
      </c>
      <c r="C2923">
        <v>2121001</v>
      </c>
      <c r="D2923" t="s">
        <v>27</v>
      </c>
      <c r="E2923" t="s">
        <v>59</v>
      </c>
      <c r="F2923" s="3">
        <v>0</v>
      </c>
      <c r="G2923" s="3">
        <v>895.26</v>
      </c>
      <c r="H2923" s="3">
        <v>-895.26</v>
      </c>
      <c r="I2923" t="s">
        <v>1056</v>
      </c>
    </row>
    <row r="2924" spans="1:9" x14ac:dyDescent="0.35">
      <c r="A2924" s="2">
        <v>45550</v>
      </c>
      <c r="B2924">
        <v>91</v>
      </c>
      <c r="C2924">
        <v>1111001</v>
      </c>
      <c r="D2924" t="s">
        <v>16</v>
      </c>
      <c r="E2924" t="s">
        <v>59</v>
      </c>
      <c r="F2924" s="3">
        <v>6490.66</v>
      </c>
      <c r="G2924" s="3">
        <v>0</v>
      </c>
      <c r="H2924" s="3">
        <v>6490.66</v>
      </c>
      <c r="I2924" t="s">
        <v>1056</v>
      </c>
    </row>
    <row r="2925" spans="1:9" x14ac:dyDescent="0.35">
      <c r="A2925" s="2">
        <v>45550</v>
      </c>
      <c r="B2925">
        <v>91</v>
      </c>
      <c r="C2925">
        <v>4112003</v>
      </c>
      <c r="D2925" t="s">
        <v>58</v>
      </c>
      <c r="E2925" t="s">
        <v>59</v>
      </c>
      <c r="F2925" s="3">
        <v>0</v>
      </c>
      <c r="G2925" s="3">
        <v>6638.69</v>
      </c>
      <c r="H2925" s="3">
        <v>-6638.69</v>
      </c>
      <c r="I2925" t="s">
        <v>1057</v>
      </c>
    </row>
    <row r="2926" spans="1:9" x14ac:dyDescent="0.35">
      <c r="A2926" s="2">
        <v>45550</v>
      </c>
      <c r="B2926">
        <v>91</v>
      </c>
      <c r="C2926">
        <v>2121001</v>
      </c>
      <c r="D2926" t="s">
        <v>27</v>
      </c>
      <c r="E2926" t="s">
        <v>59</v>
      </c>
      <c r="F2926" s="3">
        <v>0</v>
      </c>
      <c r="G2926" s="3">
        <v>1062.19</v>
      </c>
      <c r="H2926" s="3">
        <v>-1062.19</v>
      </c>
      <c r="I2926" t="s">
        <v>1057</v>
      </c>
    </row>
    <row r="2927" spans="1:9" x14ac:dyDescent="0.35">
      <c r="A2927" s="2">
        <v>45550</v>
      </c>
      <c r="B2927">
        <v>91</v>
      </c>
      <c r="C2927">
        <v>1111001</v>
      </c>
      <c r="D2927" t="s">
        <v>16</v>
      </c>
      <c r="E2927" t="s">
        <v>59</v>
      </c>
      <c r="F2927" s="3">
        <v>7700.88</v>
      </c>
      <c r="G2927" s="3">
        <v>0</v>
      </c>
      <c r="H2927" s="3">
        <v>7700.88</v>
      </c>
      <c r="I2927" t="s">
        <v>1057</v>
      </c>
    </row>
    <row r="2928" spans="1:9" x14ac:dyDescent="0.35">
      <c r="A2928" s="2">
        <v>45550</v>
      </c>
      <c r="B2928">
        <v>91</v>
      </c>
      <c r="C2928">
        <v>4112003</v>
      </c>
      <c r="D2928" t="s">
        <v>58</v>
      </c>
      <c r="E2928" t="s">
        <v>59</v>
      </c>
      <c r="F2928" s="3">
        <v>0</v>
      </c>
      <c r="G2928" s="3">
        <v>7302.51</v>
      </c>
      <c r="H2928" s="3">
        <v>-7302.51</v>
      </c>
      <c r="I2928" t="s">
        <v>1058</v>
      </c>
    </row>
    <row r="2929" spans="1:9" x14ac:dyDescent="0.35">
      <c r="A2929" s="2">
        <v>45550</v>
      </c>
      <c r="B2929">
        <v>91</v>
      </c>
      <c r="C2929">
        <v>2121001</v>
      </c>
      <c r="D2929" t="s">
        <v>27</v>
      </c>
      <c r="E2929" t="s">
        <v>59</v>
      </c>
      <c r="F2929" s="3">
        <v>0</v>
      </c>
      <c r="G2929" s="3">
        <v>1168.4000000000001</v>
      </c>
      <c r="H2929" s="3">
        <v>-1168.4000000000001</v>
      </c>
      <c r="I2929" t="s">
        <v>1058</v>
      </c>
    </row>
    <row r="2930" spans="1:9" x14ac:dyDescent="0.35">
      <c r="A2930" s="2">
        <v>45550</v>
      </c>
      <c r="B2930">
        <v>91</v>
      </c>
      <c r="C2930">
        <v>1111001</v>
      </c>
      <c r="D2930" t="s">
        <v>16</v>
      </c>
      <c r="E2930" t="s">
        <v>59</v>
      </c>
      <c r="F2930" s="3">
        <v>8470.91</v>
      </c>
      <c r="G2930" s="3">
        <v>0</v>
      </c>
      <c r="H2930" s="3">
        <v>8470.91</v>
      </c>
      <c r="I2930" t="s">
        <v>1058</v>
      </c>
    </row>
    <row r="2931" spans="1:9" x14ac:dyDescent="0.35">
      <c r="A2931" s="2">
        <v>45550</v>
      </c>
      <c r="B2931">
        <v>91</v>
      </c>
      <c r="C2931">
        <v>4112003</v>
      </c>
      <c r="D2931" t="s">
        <v>58</v>
      </c>
      <c r="E2931" t="s">
        <v>59</v>
      </c>
      <c r="F2931" s="3">
        <v>0</v>
      </c>
      <c r="G2931" s="3">
        <v>7302.33</v>
      </c>
      <c r="H2931" s="3">
        <v>-7302.33</v>
      </c>
      <c r="I2931" t="s">
        <v>1059</v>
      </c>
    </row>
    <row r="2932" spans="1:9" x14ac:dyDescent="0.35">
      <c r="A2932" s="2">
        <v>45550</v>
      </c>
      <c r="B2932">
        <v>91</v>
      </c>
      <c r="C2932">
        <v>2121001</v>
      </c>
      <c r="D2932" t="s">
        <v>27</v>
      </c>
      <c r="E2932" t="s">
        <v>59</v>
      </c>
      <c r="F2932" s="3">
        <v>0</v>
      </c>
      <c r="G2932" s="3">
        <v>1168.3699999999999</v>
      </c>
      <c r="H2932" s="3">
        <v>-1168.3699999999999</v>
      </c>
      <c r="I2932" t="s">
        <v>1059</v>
      </c>
    </row>
    <row r="2933" spans="1:9" x14ac:dyDescent="0.35">
      <c r="A2933" s="2">
        <v>45550</v>
      </c>
      <c r="B2933">
        <v>91</v>
      </c>
      <c r="C2933">
        <v>1111001</v>
      </c>
      <c r="D2933" t="s">
        <v>16</v>
      </c>
      <c r="E2933" t="s">
        <v>59</v>
      </c>
      <c r="F2933" s="3">
        <v>8470.7000000000007</v>
      </c>
      <c r="G2933" s="3">
        <v>0</v>
      </c>
      <c r="H2933" s="3">
        <v>8470.7000000000007</v>
      </c>
      <c r="I2933" t="s">
        <v>1059</v>
      </c>
    </row>
    <row r="2934" spans="1:9" x14ac:dyDescent="0.35">
      <c r="A2934" s="2">
        <v>45550</v>
      </c>
      <c r="B2934">
        <v>91</v>
      </c>
      <c r="C2934">
        <v>4112003</v>
      </c>
      <c r="D2934" t="s">
        <v>58</v>
      </c>
      <c r="E2934" t="s">
        <v>59</v>
      </c>
      <c r="F2934" s="3">
        <v>0</v>
      </c>
      <c r="G2934" s="3">
        <v>6828.13</v>
      </c>
      <c r="H2934" s="3">
        <v>-6828.13</v>
      </c>
      <c r="I2934" t="s">
        <v>1060</v>
      </c>
    </row>
    <row r="2935" spans="1:9" x14ac:dyDescent="0.35">
      <c r="A2935" s="2">
        <v>45550</v>
      </c>
      <c r="B2935">
        <v>91</v>
      </c>
      <c r="C2935">
        <v>2121001</v>
      </c>
      <c r="D2935" t="s">
        <v>27</v>
      </c>
      <c r="E2935" t="s">
        <v>59</v>
      </c>
      <c r="F2935" s="3">
        <v>0</v>
      </c>
      <c r="G2935" s="3">
        <v>1092.5</v>
      </c>
      <c r="H2935" s="3">
        <v>-1092.5</v>
      </c>
      <c r="I2935" t="s">
        <v>1060</v>
      </c>
    </row>
    <row r="2936" spans="1:9" x14ac:dyDescent="0.35">
      <c r="A2936" s="2">
        <v>45550</v>
      </c>
      <c r="B2936">
        <v>91</v>
      </c>
      <c r="C2936">
        <v>1111001</v>
      </c>
      <c r="D2936" t="s">
        <v>16</v>
      </c>
      <c r="E2936" t="s">
        <v>59</v>
      </c>
      <c r="F2936" s="3">
        <v>7920.63</v>
      </c>
      <c r="G2936" s="3">
        <v>0</v>
      </c>
      <c r="H2936" s="3">
        <v>7920.63</v>
      </c>
      <c r="I2936" t="s">
        <v>1060</v>
      </c>
    </row>
    <row r="2937" spans="1:9" x14ac:dyDescent="0.35">
      <c r="A2937" s="2">
        <v>45550</v>
      </c>
      <c r="B2937">
        <v>91</v>
      </c>
      <c r="C2937">
        <v>4112003</v>
      </c>
      <c r="D2937" t="s">
        <v>58</v>
      </c>
      <c r="E2937" t="s">
        <v>59</v>
      </c>
      <c r="F2937" s="3">
        <v>0</v>
      </c>
      <c r="G2937" s="3">
        <v>2560.52</v>
      </c>
      <c r="H2937" s="3">
        <v>-2560.52</v>
      </c>
      <c r="I2937" t="s">
        <v>1061</v>
      </c>
    </row>
    <row r="2938" spans="1:9" x14ac:dyDescent="0.35">
      <c r="A2938" s="2">
        <v>45550</v>
      </c>
      <c r="B2938">
        <v>91</v>
      </c>
      <c r="C2938">
        <v>2121001</v>
      </c>
      <c r="D2938" t="s">
        <v>27</v>
      </c>
      <c r="E2938" t="s">
        <v>59</v>
      </c>
      <c r="F2938" s="3">
        <v>0</v>
      </c>
      <c r="G2938" s="3">
        <v>409.68</v>
      </c>
      <c r="H2938" s="3">
        <v>-409.68</v>
      </c>
      <c r="I2938" t="s">
        <v>1061</v>
      </c>
    </row>
    <row r="2939" spans="1:9" x14ac:dyDescent="0.35">
      <c r="A2939" s="2">
        <v>45550</v>
      </c>
      <c r="B2939">
        <v>91</v>
      </c>
      <c r="C2939">
        <v>1111001</v>
      </c>
      <c r="D2939" t="s">
        <v>16</v>
      </c>
      <c r="E2939" t="s">
        <v>59</v>
      </c>
      <c r="F2939" s="3">
        <v>2970.2</v>
      </c>
      <c r="G2939" s="3">
        <v>0</v>
      </c>
      <c r="H2939" s="3">
        <v>2970.2</v>
      </c>
      <c r="I2939" t="s">
        <v>1061</v>
      </c>
    </row>
    <row r="2940" spans="1:9" x14ac:dyDescent="0.35">
      <c r="A2940" s="2">
        <v>45550</v>
      </c>
      <c r="B2940">
        <v>91</v>
      </c>
      <c r="C2940">
        <v>4112003</v>
      </c>
      <c r="D2940" t="s">
        <v>58</v>
      </c>
      <c r="E2940" t="s">
        <v>59</v>
      </c>
      <c r="F2940" s="3">
        <v>0</v>
      </c>
      <c r="G2940" s="3">
        <v>2741.46</v>
      </c>
      <c r="H2940" s="3">
        <v>-2741.46</v>
      </c>
      <c r="I2940" t="s">
        <v>1062</v>
      </c>
    </row>
    <row r="2941" spans="1:9" x14ac:dyDescent="0.35">
      <c r="A2941" s="2">
        <v>45550</v>
      </c>
      <c r="B2941">
        <v>91</v>
      </c>
      <c r="C2941">
        <v>2121001</v>
      </c>
      <c r="D2941" t="s">
        <v>27</v>
      </c>
      <c r="E2941" t="s">
        <v>59</v>
      </c>
      <c r="F2941" s="3">
        <v>0</v>
      </c>
      <c r="G2941" s="3">
        <v>438.63</v>
      </c>
      <c r="H2941" s="3">
        <v>-438.63</v>
      </c>
      <c r="I2941" t="s">
        <v>1062</v>
      </c>
    </row>
    <row r="2942" spans="1:9" x14ac:dyDescent="0.35">
      <c r="A2942" s="2">
        <v>45550</v>
      </c>
      <c r="B2942">
        <v>91</v>
      </c>
      <c r="C2942">
        <v>1111001</v>
      </c>
      <c r="D2942" t="s">
        <v>16</v>
      </c>
      <c r="E2942" t="s">
        <v>59</v>
      </c>
      <c r="F2942" s="3">
        <v>3180.09</v>
      </c>
      <c r="G2942" s="3">
        <v>0</v>
      </c>
      <c r="H2942" s="3">
        <v>3180.09</v>
      </c>
      <c r="I2942" t="s">
        <v>1062</v>
      </c>
    </row>
    <row r="2943" spans="1:9" x14ac:dyDescent="0.35">
      <c r="A2943" s="2">
        <v>45550</v>
      </c>
      <c r="B2943">
        <v>91</v>
      </c>
      <c r="C2943">
        <v>4112004</v>
      </c>
      <c r="D2943" t="s">
        <v>74</v>
      </c>
      <c r="E2943" t="s">
        <v>195</v>
      </c>
      <c r="F2943" s="3">
        <v>0</v>
      </c>
      <c r="G2943" s="3">
        <v>3063.88</v>
      </c>
      <c r="H2943" s="3">
        <v>-3063.88</v>
      </c>
      <c r="I2943" t="s">
        <v>1063</v>
      </c>
    </row>
    <row r="2944" spans="1:9" x14ac:dyDescent="0.35">
      <c r="A2944" s="2">
        <v>45550</v>
      </c>
      <c r="B2944">
        <v>91</v>
      </c>
      <c r="C2944">
        <v>2121001</v>
      </c>
      <c r="D2944" t="s">
        <v>27</v>
      </c>
      <c r="E2944" t="s">
        <v>195</v>
      </c>
      <c r="F2944" s="3">
        <v>0</v>
      </c>
      <c r="G2944" s="3">
        <v>490.22</v>
      </c>
      <c r="H2944" s="3">
        <v>-490.22</v>
      </c>
      <c r="I2944" t="s">
        <v>1063</v>
      </c>
    </row>
    <row r="2945" spans="1:9" x14ac:dyDescent="0.35">
      <c r="A2945" s="2">
        <v>45550</v>
      </c>
      <c r="B2945">
        <v>91</v>
      </c>
      <c r="C2945">
        <v>1141002</v>
      </c>
      <c r="D2945" t="s">
        <v>23</v>
      </c>
      <c r="E2945" t="s">
        <v>195</v>
      </c>
      <c r="F2945" s="3">
        <v>367.67</v>
      </c>
      <c r="G2945" s="3">
        <v>0</v>
      </c>
      <c r="H2945" s="3">
        <v>367.67</v>
      </c>
      <c r="I2945" t="s">
        <v>1438</v>
      </c>
    </row>
    <row r="2946" spans="1:9" x14ac:dyDescent="0.35">
      <c r="A2946" s="2">
        <v>45550</v>
      </c>
      <c r="B2946">
        <v>91</v>
      </c>
      <c r="C2946">
        <v>1142001</v>
      </c>
      <c r="D2946" t="s">
        <v>199</v>
      </c>
      <c r="E2946" t="s">
        <v>195</v>
      </c>
      <c r="F2946" s="3">
        <v>61.28</v>
      </c>
      <c r="G2946" s="3">
        <v>0</v>
      </c>
      <c r="H2946" s="3">
        <v>61.28</v>
      </c>
      <c r="I2946" t="s">
        <v>1438</v>
      </c>
    </row>
    <row r="2947" spans="1:9" x14ac:dyDescent="0.35">
      <c r="A2947" s="2">
        <v>45550</v>
      </c>
      <c r="B2947">
        <v>91</v>
      </c>
      <c r="C2947">
        <v>1111001</v>
      </c>
      <c r="D2947" t="s">
        <v>16</v>
      </c>
      <c r="E2947" t="s">
        <v>195</v>
      </c>
      <c r="F2947" s="3">
        <v>106.62</v>
      </c>
      <c r="G2947" s="3">
        <v>0</v>
      </c>
      <c r="H2947" s="3">
        <v>106.62</v>
      </c>
      <c r="I2947" t="s">
        <v>1063</v>
      </c>
    </row>
    <row r="2948" spans="1:9" x14ac:dyDescent="0.35">
      <c r="A2948" s="2">
        <v>45550</v>
      </c>
      <c r="B2948">
        <v>91</v>
      </c>
      <c r="C2948">
        <v>2124007</v>
      </c>
      <c r="D2948" t="s">
        <v>30</v>
      </c>
      <c r="E2948" t="s">
        <v>195</v>
      </c>
      <c r="F2948" s="3">
        <v>0</v>
      </c>
      <c r="G2948" s="3">
        <v>106.62</v>
      </c>
      <c r="H2948" s="3">
        <v>-106.62</v>
      </c>
      <c r="I2948" t="s">
        <v>1063</v>
      </c>
    </row>
    <row r="2949" spans="1:9" x14ac:dyDescent="0.35">
      <c r="A2949" s="2">
        <v>45550</v>
      </c>
      <c r="B2949">
        <v>91</v>
      </c>
      <c r="C2949">
        <v>1111001</v>
      </c>
      <c r="D2949" t="s">
        <v>16</v>
      </c>
      <c r="E2949" t="s">
        <v>195</v>
      </c>
      <c r="F2949" s="3">
        <v>3125.15</v>
      </c>
      <c r="G2949" s="3">
        <v>0</v>
      </c>
      <c r="H2949" s="3">
        <v>3125.15</v>
      </c>
      <c r="I2949" t="s">
        <v>1063</v>
      </c>
    </row>
    <row r="2950" spans="1:9" x14ac:dyDescent="0.35">
      <c r="A2950" s="2">
        <v>45550</v>
      </c>
      <c r="B2950">
        <v>91</v>
      </c>
      <c r="C2950">
        <v>4112004</v>
      </c>
      <c r="D2950" t="s">
        <v>74</v>
      </c>
      <c r="E2950" t="s">
        <v>197</v>
      </c>
      <c r="F2950" s="3">
        <v>0</v>
      </c>
      <c r="G2950" s="3">
        <v>15785.39</v>
      </c>
      <c r="H2950" s="3">
        <v>-15785.39</v>
      </c>
      <c r="I2950" t="s">
        <v>1064</v>
      </c>
    </row>
    <row r="2951" spans="1:9" x14ac:dyDescent="0.35">
      <c r="A2951" s="2">
        <v>45550</v>
      </c>
      <c r="B2951">
        <v>91</v>
      </c>
      <c r="C2951">
        <v>2121001</v>
      </c>
      <c r="D2951" t="s">
        <v>27</v>
      </c>
      <c r="E2951" t="s">
        <v>197</v>
      </c>
      <c r="F2951" s="3">
        <v>0</v>
      </c>
      <c r="G2951" s="3">
        <v>2525.66</v>
      </c>
      <c r="H2951" s="3">
        <v>-2525.66</v>
      </c>
      <c r="I2951" t="s">
        <v>1064</v>
      </c>
    </row>
    <row r="2952" spans="1:9" x14ac:dyDescent="0.35">
      <c r="A2952" s="2">
        <v>45550</v>
      </c>
      <c r="B2952">
        <v>91</v>
      </c>
      <c r="C2952">
        <v>1141002</v>
      </c>
      <c r="D2952" t="s">
        <v>23</v>
      </c>
      <c r="E2952" t="s">
        <v>197</v>
      </c>
      <c r="F2952" s="3">
        <v>1894.25</v>
      </c>
      <c r="G2952" s="3">
        <v>0</v>
      </c>
      <c r="H2952" s="3">
        <v>1894.25</v>
      </c>
      <c r="I2952" t="s">
        <v>1438</v>
      </c>
    </row>
    <row r="2953" spans="1:9" x14ac:dyDescent="0.35">
      <c r="A2953" s="2">
        <v>45550</v>
      </c>
      <c r="B2953">
        <v>91</v>
      </c>
      <c r="C2953">
        <v>1142001</v>
      </c>
      <c r="D2953" t="s">
        <v>199</v>
      </c>
      <c r="E2953" t="s">
        <v>197</v>
      </c>
      <c r="F2953" s="3">
        <v>315.70999999999998</v>
      </c>
      <c r="G2953" s="3">
        <v>0</v>
      </c>
      <c r="H2953" s="3">
        <v>315.70999999999998</v>
      </c>
      <c r="I2953" t="s">
        <v>1438</v>
      </c>
    </row>
    <row r="2954" spans="1:9" x14ac:dyDescent="0.35">
      <c r="A2954" s="2">
        <v>45550</v>
      </c>
      <c r="B2954">
        <v>91</v>
      </c>
      <c r="C2954">
        <v>1111001</v>
      </c>
      <c r="D2954" t="s">
        <v>16</v>
      </c>
      <c r="E2954" t="s">
        <v>197</v>
      </c>
      <c r="F2954" s="3">
        <v>16101.09</v>
      </c>
      <c r="G2954" s="3">
        <v>0</v>
      </c>
      <c r="H2954" s="3">
        <v>16101.09</v>
      </c>
      <c r="I2954" t="s">
        <v>1064</v>
      </c>
    </row>
    <row r="2955" spans="1:9" x14ac:dyDescent="0.35">
      <c r="A2955" s="2">
        <v>45550</v>
      </c>
      <c r="B2955">
        <v>91</v>
      </c>
      <c r="C2955">
        <v>4112004</v>
      </c>
      <c r="D2955" t="s">
        <v>74</v>
      </c>
      <c r="E2955" t="s">
        <v>200</v>
      </c>
      <c r="F2955" s="3">
        <v>0</v>
      </c>
      <c r="G2955" s="3">
        <v>1637.94</v>
      </c>
      <c r="H2955" s="3">
        <v>-1637.94</v>
      </c>
      <c r="I2955" t="s">
        <v>1065</v>
      </c>
    </row>
    <row r="2956" spans="1:9" x14ac:dyDescent="0.35">
      <c r="A2956" s="2">
        <v>45550</v>
      </c>
      <c r="B2956">
        <v>91</v>
      </c>
      <c r="C2956">
        <v>2121001</v>
      </c>
      <c r="D2956" t="s">
        <v>27</v>
      </c>
      <c r="E2956" t="s">
        <v>200</v>
      </c>
      <c r="F2956" s="3">
        <v>0</v>
      </c>
      <c r="G2956" s="3">
        <v>262.07</v>
      </c>
      <c r="H2956" s="3">
        <v>-262.07</v>
      </c>
      <c r="I2956" t="s">
        <v>1065</v>
      </c>
    </row>
    <row r="2957" spans="1:9" x14ac:dyDescent="0.35">
      <c r="A2957" s="2">
        <v>45550</v>
      </c>
      <c r="B2957">
        <v>91</v>
      </c>
      <c r="C2957">
        <v>1111001</v>
      </c>
      <c r="D2957" t="s">
        <v>16</v>
      </c>
      <c r="E2957" t="s">
        <v>200</v>
      </c>
      <c r="F2957" s="3">
        <v>1900.01</v>
      </c>
      <c r="G2957" s="3">
        <v>0</v>
      </c>
      <c r="H2957" s="3">
        <v>1900.01</v>
      </c>
      <c r="I2957" t="s">
        <v>1065</v>
      </c>
    </row>
    <row r="2958" spans="1:9" x14ac:dyDescent="0.35">
      <c r="A2958" s="2">
        <v>45550</v>
      </c>
      <c r="B2958">
        <v>91</v>
      </c>
      <c r="C2958">
        <v>4112004</v>
      </c>
      <c r="D2958" t="s">
        <v>74</v>
      </c>
      <c r="E2958" t="s">
        <v>197</v>
      </c>
      <c r="F2958" s="3">
        <v>0</v>
      </c>
      <c r="G2958" s="3">
        <v>14449.75</v>
      </c>
      <c r="H2958" s="3">
        <v>-14449.75</v>
      </c>
      <c r="I2958" t="s">
        <v>1066</v>
      </c>
    </row>
    <row r="2959" spans="1:9" x14ac:dyDescent="0.35">
      <c r="A2959" s="2">
        <v>45550</v>
      </c>
      <c r="B2959">
        <v>91</v>
      </c>
      <c r="C2959">
        <v>2121001</v>
      </c>
      <c r="D2959" t="s">
        <v>27</v>
      </c>
      <c r="E2959" t="s">
        <v>197</v>
      </c>
      <c r="F2959" s="3">
        <v>0</v>
      </c>
      <c r="G2959" s="3">
        <v>2311.96</v>
      </c>
      <c r="H2959" s="3">
        <v>-2311.96</v>
      </c>
      <c r="I2959" t="s">
        <v>1066</v>
      </c>
    </row>
    <row r="2960" spans="1:9" x14ac:dyDescent="0.35">
      <c r="A2960" s="2">
        <v>45550</v>
      </c>
      <c r="B2960">
        <v>91</v>
      </c>
      <c r="C2960">
        <v>1141002</v>
      </c>
      <c r="D2960" t="s">
        <v>23</v>
      </c>
      <c r="E2960" t="s">
        <v>197</v>
      </c>
      <c r="F2960" s="3">
        <v>1733.97</v>
      </c>
      <c r="G2960" s="3">
        <v>0</v>
      </c>
      <c r="H2960" s="3">
        <v>1733.97</v>
      </c>
      <c r="I2960" t="s">
        <v>1438</v>
      </c>
    </row>
    <row r="2961" spans="1:9" x14ac:dyDescent="0.35">
      <c r="A2961" s="2">
        <v>45550</v>
      </c>
      <c r="B2961">
        <v>91</v>
      </c>
      <c r="C2961">
        <v>1142001</v>
      </c>
      <c r="D2961" t="s">
        <v>199</v>
      </c>
      <c r="E2961" t="s">
        <v>197</v>
      </c>
      <c r="F2961" s="3">
        <v>289</v>
      </c>
      <c r="G2961" s="3">
        <v>0</v>
      </c>
      <c r="H2961" s="3">
        <v>289</v>
      </c>
      <c r="I2961" t="s">
        <v>1438</v>
      </c>
    </row>
    <row r="2962" spans="1:9" x14ac:dyDescent="0.35">
      <c r="A2962" s="2">
        <v>45550</v>
      </c>
      <c r="B2962">
        <v>91</v>
      </c>
      <c r="C2962">
        <v>1111001</v>
      </c>
      <c r="D2962" t="s">
        <v>16</v>
      </c>
      <c r="E2962" t="s">
        <v>197</v>
      </c>
      <c r="F2962" s="3">
        <v>14738.74</v>
      </c>
      <c r="G2962" s="3">
        <v>0</v>
      </c>
      <c r="H2962" s="3">
        <v>14738.74</v>
      </c>
      <c r="I2962" t="s">
        <v>1066</v>
      </c>
    </row>
    <row r="2963" spans="1:9" x14ac:dyDescent="0.35">
      <c r="A2963" s="2">
        <v>45550</v>
      </c>
      <c r="B2963">
        <v>91</v>
      </c>
      <c r="C2963">
        <v>4112004</v>
      </c>
      <c r="D2963" t="s">
        <v>74</v>
      </c>
      <c r="E2963" t="s">
        <v>740</v>
      </c>
      <c r="F2963" s="3">
        <v>0</v>
      </c>
      <c r="G2963" s="3">
        <v>5376.42</v>
      </c>
      <c r="H2963" s="3">
        <v>-5376.42</v>
      </c>
      <c r="I2963" t="s">
        <v>1067</v>
      </c>
    </row>
    <row r="2964" spans="1:9" x14ac:dyDescent="0.35">
      <c r="A2964" s="2">
        <v>45550</v>
      </c>
      <c r="B2964">
        <v>91</v>
      </c>
      <c r="C2964">
        <v>2121001</v>
      </c>
      <c r="D2964" t="s">
        <v>27</v>
      </c>
      <c r="E2964" t="s">
        <v>740</v>
      </c>
      <c r="F2964" s="3">
        <v>0</v>
      </c>
      <c r="G2964" s="3">
        <v>860.23</v>
      </c>
      <c r="H2964" s="3">
        <v>-860.23</v>
      </c>
      <c r="I2964" t="s">
        <v>1067</v>
      </c>
    </row>
    <row r="2965" spans="1:9" x14ac:dyDescent="0.35">
      <c r="A2965" s="2">
        <v>45550</v>
      </c>
      <c r="B2965">
        <v>91</v>
      </c>
      <c r="C2965">
        <v>1111001</v>
      </c>
      <c r="D2965" t="s">
        <v>16</v>
      </c>
      <c r="E2965" t="s">
        <v>740</v>
      </c>
      <c r="F2965" s="3">
        <v>187.1</v>
      </c>
      <c r="G2965" s="3">
        <v>0</v>
      </c>
      <c r="H2965" s="3">
        <v>187.1</v>
      </c>
      <c r="I2965" t="s">
        <v>1067</v>
      </c>
    </row>
    <row r="2966" spans="1:9" x14ac:dyDescent="0.35">
      <c r="A2966" s="2">
        <v>45550</v>
      </c>
      <c r="B2966">
        <v>91</v>
      </c>
      <c r="C2966">
        <v>2124007</v>
      </c>
      <c r="D2966" t="s">
        <v>30</v>
      </c>
      <c r="E2966" t="s">
        <v>740</v>
      </c>
      <c r="F2966" s="3">
        <v>0</v>
      </c>
      <c r="G2966" s="3">
        <v>187.1</v>
      </c>
      <c r="H2966" s="3">
        <v>-187.1</v>
      </c>
      <c r="I2966" t="s">
        <v>1067</v>
      </c>
    </row>
    <row r="2967" spans="1:9" x14ac:dyDescent="0.35">
      <c r="A2967" s="2">
        <v>45550</v>
      </c>
      <c r="B2967">
        <v>91</v>
      </c>
      <c r="C2967">
        <v>1111001</v>
      </c>
      <c r="D2967" t="s">
        <v>16</v>
      </c>
      <c r="E2967" t="s">
        <v>740</v>
      </c>
      <c r="F2967" s="3">
        <v>6236.65</v>
      </c>
      <c r="G2967" s="3">
        <v>0</v>
      </c>
      <c r="H2967" s="3">
        <v>6236.65</v>
      </c>
      <c r="I2967" t="s">
        <v>1067</v>
      </c>
    </row>
    <row r="2968" spans="1:9" x14ac:dyDescent="0.35">
      <c r="A2968" s="2">
        <v>45550</v>
      </c>
      <c r="B2968">
        <v>91</v>
      </c>
      <c r="C2968">
        <v>4112004</v>
      </c>
      <c r="D2968" t="s">
        <v>74</v>
      </c>
      <c r="E2968" t="s">
        <v>197</v>
      </c>
      <c r="F2968" s="3">
        <v>0</v>
      </c>
      <c r="G2968" s="3">
        <v>6189.12</v>
      </c>
      <c r="H2968" s="3">
        <v>-6189.12</v>
      </c>
      <c r="I2968" t="s">
        <v>1068</v>
      </c>
    </row>
    <row r="2969" spans="1:9" x14ac:dyDescent="0.35">
      <c r="A2969" s="2">
        <v>45550</v>
      </c>
      <c r="B2969">
        <v>91</v>
      </c>
      <c r="C2969">
        <v>2121001</v>
      </c>
      <c r="D2969" t="s">
        <v>27</v>
      </c>
      <c r="E2969" t="s">
        <v>197</v>
      </c>
      <c r="F2969" s="3">
        <v>0</v>
      </c>
      <c r="G2969" s="3">
        <v>990.26</v>
      </c>
      <c r="H2969" s="3">
        <v>-990.26</v>
      </c>
      <c r="I2969" t="s">
        <v>1068</v>
      </c>
    </row>
    <row r="2970" spans="1:9" x14ac:dyDescent="0.35">
      <c r="A2970" s="2">
        <v>45550</v>
      </c>
      <c r="B2970">
        <v>91</v>
      </c>
      <c r="C2970">
        <v>1141002</v>
      </c>
      <c r="D2970" t="s">
        <v>23</v>
      </c>
      <c r="E2970" t="s">
        <v>197</v>
      </c>
      <c r="F2970" s="3">
        <v>742.69</v>
      </c>
      <c r="G2970" s="3">
        <v>0</v>
      </c>
      <c r="H2970" s="3">
        <v>742.69</v>
      </c>
      <c r="I2970" t="s">
        <v>1438</v>
      </c>
    </row>
    <row r="2971" spans="1:9" x14ac:dyDescent="0.35">
      <c r="A2971" s="2">
        <v>45550</v>
      </c>
      <c r="B2971">
        <v>91</v>
      </c>
      <c r="C2971">
        <v>1142001</v>
      </c>
      <c r="D2971" t="s">
        <v>199</v>
      </c>
      <c r="E2971" t="s">
        <v>197</v>
      </c>
      <c r="F2971" s="3">
        <v>123.78</v>
      </c>
      <c r="G2971" s="3">
        <v>0</v>
      </c>
      <c r="H2971" s="3">
        <v>123.78</v>
      </c>
      <c r="I2971" t="s">
        <v>1438</v>
      </c>
    </row>
    <row r="2972" spans="1:9" x14ac:dyDescent="0.35">
      <c r="A2972" s="2">
        <v>45550</v>
      </c>
      <c r="B2972">
        <v>91</v>
      </c>
      <c r="C2972">
        <v>1111001</v>
      </c>
      <c r="D2972" t="s">
        <v>16</v>
      </c>
      <c r="E2972" t="s">
        <v>197</v>
      </c>
      <c r="F2972" s="3">
        <v>6312.91</v>
      </c>
      <c r="G2972" s="3">
        <v>0</v>
      </c>
      <c r="H2972" s="3">
        <v>6312.91</v>
      </c>
      <c r="I2972" t="s">
        <v>1068</v>
      </c>
    </row>
    <row r="2973" spans="1:9" x14ac:dyDescent="0.35">
      <c r="A2973" s="2">
        <v>45550</v>
      </c>
      <c r="B2973">
        <v>91</v>
      </c>
      <c r="C2973">
        <v>2121001</v>
      </c>
      <c r="D2973" t="s">
        <v>27</v>
      </c>
      <c r="E2973" t="s">
        <v>543</v>
      </c>
      <c r="F2973" s="3">
        <v>20124.25</v>
      </c>
      <c r="G2973" s="3">
        <v>0</v>
      </c>
      <c r="H2973" s="3">
        <v>20124.25</v>
      </c>
      <c r="I2973" t="s">
        <v>544</v>
      </c>
    </row>
    <row r="2974" spans="1:9" x14ac:dyDescent="0.35">
      <c r="A2974" s="2">
        <v>45550</v>
      </c>
      <c r="B2974">
        <v>91</v>
      </c>
      <c r="C2974">
        <v>1141001</v>
      </c>
      <c r="D2974" t="s">
        <v>153</v>
      </c>
      <c r="E2974" t="s">
        <v>543</v>
      </c>
      <c r="F2974" s="3">
        <v>0</v>
      </c>
      <c r="G2974" s="3">
        <v>1081.21</v>
      </c>
      <c r="H2974" s="3">
        <v>-1081.21</v>
      </c>
      <c r="I2974" t="s">
        <v>544</v>
      </c>
    </row>
    <row r="2975" spans="1:9" x14ac:dyDescent="0.35">
      <c r="A2975" s="2">
        <v>45550</v>
      </c>
      <c r="B2975">
        <v>91</v>
      </c>
      <c r="C2975">
        <v>1141002</v>
      </c>
      <c r="D2975" t="s">
        <v>23</v>
      </c>
      <c r="E2975" t="s">
        <v>543</v>
      </c>
      <c r="F2975" s="3">
        <v>0</v>
      </c>
      <c r="G2975" s="3">
        <v>4738.58</v>
      </c>
      <c r="H2975" s="3">
        <v>-4738.58</v>
      </c>
      <c r="I2975" t="s">
        <v>544</v>
      </c>
    </row>
    <row r="2976" spans="1:9" x14ac:dyDescent="0.35">
      <c r="A2976" s="2">
        <v>45550</v>
      </c>
      <c r="B2976">
        <v>91</v>
      </c>
      <c r="C2976">
        <v>2121003</v>
      </c>
      <c r="D2976" t="s">
        <v>28</v>
      </c>
      <c r="E2976" t="s">
        <v>543</v>
      </c>
      <c r="F2976" s="3">
        <v>0</v>
      </c>
      <c r="G2976" s="3">
        <v>14304.46</v>
      </c>
      <c r="H2976" s="3">
        <v>-14304.46</v>
      </c>
      <c r="I2976" t="s">
        <v>544</v>
      </c>
    </row>
    <row r="2977" spans="1:9" x14ac:dyDescent="0.35">
      <c r="A2977" s="2">
        <v>45550</v>
      </c>
      <c r="B2977">
        <v>91</v>
      </c>
      <c r="C2977">
        <v>1142004</v>
      </c>
      <c r="D2977" t="s">
        <v>83</v>
      </c>
      <c r="E2977" t="s">
        <v>502</v>
      </c>
      <c r="F2977" s="3">
        <v>1257.77</v>
      </c>
      <c r="G2977" s="3">
        <v>0</v>
      </c>
      <c r="H2977" s="3">
        <v>1257.77</v>
      </c>
      <c r="I2977" t="s">
        <v>503</v>
      </c>
    </row>
    <row r="2978" spans="1:9" x14ac:dyDescent="0.35">
      <c r="A2978" s="2">
        <v>45550</v>
      </c>
      <c r="B2978">
        <v>91</v>
      </c>
      <c r="C2978">
        <v>2124004</v>
      </c>
      <c r="D2978" t="s">
        <v>29</v>
      </c>
      <c r="E2978" t="s">
        <v>502</v>
      </c>
      <c r="F2978" s="3">
        <v>0</v>
      </c>
      <c r="G2978" s="3">
        <v>1257.77</v>
      </c>
      <c r="H2978" s="3">
        <v>-1257.77</v>
      </c>
      <c r="I2978" t="s">
        <v>503</v>
      </c>
    </row>
    <row r="2979" spans="1:9" x14ac:dyDescent="0.35">
      <c r="A2979" s="2">
        <v>45550</v>
      </c>
      <c r="B2979">
        <v>91</v>
      </c>
      <c r="C2979">
        <v>5131001</v>
      </c>
      <c r="D2979" t="s">
        <v>86</v>
      </c>
      <c r="E2979" t="s">
        <v>1069</v>
      </c>
      <c r="F2979" s="3">
        <v>520</v>
      </c>
      <c r="G2979" s="3">
        <v>0</v>
      </c>
      <c r="H2979" s="3">
        <v>520</v>
      </c>
      <c r="I2979" t="s">
        <v>574</v>
      </c>
    </row>
    <row r="2980" spans="1:9" x14ac:dyDescent="0.35">
      <c r="A2980" s="2">
        <v>45550</v>
      </c>
      <c r="B2980">
        <v>91</v>
      </c>
      <c r="C2980">
        <v>5131005</v>
      </c>
      <c r="D2980" t="s">
        <v>205</v>
      </c>
      <c r="E2980" t="s">
        <v>1069</v>
      </c>
      <c r="F2980" s="3">
        <v>5872</v>
      </c>
      <c r="G2980" s="3">
        <v>0</v>
      </c>
      <c r="H2980" s="3">
        <v>5872</v>
      </c>
      <c r="I2980" t="s">
        <v>574</v>
      </c>
    </row>
    <row r="2981" spans="1:9" x14ac:dyDescent="0.35">
      <c r="A2981" s="2">
        <v>45550</v>
      </c>
      <c r="B2981">
        <v>91</v>
      </c>
      <c r="C2981">
        <v>5131008</v>
      </c>
      <c r="D2981" t="s">
        <v>89</v>
      </c>
      <c r="E2981" t="s">
        <v>1069</v>
      </c>
      <c r="F2981" s="3">
        <v>109.2</v>
      </c>
      <c r="G2981" s="3">
        <v>0</v>
      </c>
      <c r="H2981" s="3">
        <v>109.2</v>
      </c>
      <c r="I2981" t="s">
        <v>574</v>
      </c>
    </row>
    <row r="2982" spans="1:9" x14ac:dyDescent="0.35">
      <c r="A2982" s="2">
        <v>45550</v>
      </c>
      <c r="B2982">
        <v>91</v>
      </c>
      <c r="C2982">
        <v>5131009</v>
      </c>
      <c r="D2982" t="s">
        <v>90</v>
      </c>
      <c r="E2982" t="s">
        <v>1069</v>
      </c>
      <c r="F2982" s="3">
        <v>21.666666670000001</v>
      </c>
      <c r="G2982" s="3">
        <v>0</v>
      </c>
      <c r="H2982" s="3">
        <v>21.666666670000001</v>
      </c>
      <c r="I2982" t="s">
        <v>574</v>
      </c>
    </row>
    <row r="2983" spans="1:9" x14ac:dyDescent="0.35">
      <c r="A2983" s="2">
        <v>45550</v>
      </c>
      <c r="B2983">
        <v>91</v>
      </c>
      <c r="C2983">
        <v>5131010</v>
      </c>
      <c r="D2983" t="s">
        <v>91</v>
      </c>
      <c r="E2983" t="s">
        <v>1069</v>
      </c>
      <c r="F2983" s="3">
        <v>43.333333330000002</v>
      </c>
      <c r="G2983" s="3">
        <v>0</v>
      </c>
      <c r="H2983" s="3">
        <v>43.333333330000002</v>
      </c>
      <c r="I2983" t="s">
        <v>574</v>
      </c>
    </row>
    <row r="2984" spans="1:9" x14ac:dyDescent="0.35">
      <c r="A2984" s="2">
        <v>45550</v>
      </c>
      <c r="B2984">
        <v>91</v>
      </c>
      <c r="C2984">
        <v>5131012</v>
      </c>
      <c r="D2984" t="s">
        <v>206</v>
      </c>
      <c r="E2984" t="s">
        <v>1069</v>
      </c>
      <c r="F2984" s="3">
        <v>57.2</v>
      </c>
      <c r="G2984" s="3">
        <v>0</v>
      </c>
      <c r="H2984" s="3">
        <v>57.2</v>
      </c>
      <c r="I2984" t="s">
        <v>574</v>
      </c>
    </row>
    <row r="2985" spans="1:9" x14ac:dyDescent="0.35">
      <c r="A2985" s="2">
        <v>45550</v>
      </c>
      <c r="B2985">
        <v>91</v>
      </c>
      <c r="C2985">
        <v>5131013</v>
      </c>
      <c r="D2985" t="s">
        <v>92</v>
      </c>
      <c r="E2985" t="s">
        <v>1069</v>
      </c>
      <c r="F2985" s="3">
        <v>10.4</v>
      </c>
      <c r="G2985" s="3">
        <v>0</v>
      </c>
      <c r="H2985" s="3">
        <v>10.4</v>
      </c>
      <c r="I2985" t="s">
        <v>574</v>
      </c>
    </row>
    <row r="2986" spans="1:9" x14ac:dyDescent="0.35">
      <c r="A2986" s="2">
        <v>45550</v>
      </c>
      <c r="B2986">
        <v>91</v>
      </c>
      <c r="C2986">
        <v>5131014</v>
      </c>
      <c r="D2986" t="s">
        <v>207</v>
      </c>
      <c r="E2986" t="s">
        <v>1069</v>
      </c>
      <c r="F2986" s="3">
        <v>10.4</v>
      </c>
      <c r="G2986" s="3">
        <v>0</v>
      </c>
      <c r="H2986" s="3">
        <v>10.4</v>
      </c>
      <c r="I2986" t="s">
        <v>574</v>
      </c>
    </row>
    <row r="2987" spans="1:9" x14ac:dyDescent="0.35">
      <c r="A2987" s="2">
        <v>45550</v>
      </c>
      <c r="B2987">
        <v>91</v>
      </c>
      <c r="C2987">
        <v>2131002</v>
      </c>
      <c r="D2987" t="s">
        <v>31</v>
      </c>
      <c r="E2987" t="s">
        <v>1069</v>
      </c>
      <c r="F2987" s="3">
        <v>0</v>
      </c>
      <c r="G2987" s="3">
        <v>20.8</v>
      </c>
      <c r="H2987" s="3">
        <v>-20.8</v>
      </c>
      <c r="I2987" t="s">
        <v>574</v>
      </c>
    </row>
    <row r="2988" spans="1:9" x14ac:dyDescent="0.35">
      <c r="A2988" s="2">
        <v>45550</v>
      </c>
      <c r="B2988">
        <v>91</v>
      </c>
      <c r="C2988">
        <v>2131003</v>
      </c>
      <c r="D2988" t="s">
        <v>32</v>
      </c>
      <c r="E2988" t="s">
        <v>1069</v>
      </c>
      <c r="F2988" s="3">
        <v>0</v>
      </c>
      <c r="G2988" s="3">
        <v>2.6</v>
      </c>
      <c r="H2988" s="3">
        <v>-2.6</v>
      </c>
      <c r="I2988" t="s">
        <v>574</v>
      </c>
    </row>
    <row r="2989" spans="1:9" x14ac:dyDescent="0.35">
      <c r="A2989" s="2">
        <v>45550</v>
      </c>
      <c r="B2989">
        <v>91</v>
      </c>
      <c r="C2989">
        <v>2131004</v>
      </c>
      <c r="D2989" t="s">
        <v>33</v>
      </c>
      <c r="E2989" t="s">
        <v>1069</v>
      </c>
      <c r="F2989" s="3">
        <v>0</v>
      </c>
      <c r="G2989" s="3">
        <v>5.2</v>
      </c>
      <c r="H2989" s="3">
        <v>-5.2</v>
      </c>
      <c r="I2989" t="s">
        <v>574</v>
      </c>
    </row>
    <row r="2990" spans="1:9" x14ac:dyDescent="0.35">
      <c r="A2990" s="2">
        <v>45550</v>
      </c>
      <c r="B2990">
        <v>91</v>
      </c>
      <c r="C2990">
        <v>2141001</v>
      </c>
      <c r="D2990" t="s">
        <v>35</v>
      </c>
      <c r="E2990" t="s">
        <v>1069</v>
      </c>
      <c r="F2990" s="3">
        <v>0</v>
      </c>
      <c r="G2990" s="3">
        <v>57.2</v>
      </c>
      <c r="H2990" s="3">
        <v>-57.2</v>
      </c>
      <c r="I2990" t="s">
        <v>574</v>
      </c>
    </row>
    <row r="2991" spans="1:9" x14ac:dyDescent="0.35">
      <c r="A2991" s="2">
        <v>45550</v>
      </c>
      <c r="B2991">
        <v>91</v>
      </c>
      <c r="C2991">
        <v>2141002</v>
      </c>
      <c r="D2991" t="s">
        <v>36</v>
      </c>
      <c r="E2991" t="s">
        <v>1069</v>
      </c>
      <c r="F2991" s="3">
        <v>0</v>
      </c>
      <c r="G2991" s="3">
        <v>10.4</v>
      </c>
      <c r="H2991" s="3">
        <v>-10.4</v>
      </c>
      <c r="I2991" t="s">
        <v>574</v>
      </c>
    </row>
    <row r="2992" spans="1:9" x14ac:dyDescent="0.35">
      <c r="A2992" s="2">
        <v>45550</v>
      </c>
      <c r="B2992">
        <v>91</v>
      </c>
      <c r="C2992">
        <v>2141003</v>
      </c>
      <c r="D2992" t="s">
        <v>37</v>
      </c>
      <c r="E2992" t="s">
        <v>1069</v>
      </c>
      <c r="F2992" s="3">
        <v>0</v>
      </c>
      <c r="G2992" s="3">
        <v>10.4</v>
      </c>
      <c r="H2992" s="3">
        <v>-10.4</v>
      </c>
      <c r="I2992" t="s">
        <v>574</v>
      </c>
    </row>
    <row r="2993" spans="1:9" x14ac:dyDescent="0.35">
      <c r="A2993" s="2">
        <v>45550</v>
      </c>
      <c r="B2993">
        <v>91</v>
      </c>
      <c r="C2993">
        <v>2161004</v>
      </c>
      <c r="D2993" t="s">
        <v>38</v>
      </c>
      <c r="E2993" t="s">
        <v>1069</v>
      </c>
      <c r="F2993" s="3">
        <v>0</v>
      </c>
      <c r="G2993" s="3">
        <v>21.666666670000001</v>
      </c>
      <c r="H2993" s="3">
        <v>-21.666666670000001</v>
      </c>
      <c r="I2993" t="s">
        <v>574</v>
      </c>
    </row>
    <row r="2994" spans="1:9" x14ac:dyDescent="0.35">
      <c r="A2994" s="2">
        <v>45550</v>
      </c>
      <c r="B2994">
        <v>91</v>
      </c>
      <c r="C2994">
        <v>2161005</v>
      </c>
      <c r="D2994" t="s">
        <v>39</v>
      </c>
      <c r="E2994" t="s">
        <v>1069</v>
      </c>
      <c r="F2994" s="3">
        <v>0</v>
      </c>
      <c r="G2994" s="3">
        <v>43.333333330000002</v>
      </c>
      <c r="H2994" s="3">
        <v>-43.333333330000002</v>
      </c>
      <c r="I2994" t="s">
        <v>574</v>
      </c>
    </row>
    <row r="2995" spans="1:9" x14ac:dyDescent="0.35">
      <c r="A2995" s="2">
        <v>45550</v>
      </c>
      <c r="B2995">
        <v>91</v>
      </c>
      <c r="C2995">
        <v>2241001</v>
      </c>
      <c r="D2995" t="s">
        <v>40</v>
      </c>
      <c r="E2995" t="s">
        <v>1069</v>
      </c>
      <c r="F2995" s="3">
        <v>0</v>
      </c>
      <c r="G2995" s="3">
        <v>109.2</v>
      </c>
      <c r="H2995" s="3">
        <v>-109.2</v>
      </c>
      <c r="I2995" t="s">
        <v>574</v>
      </c>
    </row>
    <row r="2996" spans="1:9" x14ac:dyDescent="0.35">
      <c r="A2996" s="2">
        <v>45550</v>
      </c>
      <c r="B2996">
        <v>91</v>
      </c>
      <c r="C2996">
        <v>2161001</v>
      </c>
      <c r="D2996" t="s">
        <v>93</v>
      </c>
      <c r="E2996" t="s">
        <v>1069</v>
      </c>
      <c r="F2996" s="3">
        <v>0</v>
      </c>
      <c r="G2996" s="3">
        <v>6363.4</v>
      </c>
      <c r="H2996" s="3">
        <v>-6363.4</v>
      </c>
      <c r="I2996" t="s">
        <v>574</v>
      </c>
    </row>
    <row r="2997" spans="1:9" x14ac:dyDescent="0.35">
      <c r="A2997" s="2">
        <v>45550</v>
      </c>
      <c r="B2997">
        <v>91</v>
      </c>
      <c r="C2997">
        <v>6121040</v>
      </c>
      <c r="D2997" t="s">
        <v>98</v>
      </c>
      <c r="E2997" t="s">
        <v>99</v>
      </c>
      <c r="F2997" s="3">
        <v>708.69</v>
      </c>
      <c r="G2997" s="3">
        <v>0</v>
      </c>
      <c r="H2997" s="3">
        <v>708.69</v>
      </c>
      <c r="I2997" t="s">
        <v>114</v>
      </c>
    </row>
    <row r="2998" spans="1:9" x14ac:dyDescent="0.35">
      <c r="A2998" s="2">
        <v>45550</v>
      </c>
      <c r="B2998">
        <v>91</v>
      </c>
      <c r="C2998">
        <v>2161001</v>
      </c>
      <c r="D2998" t="s">
        <v>93</v>
      </c>
      <c r="E2998" t="s">
        <v>1808</v>
      </c>
      <c r="F2998" s="3">
        <v>1440</v>
      </c>
      <c r="G2998" s="3">
        <v>0</v>
      </c>
      <c r="H2998" s="3">
        <v>1440</v>
      </c>
      <c r="I2998" t="s">
        <v>114</v>
      </c>
    </row>
    <row r="2999" spans="1:9" x14ac:dyDescent="0.35">
      <c r="A2999" s="2">
        <v>45550</v>
      </c>
      <c r="B2999">
        <v>91</v>
      </c>
      <c r="C2999">
        <v>5131016</v>
      </c>
      <c r="D2999" t="s">
        <v>238</v>
      </c>
      <c r="E2999" t="s">
        <v>1070</v>
      </c>
      <c r="F2999" s="3">
        <v>630</v>
      </c>
      <c r="G2999" s="3">
        <v>0</v>
      </c>
      <c r="H2999" s="3">
        <v>630</v>
      </c>
      <c r="I2999" t="s">
        <v>114</v>
      </c>
    </row>
    <row r="3000" spans="1:9" x14ac:dyDescent="0.35">
      <c r="A3000" s="2">
        <v>45550</v>
      </c>
      <c r="B3000">
        <v>91</v>
      </c>
      <c r="C3000">
        <v>5132007</v>
      </c>
      <c r="D3000" t="s">
        <v>355</v>
      </c>
      <c r="E3000" t="s">
        <v>1071</v>
      </c>
      <c r="F3000" s="3">
        <v>1750</v>
      </c>
      <c r="G3000" s="3">
        <v>0</v>
      </c>
      <c r="H3000" s="3">
        <v>1750</v>
      </c>
      <c r="I3000" t="s">
        <v>114</v>
      </c>
    </row>
    <row r="3001" spans="1:9" x14ac:dyDescent="0.35">
      <c r="A3001" s="2">
        <v>45550</v>
      </c>
      <c r="B3001">
        <v>91</v>
      </c>
      <c r="C3001">
        <v>2121003</v>
      </c>
      <c r="D3001" t="s">
        <v>28</v>
      </c>
      <c r="E3001" t="s">
        <v>221</v>
      </c>
      <c r="F3001" s="3">
        <v>11821.46</v>
      </c>
      <c r="G3001" s="3">
        <v>0</v>
      </c>
      <c r="H3001" s="3">
        <v>11821.46</v>
      </c>
      <c r="I3001" t="s">
        <v>114</v>
      </c>
    </row>
    <row r="3002" spans="1:9" x14ac:dyDescent="0.35">
      <c r="A3002" s="2">
        <v>45550</v>
      </c>
      <c r="B3002">
        <v>91</v>
      </c>
      <c r="C3002">
        <v>2141002</v>
      </c>
      <c r="D3002" t="s">
        <v>36</v>
      </c>
      <c r="E3002" t="s">
        <v>121</v>
      </c>
      <c r="F3002" s="3">
        <v>27.3</v>
      </c>
      <c r="G3002" s="3">
        <v>0</v>
      </c>
      <c r="H3002" s="3">
        <v>27.3</v>
      </c>
      <c r="I3002" t="s">
        <v>114</v>
      </c>
    </row>
    <row r="3003" spans="1:9" x14ac:dyDescent="0.35">
      <c r="A3003" s="2">
        <v>45550</v>
      </c>
      <c r="B3003">
        <v>91</v>
      </c>
      <c r="C3003">
        <v>2141001</v>
      </c>
      <c r="D3003" t="s">
        <v>35</v>
      </c>
      <c r="E3003" t="s">
        <v>120</v>
      </c>
      <c r="F3003" s="3">
        <v>138.6</v>
      </c>
      <c r="G3003" s="3">
        <v>0</v>
      </c>
      <c r="H3003" s="3">
        <v>138.6</v>
      </c>
      <c r="I3003" t="s">
        <v>114</v>
      </c>
    </row>
    <row r="3004" spans="1:9" x14ac:dyDescent="0.35">
      <c r="A3004" s="2">
        <v>45550</v>
      </c>
      <c r="B3004">
        <v>91</v>
      </c>
      <c r="C3004">
        <v>2124004</v>
      </c>
      <c r="D3004" t="s">
        <v>29</v>
      </c>
      <c r="E3004" t="s">
        <v>119</v>
      </c>
      <c r="F3004" s="3">
        <v>1125.58</v>
      </c>
      <c r="G3004" s="3">
        <v>0</v>
      </c>
      <c r="H3004" s="3">
        <v>1125.58</v>
      </c>
      <c r="I3004" t="s">
        <v>114</v>
      </c>
    </row>
    <row r="3005" spans="1:9" x14ac:dyDescent="0.35">
      <c r="A3005" s="2">
        <v>45550</v>
      </c>
      <c r="B3005">
        <v>91</v>
      </c>
      <c r="C3005">
        <v>2122003</v>
      </c>
      <c r="D3005" t="s">
        <v>308</v>
      </c>
      <c r="E3005" t="s">
        <v>548</v>
      </c>
      <c r="F3005" s="3">
        <v>132.6</v>
      </c>
      <c r="G3005" s="3">
        <v>0</v>
      </c>
      <c r="H3005" s="3">
        <v>132.6</v>
      </c>
      <c r="I3005" t="s">
        <v>114</v>
      </c>
    </row>
    <row r="3006" spans="1:9" x14ac:dyDescent="0.35">
      <c r="A3006" s="2">
        <v>45550</v>
      </c>
      <c r="B3006">
        <v>91</v>
      </c>
      <c r="C3006">
        <v>2114010</v>
      </c>
      <c r="D3006" t="s">
        <v>48</v>
      </c>
      <c r="E3006" t="s">
        <v>105</v>
      </c>
      <c r="F3006" s="3">
        <v>6892.72</v>
      </c>
      <c r="G3006" s="3">
        <v>0</v>
      </c>
      <c r="H3006" s="3">
        <v>6892.72</v>
      </c>
      <c r="I3006" t="s">
        <v>114</v>
      </c>
    </row>
    <row r="3007" spans="1:9" x14ac:dyDescent="0.35">
      <c r="A3007" s="2">
        <v>45550</v>
      </c>
      <c r="B3007">
        <v>91</v>
      </c>
      <c r="C3007">
        <v>5131016</v>
      </c>
      <c r="D3007" t="s">
        <v>238</v>
      </c>
      <c r="E3007" t="s">
        <v>292</v>
      </c>
      <c r="F3007" s="3">
        <v>1500</v>
      </c>
      <c r="G3007" s="3">
        <v>0</v>
      </c>
      <c r="H3007" s="3">
        <v>1500</v>
      </c>
      <c r="I3007" t="s">
        <v>114</v>
      </c>
    </row>
    <row r="3008" spans="1:9" x14ac:dyDescent="0.35">
      <c r="A3008" s="2">
        <v>45550</v>
      </c>
      <c r="B3008">
        <v>91</v>
      </c>
      <c r="C3008">
        <v>2161001</v>
      </c>
      <c r="D3008" t="s">
        <v>93</v>
      </c>
      <c r="E3008" t="s">
        <v>1072</v>
      </c>
      <c r="F3008" s="3">
        <v>3500</v>
      </c>
      <c r="G3008" s="3">
        <v>0</v>
      </c>
      <c r="H3008" s="3">
        <v>3500</v>
      </c>
      <c r="I3008" t="s">
        <v>114</v>
      </c>
    </row>
    <row r="3009" spans="1:9" x14ac:dyDescent="0.35">
      <c r="A3009" s="2">
        <v>45550</v>
      </c>
      <c r="B3009">
        <v>91</v>
      </c>
      <c r="C3009">
        <v>2161001</v>
      </c>
      <c r="D3009" t="s">
        <v>93</v>
      </c>
      <c r="E3009" t="s">
        <v>1771</v>
      </c>
      <c r="F3009" s="3">
        <v>4300</v>
      </c>
      <c r="G3009" s="3">
        <v>0</v>
      </c>
      <c r="H3009" s="3">
        <v>4300</v>
      </c>
      <c r="I3009" t="s">
        <v>114</v>
      </c>
    </row>
    <row r="3010" spans="1:9" x14ac:dyDescent="0.35">
      <c r="A3010" s="2">
        <v>45550</v>
      </c>
      <c r="B3010">
        <v>91</v>
      </c>
      <c r="C3010">
        <v>2161001</v>
      </c>
      <c r="D3010" t="s">
        <v>93</v>
      </c>
      <c r="E3010" t="s">
        <v>1073</v>
      </c>
      <c r="F3010" s="3">
        <v>4300</v>
      </c>
      <c r="G3010" s="3">
        <v>0</v>
      </c>
      <c r="H3010" s="3">
        <v>4300</v>
      </c>
      <c r="I3010" t="s">
        <v>114</v>
      </c>
    </row>
    <row r="3011" spans="1:9" x14ac:dyDescent="0.35">
      <c r="A3011" s="2">
        <v>45550</v>
      </c>
      <c r="B3011">
        <v>91</v>
      </c>
      <c r="C3011">
        <v>2161001</v>
      </c>
      <c r="D3011" t="s">
        <v>93</v>
      </c>
      <c r="E3011" t="s">
        <v>1771</v>
      </c>
      <c r="F3011" s="3">
        <v>4443.1899999999996</v>
      </c>
      <c r="G3011" s="3">
        <v>0</v>
      </c>
      <c r="H3011" s="3">
        <v>4443.1899999999996</v>
      </c>
      <c r="I3011" t="s">
        <v>114</v>
      </c>
    </row>
    <row r="3012" spans="1:9" x14ac:dyDescent="0.35">
      <c r="A3012" s="2">
        <v>45550</v>
      </c>
      <c r="B3012">
        <v>91</v>
      </c>
      <c r="C3012">
        <v>2161001</v>
      </c>
      <c r="D3012" t="s">
        <v>93</v>
      </c>
      <c r="E3012" t="s">
        <v>1771</v>
      </c>
      <c r="F3012" s="3">
        <v>860</v>
      </c>
      <c r="G3012" s="3">
        <v>0</v>
      </c>
      <c r="H3012" s="3">
        <v>860</v>
      </c>
      <c r="I3012" t="s">
        <v>114</v>
      </c>
    </row>
    <row r="3013" spans="1:9" x14ac:dyDescent="0.35">
      <c r="A3013" s="2">
        <v>45550</v>
      </c>
      <c r="B3013">
        <v>91</v>
      </c>
      <c r="C3013">
        <v>2161001</v>
      </c>
      <c r="D3013" t="s">
        <v>93</v>
      </c>
      <c r="E3013" t="s">
        <v>1771</v>
      </c>
      <c r="F3013" s="3">
        <v>5160</v>
      </c>
      <c r="G3013" s="3">
        <v>0</v>
      </c>
      <c r="H3013" s="3">
        <v>5160</v>
      </c>
      <c r="I3013" t="s">
        <v>114</v>
      </c>
    </row>
    <row r="3014" spans="1:9" x14ac:dyDescent="0.35">
      <c r="A3014" s="2">
        <v>45550</v>
      </c>
      <c r="B3014">
        <v>91</v>
      </c>
      <c r="C3014">
        <v>2161001</v>
      </c>
      <c r="D3014" t="s">
        <v>93</v>
      </c>
      <c r="E3014" t="s">
        <v>1771</v>
      </c>
      <c r="F3014" s="3">
        <v>4300</v>
      </c>
      <c r="G3014" s="3">
        <v>0</v>
      </c>
      <c r="H3014" s="3">
        <v>4300</v>
      </c>
      <c r="I3014" t="s">
        <v>114</v>
      </c>
    </row>
    <row r="3015" spans="1:9" x14ac:dyDescent="0.35">
      <c r="A3015" s="2">
        <v>45550</v>
      </c>
      <c r="B3015">
        <v>91</v>
      </c>
      <c r="C3015">
        <v>1112003</v>
      </c>
      <c r="D3015" t="s">
        <v>22</v>
      </c>
      <c r="E3015" t="s">
        <v>758</v>
      </c>
      <c r="F3015" s="3">
        <v>0</v>
      </c>
      <c r="G3015" s="3">
        <v>53030.14</v>
      </c>
      <c r="H3015" s="3">
        <v>-53030.14</v>
      </c>
      <c r="I3015" t="s">
        <v>114</v>
      </c>
    </row>
    <row r="3016" spans="1:9" x14ac:dyDescent="0.35">
      <c r="A3016" s="2">
        <v>45550</v>
      </c>
      <c r="B3016">
        <v>91</v>
      </c>
      <c r="C3016">
        <v>2161001</v>
      </c>
      <c r="D3016" t="s">
        <v>93</v>
      </c>
      <c r="E3016" t="s">
        <v>1074</v>
      </c>
      <c r="F3016" s="3">
        <v>0</v>
      </c>
      <c r="G3016" s="3">
        <v>31963.19</v>
      </c>
      <c r="H3016" s="3">
        <v>-31963.19</v>
      </c>
      <c r="I3016" t="s">
        <v>574</v>
      </c>
    </row>
    <row r="3017" spans="1:9" x14ac:dyDescent="0.35">
      <c r="A3017" s="2">
        <v>45550</v>
      </c>
      <c r="B3017">
        <v>91</v>
      </c>
      <c r="C3017">
        <v>5131006</v>
      </c>
      <c r="D3017" t="s">
        <v>125</v>
      </c>
      <c r="E3017" t="s">
        <v>1074</v>
      </c>
      <c r="F3017" s="3">
        <v>31963.19</v>
      </c>
      <c r="G3017" s="3">
        <v>0</v>
      </c>
      <c r="H3017" s="3">
        <v>31963.19</v>
      </c>
      <c r="I3017" t="s">
        <v>574</v>
      </c>
    </row>
    <row r="3018" spans="1:9" x14ac:dyDescent="0.35">
      <c r="A3018" s="2">
        <v>45550</v>
      </c>
      <c r="B3018">
        <v>91</v>
      </c>
      <c r="C3018">
        <v>1112003</v>
      </c>
      <c r="D3018" t="s">
        <v>22</v>
      </c>
      <c r="E3018" t="s">
        <v>744</v>
      </c>
      <c r="F3018" s="3">
        <v>49169.32</v>
      </c>
      <c r="G3018" s="3">
        <v>0</v>
      </c>
      <c r="H3018" s="3">
        <v>49169.32</v>
      </c>
      <c r="I3018" t="s">
        <v>114</v>
      </c>
    </row>
    <row r="3019" spans="1:9" x14ac:dyDescent="0.35">
      <c r="A3019" s="2">
        <v>45550</v>
      </c>
      <c r="B3019">
        <v>91</v>
      </c>
      <c r="C3019">
        <v>1111001</v>
      </c>
      <c r="D3019" t="s">
        <v>16</v>
      </c>
      <c r="E3019" t="s">
        <v>139</v>
      </c>
      <c r="F3019" s="3">
        <v>0</v>
      </c>
      <c r="G3019" s="3">
        <v>6169.32</v>
      </c>
      <c r="H3019" s="3">
        <v>-6169.32</v>
      </c>
      <c r="I3019" t="s">
        <v>114</v>
      </c>
    </row>
    <row r="3020" spans="1:9" x14ac:dyDescent="0.35">
      <c r="A3020" s="2">
        <v>45550</v>
      </c>
      <c r="B3020">
        <v>91</v>
      </c>
      <c r="C3020">
        <v>1111001</v>
      </c>
      <c r="D3020" t="s">
        <v>16</v>
      </c>
      <c r="E3020" t="s">
        <v>111</v>
      </c>
      <c r="F3020" s="3">
        <v>0</v>
      </c>
      <c r="G3020" s="3">
        <v>34980</v>
      </c>
      <c r="H3020" s="3">
        <v>-34980</v>
      </c>
      <c r="I3020" t="s">
        <v>114</v>
      </c>
    </row>
    <row r="3021" spans="1:9" x14ac:dyDescent="0.35">
      <c r="A3021" s="2">
        <v>45550</v>
      </c>
      <c r="B3021">
        <v>91</v>
      </c>
      <c r="C3021">
        <v>1111001</v>
      </c>
      <c r="D3021" t="s">
        <v>16</v>
      </c>
      <c r="E3021" t="s">
        <v>138</v>
      </c>
      <c r="F3021" s="3">
        <v>0</v>
      </c>
      <c r="G3021" s="3">
        <v>1300</v>
      </c>
      <c r="H3021" s="3">
        <v>-1300</v>
      </c>
      <c r="I3021" t="s">
        <v>114</v>
      </c>
    </row>
    <row r="3022" spans="1:9" x14ac:dyDescent="0.35">
      <c r="A3022" s="2">
        <v>45550</v>
      </c>
      <c r="B3022">
        <v>91</v>
      </c>
      <c r="C3022">
        <v>1111001</v>
      </c>
      <c r="D3022" t="s">
        <v>16</v>
      </c>
      <c r="E3022" t="s">
        <v>1075</v>
      </c>
      <c r="F3022" s="3">
        <v>0</v>
      </c>
      <c r="G3022" s="3">
        <v>720</v>
      </c>
      <c r="H3022" s="3">
        <v>-720</v>
      </c>
      <c r="I3022" t="s">
        <v>114</v>
      </c>
    </row>
    <row r="3023" spans="1:9" x14ac:dyDescent="0.35">
      <c r="A3023" s="2">
        <v>45550</v>
      </c>
      <c r="B3023">
        <v>91</v>
      </c>
      <c r="C3023">
        <v>1111001</v>
      </c>
      <c r="D3023" t="s">
        <v>16</v>
      </c>
      <c r="E3023" t="s">
        <v>1076</v>
      </c>
      <c r="F3023" s="3">
        <v>0</v>
      </c>
      <c r="G3023" s="3">
        <v>6000</v>
      </c>
      <c r="H3023" s="3">
        <v>-6000</v>
      </c>
      <c r="I3023" t="s">
        <v>114</v>
      </c>
    </row>
    <row r="3024" spans="1:9" x14ac:dyDescent="0.35">
      <c r="A3024" s="2">
        <v>45550</v>
      </c>
      <c r="B3024">
        <v>91</v>
      </c>
      <c r="C3024">
        <v>2114001</v>
      </c>
      <c r="D3024" t="s">
        <v>97</v>
      </c>
      <c r="E3024" t="s">
        <v>1768</v>
      </c>
      <c r="F3024" s="3">
        <v>3172</v>
      </c>
      <c r="G3024" s="3">
        <v>0</v>
      </c>
      <c r="H3024" s="3">
        <v>3172</v>
      </c>
      <c r="I3024" t="s">
        <v>480</v>
      </c>
    </row>
    <row r="3025" spans="1:9" x14ac:dyDescent="0.35">
      <c r="A3025" s="2">
        <v>45550</v>
      </c>
      <c r="B3025">
        <v>91</v>
      </c>
      <c r="C3025">
        <v>6121040</v>
      </c>
      <c r="D3025" t="s">
        <v>98</v>
      </c>
      <c r="E3025" t="s">
        <v>99</v>
      </c>
      <c r="F3025" s="3">
        <v>67.709999999999994</v>
      </c>
      <c r="G3025" s="3">
        <v>0</v>
      </c>
      <c r="H3025" s="3">
        <v>67.709999999999994</v>
      </c>
      <c r="I3025" t="s">
        <v>480</v>
      </c>
    </row>
    <row r="3026" spans="1:9" x14ac:dyDescent="0.35">
      <c r="A3026" s="2">
        <v>45550</v>
      </c>
      <c r="B3026">
        <v>91</v>
      </c>
      <c r="C3026">
        <v>6121020</v>
      </c>
      <c r="D3026" t="s">
        <v>129</v>
      </c>
      <c r="E3026" t="s">
        <v>283</v>
      </c>
      <c r="F3026" s="3">
        <v>2000</v>
      </c>
      <c r="G3026" s="3">
        <v>0</v>
      </c>
      <c r="H3026" s="3">
        <v>2000</v>
      </c>
      <c r="I3026" t="s">
        <v>480</v>
      </c>
    </row>
    <row r="3027" spans="1:9" x14ac:dyDescent="0.35">
      <c r="A3027" s="2">
        <v>45550</v>
      </c>
      <c r="B3027">
        <v>91</v>
      </c>
      <c r="C3027">
        <v>1111001</v>
      </c>
      <c r="D3027" t="s">
        <v>16</v>
      </c>
      <c r="E3027" t="s">
        <v>118</v>
      </c>
      <c r="F3027" s="3">
        <v>1000</v>
      </c>
      <c r="G3027" s="3">
        <v>0</v>
      </c>
      <c r="H3027" s="3">
        <v>1000</v>
      </c>
      <c r="I3027" t="s">
        <v>480</v>
      </c>
    </row>
    <row r="3028" spans="1:9" x14ac:dyDescent="0.35">
      <c r="A3028" s="2">
        <v>45550</v>
      </c>
      <c r="B3028">
        <v>91</v>
      </c>
      <c r="C3028">
        <v>1111001</v>
      </c>
      <c r="D3028" t="s">
        <v>16</v>
      </c>
      <c r="E3028" t="s">
        <v>687</v>
      </c>
      <c r="F3028" s="3">
        <v>1900</v>
      </c>
      <c r="G3028" s="3">
        <v>0</v>
      </c>
      <c r="H3028" s="3">
        <v>1900</v>
      </c>
      <c r="I3028" t="s">
        <v>480</v>
      </c>
    </row>
    <row r="3029" spans="1:9" x14ac:dyDescent="0.35">
      <c r="A3029" s="2">
        <v>45550</v>
      </c>
      <c r="B3029">
        <v>91</v>
      </c>
      <c r="C3029">
        <v>1111001</v>
      </c>
      <c r="D3029" t="s">
        <v>16</v>
      </c>
      <c r="E3029" t="s">
        <v>1077</v>
      </c>
      <c r="F3029" s="3">
        <v>340</v>
      </c>
      <c r="G3029" s="3">
        <v>0</v>
      </c>
      <c r="H3029" s="3">
        <v>340</v>
      </c>
      <c r="I3029" t="s">
        <v>480</v>
      </c>
    </row>
    <row r="3030" spans="1:9" x14ac:dyDescent="0.35">
      <c r="A3030" s="2">
        <v>45550</v>
      </c>
      <c r="B3030">
        <v>91</v>
      </c>
      <c r="C3030">
        <v>1111001</v>
      </c>
      <c r="D3030" t="s">
        <v>16</v>
      </c>
      <c r="E3030" t="s">
        <v>213</v>
      </c>
      <c r="F3030" s="3">
        <v>330</v>
      </c>
      <c r="G3030" s="3">
        <v>0</v>
      </c>
      <c r="H3030" s="3">
        <v>330</v>
      </c>
      <c r="I3030" t="s">
        <v>480</v>
      </c>
    </row>
    <row r="3031" spans="1:9" x14ac:dyDescent="0.35">
      <c r="A3031" s="2">
        <v>45550</v>
      </c>
      <c r="B3031">
        <v>91</v>
      </c>
      <c r="C3031">
        <v>1111001</v>
      </c>
      <c r="D3031" t="s">
        <v>16</v>
      </c>
      <c r="E3031" t="s">
        <v>1078</v>
      </c>
      <c r="F3031" s="3">
        <v>430</v>
      </c>
      <c r="G3031" s="3">
        <v>0</v>
      </c>
      <c r="H3031" s="3">
        <v>430</v>
      </c>
      <c r="I3031" t="s">
        <v>480</v>
      </c>
    </row>
    <row r="3032" spans="1:9" x14ac:dyDescent="0.35">
      <c r="A3032" s="2">
        <v>45550</v>
      </c>
      <c r="B3032">
        <v>91</v>
      </c>
      <c r="C3032">
        <v>1112001</v>
      </c>
      <c r="D3032" t="s">
        <v>20</v>
      </c>
      <c r="E3032" t="s">
        <v>758</v>
      </c>
      <c r="F3032" s="3">
        <v>0</v>
      </c>
      <c r="G3032" s="3">
        <v>9239.7099999999991</v>
      </c>
      <c r="H3032" s="3">
        <v>-9239.7099999999991</v>
      </c>
      <c r="I3032" t="s">
        <v>480</v>
      </c>
    </row>
    <row r="3033" spans="1:9" x14ac:dyDescent="0.35">
      <c r="A3033" s="2">
        <v>45550</v>
      </c>
      <c r="B3033">
        <v>91</v>
      </c>
      <c r="C3033">
        <v>1112001</v>
      </c>
      <c r="D3033" t="s">
        <v>20</v>
      </c>
      <c r="E3033" t="s">
        <v>744</v>
      </c>
      <c r="F3033" s="3">
        <v>9249.23</v>
      </c>
      <c r="G3033" s="3">
        <v>0</v>
      </c>
      <c r="H3033" s="3">
        <v>9249.23</v>
      </c>
      <c r="I3033" t="s">
        <v>480</v>
      </c>
    </row>
    <row r="3034" spans="1:9" x14ac:dyDescent="0.35">
      <c r="A3034" s="2">
        <v>45550</v>
      </c>
      <c r="B3034">
        <v>91</v>
      </c>
      <c r="C3034">
        <v>1111001</v>
      </c>
      <c r="D3034" t="s">
        <v>16</v>
      </c>
      <c r="E3034" t="s">
        <v>1079</v>
      </c>
      <c r="F3034" s="3">
        <v>0</v>
      </c>
      <c r="G3034" s="3">
        <v>805.38</v>
      </c>
      <c r="H3034" s="3">
        <v>-805.38</v>
      </c>
      <c r="I3034" t="s">
        <v>480</v>
      </c>
    </row>
    <row r="3035" spans="1:9" x14ac:dyDescent="0.35">
      <c r="A3035" s="2">
        <v>45550</v>
      </c>
      <c r="B3035">
        <v>91</v>
      </c>
      <c r="C3035">
        <v>1111001</v>
      </c>
      <c r="D3035" t="s">
        <v>16</v>
      </c>
      <c r="E3035" t="s">
        <v>112</v>
      </c>
      <c r="F3035" s="3">
        <v>0</v>
      </c>
      <c r="G3035" s="3">
        <v>8443.85</v>
      </c>
      <c r="H3035" s="3">
        <v>-8443.85</v>
      </c>
      <c r="I3035" t="s">
        <v>480</v>
      </c>
    </row>
    <row r="3036" spans="1:9" x14ac:dyDescent="0.35">
      <c r="A3036" s="2">
        <v>45550</v>
      </c>
      <c r="B3036">
        <v>91</v>
      </c>
      <c r="C3036">
        <v>5132002</v>
      </c>
      <c r="D3036" t="s">
        <v>115</v>
      </c>
      <c r="E3036" t="s">
        <v>1080</v>
      </c>
      <c r="F3036" s="3">
        <v>28825.73</v>
      </c>
      <c r="G3036" s="3">
        <v>0</v>
      </c>
      <c r="H3036" s="3">
        <v>28825.73</v>
      </c>
      <c r="I3036" t="s">
        <v>507</v>
      </c>
    </row>
    <row r="3037" spans="1:9" x14ac:dyDescent="0.35">
      <c r="A3037" s="2">
        <v>45550</v>
      </c>
      <c r="B3037">
        <v>91</v>
      </c>
      <c r="C3037">
        <v>1111001</v>
      </c>
      <c r="D3037" t="s">
        <v>16</v>
      </c>
      <c r="E3037" t="s">
        <v>1081</v>
      </c>
      <c r="F3037" s="3">
        <v>256.48</v>
      </c>
      <c r="G3037" s="3">
        <v>0</v>
      </c>
      <c r="H3037" s="3">
        <v>256.48</v>
      </c>
      <c r="I3037" t="s">
        <v>507</v>
      </c>
    </row>
    <row r="3038" spans="1:9" x14ac:dyDescent="0.35">
      <c r="A3038" s="2">
        <v>45550</v>
      </c>
      <c r="B3038">
        <v>91</v>
      </c>
      <c r="C3038">
        <v>6121031</v>
      </c>
      <c r="D3038" t="s">
        <v>209</v>
      </c>
      <c r="E3038" t="s">
        <v>1082</v>
      </c>
      <c r="F3038" s="3">
        <v>2557.8000000000002</v>
      </c>
      <c r="G3038" s="3">
        <v>0</v>
      </c>
      <c r="H3038" s="3">
        <v>2557.8000000000002</v>
      </c>
      <c r="I3038" t="s">
        <v>507</v>
      </c>
    </row>
    <row r="3039" spans="1:9" x14ac:dyDescent="0.35">
      <c r="A3039" s="2">
        <v>45550</v>
      </c>
      <c r="B3039">
        <v>91</v>
      </c>
      <c r="C3039">
        <v>1111001</v>
      </c>
      <c r="D3039" t="s">
        <v>16</v>
      </c>
      <c r="E3039" t="s">
        <v>213</v>
      </c>
      <c r="F3039" s="3">
        <v>28500</v>
      </c>
      <c r="G3039" s="3">
        <v>0</v>
      </c>
      <c r="H3039" s="3">
        <v>28500</v>
      </c>
      <c r="I3039" t="s">
        <v>507</v>
      </c>
    </row>
    <row r="3040" spans="1:9" x14ac:dyDescent="0.35">
      <c r="A3040" s="2">
        <v>45550</v>
      </c>
      <c r="B3040">
        <v>91</v>
      </c>
      <c r="C3040">
        <v>6121025</v>
      </c>
      <c r="D3040" t="s">
        <v>134</v>
      </c>
      <c r="E3040" t="s">
        <v>1083</v>
      </c>
      <c r="F3040" s="3">
        <v>3432.17</v>
      </c>
      <c r="G3040" s="3">
        <v>0</v>
      </c>
      <c r="H3040" s="3">
        <v>3432.17</v>
      </c>
      <c r="I3040" t="s">
        <v>507</v>
      </c>
    </row>
    <row r="3041" spans="1:9" x14ac:dyDescent="0.35">
      <c r="A3041" s="2">
        <v>45550</v>
      </c>
      <c r="B3041">
        <v>91</v>
      </c>
      <c r="C3041">
        <v>1111001</v>
      </c>
      <c r="D3041" t="s">
        <v>16</v>
      </c>
      <c r="E3041" t="s">
        <v>1084</v>
      </c>
      <c r="F3041" s="3">
        <v>1000</v>
      </c>
      <c r="G3041" s="3">
        <v>0</v>
      </c>
      <c r="H3041" s="3">
        <v>1000</v>
      </c>
      <c r="I3041" t="s">
        <v>507</v>
      </c>
    </row>
    <row r="3042" spans="1:9" x14ac:dyDescent="0.35">
      <c r="A3042" s="2">
        <v>45550</v>
      </c>
      <c r="B3042">
        <v>91</v>
      </c>
      <c r="C3042">
        <v>6121040</v>
      </c>
      <c r="D3042" t="s">
        <v>98</v>
      </c>
      <c r="E3042" t="s">
        <v>142</v>
      </c>
      <c r="F3042" s="3">
        <v>8.92</v>
      </c>
      <c r="G3042" s="3">
        <v>0</v>
      </c>
      <c r="H3042" s="3">
        <v>8.92</v>
      </c>
      <c r="I3042" t="s">
        <v>507</v>
      </c>
    </row>
    <row r="3043" spans="1:9" x14ac:dyDescent="0.35">
      <c r="A3043" s="2">
        <v>45550</v>
      </c>
      <c r="B3043">
        <v>91</v>
      </c>
      <c r="C3043">
        <v>1112002</v>
      </c>
      <c r="D3043" t="s">
        <v>21</v>
      </c>
      <c r="E3043" t="s">
        <v>758</v>
      </c>
      <c r="F3043" s="3">
        <v>0</v>
      </c>
      <c r="G3043" s="3">
        <v>103049.91</v>
      </c>
      <c r="H3043" s="3">
        <v>-103049.91</v>
      </c>
      <c r="I3043" t="s">
        <v>507</v>
      </c>
    </row>
    <row r="3044" spans="1:9" x14ac:dyDescent="0.35">
      <c r="A3044" s="2">
        <v>45550</v>
      </c>
      <c r="B3044">
        <v>91</v>
      </c>
      <c r="C3044">
        <v>1112002</v>
      </c>
      <c r="D3044" t="s">
        <v>21</v>
      </c>
      <c r="E3044" t="s">
        <v>744</v>
      </c>
      <c r="F3044" s="3">
        <v>103042.02</v>
      </c>
      <c r="G3044" s="3">
        <v>0</v>
      </c>
      <c r="H3044" s="3">
        <v>103042.02</v>
      </c>
      <c r="I3044" t="s">
        <v>507</v>
      </c>
    </row>
    <row r="3045" spans="1:9" x14ac:dyDescent="0.35">
      <c r="A3045" s="2">
        <v>45550</v>
      </c>
      <c r="B3045">
        <v>91</v>
      </c>
      <c r="C3045">
        <v>4141003</v>
      </c>
      <c r="D3045" t="s">
        <v>141</v>
      </c>
      <c r="E3045" t="s">
        <v>142</v>
      </c>
      <c r="F3045" s="3">
        <v>0</v>
      </c>
      <c r="G3045" s="3">
        <v>139.86000000000001</v>
      </c>
      <c r="H3045" s="3">
        <v>-139.86000000000001</v>
      </c>
      <c r="I3045" t="s">
        <v>507</v>
      </c>
    </row>
    <row r="3046" spans="1:9" x14ac:dyDescent="0.35">
      <c r="A3046" s="2">
        <v>45550</v>
      </c>
      <c r="B3046">
        <v>91</v>
      </c>
      <c r="C3046">
        <v>1111001</v>
      </c>
      <c r="D3046" t="s">
        <v>16</v>
      </c>
      <c r="E3046" t="s">
        <v>137</v>
      </c>
      <c r="F3046" s="3">
        <v>0</v>
      </c>
      <c r="G3046" s="3">
        <v>72513.45</v>
      </c>
      <c r="H3046" s="3">
        <v>-72513.45</v>
      </c>
      <c r="I3046" t="s">
        <v>507</v>
      </c>
    </row>
    <row r="3047" spans="1:9" x14ac:dyDescent="0.35">
      <c r="A3047" s="2">
        <v>45550</v>
      </c>
      <c r="B3047">
        <v>91</v>
      </c>
      <c r="C3047">
        <v>1111001</v>
      </c>
      <c r="D3047" t="s">
        <v>16</v>
      </c>
      <c r="E3047" t="s">
        <v>427</v>
      </c>
      <c r="F3047" s="3">
        <v>0</v>
      </c>
      <c r="G3047" s="3">
        <v>1900</v>
      </c>
      <c r="H3047" s="3">
        <v>-1900</v>
      </c>
      <c r="I3047" t="s">
        <v>507</v>
      </c>
    </row>
    <row r="3048" spans="1:9" x14ac:dyDescent="0.35">
      <c r="A3048" s="2">
        <v>45550</v>
      </c>
      <c r="B3048">
        <v>91</v>
      </c>
      <c r="C3048">
        <v>1111001</v>
      </c>
      <c r="D3048" t="s">
        <v>16</v>
      </c>
      <c r="E3048" t="s">
        <v>112</v>
      </c>
      <c r="F3048" s="3">
        <v>0</v>
      </c>
      <c r="G3048" s="3">
        <v>10160.200000000001</v>
      </c>
      <c r="H3048" s="3">
        <v>-10160.200000000001</v>
      </c>
      <c r="I3048" t="s">
        <v>507</v>
      </c>
    </row>
    <row r="3049" spans="1:9" x14ac:dyDescent="0.35">
      <c r="A3049" s="2">
        <v>45550</v>
      </c>
      <c r="B3049">
        <v>91</v>
      </c>
      <c r="C3049">
        <v>1111001</v>
      </c>
      <c r="D3049" t="s">
        <v>16</v>
      </c>
      <c r="E3049" t="s">
        <v>1085</v>
      </c>
      <c r="F3049" s="3">
        <v>0</v>
      </c>
      <c r="G3049" s="3">
        <v>2000</v>
      </c>
      <c r="H3049" s="3">
        <v>-2000</v>
      </c>
      <c r="I3049" t="s">
        <v>507</v>
      </c>
    </row>
    <row r="3050" spans="1:9" x14ac:dyDescent="0.35">
      <c r="A3050" s="2">
        <v>45550</v>
      </c>
      <c r="B3050">
        <v>91</v>
      </c>
      <c r="C3050">
        <v>1111001</v>
      </c>
      <c r="D3050" t="s">
        <v>16</v>
      </c>
      <c r="E3050" t="s">
        <v>139</v>
      </c>
      <c r="F3050" s="3">
        <v>0</v>
      </c>
      <c r="G3050" s="3">
        <v>14403.51</v>
      </c>
      <c r="H3050" s="3">
        <v>-14403.51</v>
      </c>
      <c r="I3050" t="s">
        <v>507</v>
      </c>
    </row>
    <row r="3051" spans="1:9" x14ac:dyDescent="0.35">
      <c r="A3051" s="2">
        <v>45550</v>
      </c>
      <c r="B3051">
        <v>91</v>
      </c>
      <c r="C3051">
        <v>1111001</v>
      </c>
      <c r="D3051" t="s">
        <v>16</v>
      </c>
      <c r="E3051" t="s">
        <v>299</v>
      </c>
      <c r="F3051" s="3">
        <v>0</v>
      </c>
      <c r="G3051" s="3">
        <v>1000</v>
      </c>
      <c r="H3051" s="3">
        <v>-1000</v>
      </c>
      <c r="I3051" t="s">
        <v>507</v>
      </c>
    </row>
    <row r="3052" spans="1:9" x14ac:dyDescent="0.35">
      <c r="A3052" s="2">
        <v>45550</v>
      </c>
      <c r="B3052">
        <v>91</v>
      </c>
      <c r="C3052">
        <v>1111001</v>
      </c>
      <c r="D3052" t="s">
        <v>16</v>
      </c>
      <c r="E3052" t="s">
        <v>1086</v>
      </c>
      <c r="F3052" s="3">
        <v>0</v>
      </c>
      <c r="G3052" s="3">
        <v>925</v>
      </c>
      <c r="H3052" s="3">
        <v>-925</v>
      </c>
      <c r="I3052" t="s">
        <v>507</v>
      </c>
    </row>
    <row r="3053" spans="1:9" x14ac:dyDescent="0.35">
      <c r="A3053" s="2">
        <v>45550</v>
      </c>
      <c r="B3053">
        <v>91</v>
      </c>
      <c r="C3053">
        <v>5131006</v>
      </c>
      <c r="D3053" t="s">
        <v>125</v>
      </c>
      <c r="E3053" t="s">
        <v>762</v>
      </c>
      <c r="F3053" s="3">
        <v>1050</v>
      </c>
      <c r="G3053" s="3">
        <v>0</v>
      </c>
      <c r="H3053" s="3">
        <v>1050</v>
      </c>
      <c r="I3053" t="s">
        <v>144</v>
      </c>
    </row>
    <row r="3054" spans="1:9" x14ac:dyDescent="0.35">
      <c r="A3054" s="2">
        <v>45550</v>
      </c>
      <c r="B3054">
        <v>91</v>
      </c>
      <c r="C3054">
        <v>2114001</v>
      </c>
      <c r="D3054" t="s">
        <v>97</v>
      </c>
      <c r="E3054" t="s">
        <v>762</v>
      </c>
      <c r="F3054" s="3">
        <v>0</v>
      </c>
      <c r="G3054" s="3">
        <v>1050</v>
      </c>
      <c r="H3054" s="3">
        <v>-1050</v>
      </c>
      <c r="I3054" t="s">
        <v>144</v>
      </c>
    </row>
    <row r="3055" spans="1:9" x14ac:dyDescent="0.35">
      <c r="A3055" s="2">
        <v>45550</v>
      </c>
      <c r="B3055">
        <v>91</v>
      </c>
      <c r="C3055">
        <v>5131016</v>
      </c>
      <c r="D3055" t="s">
        <v>238</v>
      </c>
      <c r="E3055" t="s">
        <v>1087</v>
      </c>
      <c r="F3055" s="3">
        <v>2190</v>
      </c>
      <c r="G3055" s="3">
        <v>0</v>
      </c>
      <c r="H3055" s="3">
        <v>2190</v>
      </c>
      <c r="I3055" t="s">
        <v>144</v>
      </c>
    </row>
    <row r="3056" spans="1:9" x14ac:dyDescent="0.35">
      <c r="A3056" s="2">
        <v>45550</v>
      </c>
      <c r="B3056">
        <v>91</v>
      </c>
      <c r="C3056">
        <v>2114001</v>
      </c>
      <c r="D3056" t="s">
        <v>97</v>
      </c>
      <c r="E3056" t="s">
        <v>1087</v>
      </c>
      <c r="F3056" s="3">
        <v>0</v>
      </c>
      <c r="G3056" s="3">
        <v>2190</v>
      </c>
      <c r="H3056" s="3">
        <v>-2190</v>
      </c>
      <c r="I3056" t="s">
        <v>144</v>
      </c>
    </row>
    <row r="3057" spans="1:9" x14ac:dyDescent="0.35">
      <c r="A3057" s="2">
        <v>45550</v>
      </c>
      <c r="B3057">
        <v>91</v>
      </c>
      <c r="C3057">
        <v>1111001</v>
      </c>
      <c r="D3057" t="s">
        <v>16</v>
      </c>
      <c r="E3057" t="s">
        <v>132</v>
      </c>
      <c r="F3057" s="3">
        <v>11680</v>
      </c>
      <c r="G3057" s="3">
        <v>0</v>
      </c>
      <c r="H3057" s="3">
        <v>11680</v>
      </c>
      <c r="I3057" t="s">
        <v>507</v>
      </c>
    </row>
    <row r="3058" spans="1:9" x14ac:dyDescent="0.35">
      <c r="A3058" s="2">
        <v>45550</v>
      </c>
      <c r="B3058">
        <v>91</v>
      </c>
      <c r="C3058">
        <v>2111002</v>
      </c>
      <c r="D3058" t="s">
        <v>424</v>
      </c>
      <c r="E3058" t="s">
        <v>1037</v>
      </c>
      <c r="F3058" s="3">
        <v>5148.12</v>
      </c>
      <c r="G3058" s="3">
        <v>0</v>
      </c>
      <c r="H3058" s="3">
        <v>5148.12</v>
      </c>
      <c r="I3058" t="s">
        <v>507</v>
      </c>
    </row>
    <row r="3059" spans="1:9" x14ac:dyDescent="0.35">
      <c r="A3059" s="2">
        <v>45550</v>
      </c>
      <c r="B3059">
        <v>91</v>
      </c>
      <c r="C3059">
        <v>1111001</v>
      </c>
      <c r="D3059" t="s">
        <v>16</v>
      </c>
      <c r="E3059" t="s">
        <v>1088</v>
      </c>
      <c r="F3059" s="3">
        <v>2300</v>
      </c>
      <c r="G3059" s="3">
        <v>0</v>
      </c>
      <c r="H3059" s="3">
        <v>2300</v>
      </c>
      <c r="I3059" t="s">
        <v>507</v>
      </c>
    </row>
    <row r="3060" spans="1:9" x14ac:dyDescent="0.35">
      <c r="A3060" s="2">
        <v>45550</v>
      </c>
      <c r="B3060">
        <v>91</v>
      </c>
      <c r="C3060">
        <v>2114001</v>
      </c>
      <c r="D3060" t="s">
        <v>97</v>
      </c>
      <c r="E3060" t="s">
        <v>1768</v>
      </c>
      <c r="F3060" s="3">
        <v>17000</v>
      </c>
      <c r="G3060" s="3">
        <v>0</v>
      </c>
      <c r="H3060" s="3">
        <v>17000</v>
      </c>
      <c r="I3060" t="s">
        <v>507</v>
      </c>
    </row>
    <row r="3061" spans="1:9" x14ac:dyDescent="0.35">
      <c r="A3061" s="2">
        <v>45550</v>
      </c>
      <c r="B3061">
        <v>91</v>
      </c>
      <c r="C3061">
        <v>6121040</v>
      </c>
      <c r="D3061" t="s">
        <v>98</v>
      </c>
      <c r="E3061" t="s">
        <v>99</v>
      </c>
      <c r="F3061" s="3">
        <v>2340.69</v>
      </c>
      <c r="G3061" s="3">
        <v>0</v>
      </c>
      <c r="H3061" s="3">
        <v>2340.69</v>
      </c>
      <c r="I3061" t="s">
        <v>507</v>
      </c>
    </row>
    <row r="3062" spans="1:9" x14ac:dyDescent="0.35">
      <c r="A3062" s="2">
        <v>45565</v>
      </c>
      <c r="B3062">
        <v>92</v>
      </c>
      <c r="C3062">
        <v>6121023</v>
      </c>
      <c r="D3062" t="s">
        <v>49</v>
      </c>
      <c r="E3062" t="s">
        <v>660</v>
      </c>
      <c r="F3062" s="3">
        <v>1013.82</v>
      </c>
      <c r="G3062" s="3">
        <v>0</v>
      </c>
      <c r="H3062" s="3">
        <v>1013.82</v>
      </c>
      <c r="I3062" t="s">
        <v>1089</v>
      </c>
    </row>
    <row r="3063" spans="1:9" x14ac:dyDescent="0.35">
      <c r="A3063" s="2">
        <v>45565</v>
      </c>
      <c r="B3063">
        <v>92</v>
      </c>
      <c r="C3063">
        <v>2114010</v>
      </c>
      <c r="D3063" t="s">
        <v>48</v>
      </c>
      <c r="E3063" t="s">
        <v>660</v>
      </c>
      <c r="F3063" s="3">
        <v>0</v>
      </c>
      <c r="G3063" s="3">
        <v>1013.82</v>
      </c>
      <c r="H3063" s="3">
        <v>-1013.82</v>
      </c>
      <c r="I3063" t="s">
        <v>1089</v>
      </c>
    </row>
    <row r="3064" spans="1:9" x14ac:dyDescent="0.35">
      <c r="A3064" s="2">
        <v>45565</v>
      </c>
      <c r="B3064">
        <v>92</v>
      </c>
      <c r="C3064">
        <v>6121023</v>
      </c>
      <c r="D3064" t="s">
        <v>49</v>
      </c>
      <c r="E3064" t="s">
        <v>159</v>
      </c>
      <c r="F3064" s="3">
        <v>138.25</v>
      </c>
      <c r="G3064" s="3">
        <v>0</v>
      </c>
      <c r="H3064" s="3">
        <v>138.25</v>
      </c>
      <c r="I3064" t="s">
        <v>1090</v>
      </c>
    </row>
    <row r="3065" spans="1:9" x14ac:dyDescent="0.35">
      <c r="A3065" s="2">
        <v>45565</v>
      </c>
      <c r="B3065">
        <v>92</v>
      </c>
      <c r="C3065">
        <v>2114010</v>
      </c>
      <c r="D3065" t="s">
        <v>48</v>
      </c>
      <c r="E3065" t="s">
        <v>159</v>
      </c>
      <c r="F3065" s="3">
        <v>0</v>
      </c>
      <c r="G3065" s="3">
        <v>138.25</v>
      </c>
      <c r="H3065" s="3">
        <v>-138.25</v>
      </c>
      <c r="I3065" t="s">
        <v>1090</v>
      </c>
    </row>
    <row r="3066" spans="1:9" x14ac:dyDescent="0.35">
      <c r="A3066" s="2">
        <v>45565</v>
      </c>
      <c r="B3066">
        <v>92</v>
      </c>
      <c r="C3066">
        <v>6121023</v>
      </c>
      <c r="D3066" t="s">
        <v>49</v>
      </c>
      <c r="E3066" t="s">
        <v>1091</v>
      </c>
      <c r="F3066" s="3">
        <v>177.33</v>
      </c>
      <c r="G3066" s="3">
        <v>0</v>
      </c>
      <c r="H3066" s="3">
        <v>177.33</v>
      </c>
      <c r="I3066" t="s">
        <v>1092</v>
      </c>
    </row>
    <row r="3067" spans="1:9" x14ac:dyDescent="0.35">
      <c r="A3067" s="2">
        <v>45565</v>
      </c>
      <c r="B3067">
        <v>92</v>
      </c>
      <c r="C3067">
        <v>2114010</v>
      </c>
      <c r="D3067" t="s">
        <v>48</v>
      </c>
      <c r="E3067" t="s">
        <v>1091</v>
      </c>
      <c r="F3067" s="3">
        <v>0</v>
      </c>
      <c r="G3067" s="3">
        <v>177.33</v>
      </c>
      <c r="H3067" s="3">
        <v>-177.33</v>
      </c>
      <c r="I3067" t="s">
        <v>1092</v>
      </c>
    </row>
    <row r="3068" spans="1:9" x14ac:dyDescent="0.35">
      <c r="A3068" s="2">
        <v>45565</v>
      </c>
      <c r="B3068">
        <v>92</v>
      </c>
      <c r="C3068">
        <v>6121016</v>
      </c>
      <c r="D3068" t="s">
        <v>156</v>
      </c>
      <c r="E3068" t="s">
        <v>157</v>
      </c>
      <c r="F3068" s="3">
        <v>10496.73</v>
      </c>
      <c r="G3068" s="3">
        <v>0</v>
      </c>
      <c r="H3068" s="3">
        <v>10496.73</v>
      </c>
      <c r="I3068" t="s">
        <v>1093</v>
      </c>
    </row>
    <row r="3069" spans="1:9" x14ac:dyDescent="0.35">
      <c r="A3069" s="2">
        <v>45565</v>
      </c>
      <c r="B3069">
        <v>92</v>
      </c>
      <c r="C3069">
        <v>2114010</v>
      </c>
      <c r="D3069" t="s">
        <v>48</v>
      </c>
      <c r="E3069" t="s">
        <v>157</v>
      </c>
      <c r="F3069" s="3">
        <v>0</v>
      </c>
      <c r="G3069" s="3">
        <v>10496.73</v>
      </c>
      <c r="H3069" s="3">
        <v>-10496.73</v>
      </c>
      <c r="I3069" t="s">
        <v>1093</v>
      </c>
    </row>
    <row r="3070" spans="1:9" x14ac:dyDescent="0.35">
      <c r="A3070" s="2">
        <v>45565</v>
      </c>
      <c r="B3070">
        <v>92</v>
      </c>
      <c r="C3070">
        <v>6121023</v>
      </c>
      <c r="D3070" t="s">
        <v>49</v>
      </c>
      <c r="E3070" t="s">
        <v>166</v>
      </c>
      <c r="F3070" s="3">
        <v>862.22</v>
      </c>
      <c r="G3070" s="3">
        <v>0</v>
      </c>
      <c r="H3070" s="3">
        <v>862.22</v>
      </c>
      <c r="I3070" t="s">
        <v>1094</v>
      </c>
    </row>
    <row r="3071" spans="1:9" x14ac:dyDescent="0.35">
      <c r="A3071" s="2">
        <v>45565</v>
      </c>
      <c r="B3071">
        <v>92</v>
      </c>
      <c r="C3071">
        <v>2114010</v>
      </c>
      <c r="D3071" t="s">
        <v>48</v>
      </c>
      <c r="E3071" t="s">
        <v>166</v>
      </c>
      <c r="F3071" s="3">
        <v>0</v>
      </c>
      <c r="G3071" s="3">
        <v>862.22</v>
      </c>
      <c r="H3071" s="3">
        <v>-862.22</v>
      </c>
      <c r="I3071" t="s">
        <v>1094</v>
      </c>
    </row>
    <row r="3072" spans="1:9" x14ac:dyDescent="0.35">
      <c r="A3072" s="2">
        <v>45565</v>
      </c>
      <c r="B3072">
        <v>92</v>
      </c>
      <c r="C3072">
        <v>6121023</v>
      </c>
      <c r="D3072" t="s">
        <v>49</v>
      </c>
      <c r="E3072" t="s">
        <v>638</v>
      </c>
      <c r="F3072" s="3">
        <v>958.06</v>
      </c>
      <c r="G3072" s="3">
        <v>0</v>
      </c>
      <c r="H3072" s="3">
        <v>958.06</v>
      </c>
      <c r="I3072" t="s">
        <v>1095</v>
      </c>
    </row>
    <row r="3073" spans="1:9" x14ac:dyDescent="0.35">
      <c r="A3073" s="2">
        <v>45565</v>
      </c>
      <c r="B3073">
        <v>92</v>
      </c>
      <c r="C3073">
        <v>2114010</v>
      </c>
      <c r="D3073" t="s">
        <v>48</v>
      </c>
      <c r="E3073" t="s">
        <v>638</v>
      </c>
      <c r="F3073" s="3">
        <v>0</v>
      </c>
      <c r="G3073" s="3">
        <v>958.06</v>
      </c>
      <c r="H3073" s="3">
        <v>-958.06</v>
      </c>
      <c r="I3073" t="s">
        <v>1095</v>
      </c>
    </row>
    <row r="3074" spans="1:9" x14ac:dyDescent="0.35">
      <c r="A3074" s="2">
        <v>45565</v>
      </c>
      <c r="B3074">
        <v>92</v>
      </c>
      <c r="C3074">
        <v>6121023</v>
      </c>
      <c r="D3074" t="s">
        <v>49</v>
      </c>
      <c r="E3074" t="s">
        <v>166</v>
      </c>
      <c r="F3074" s="3">
        <v>1566.67</v>
      </c>
      <c r="G3074" s="3">
        <v>0</v>
      </c>
      <c r="H3074" s="3">
        <v>1566.67</v>
      </c>
      <c r="I3074" t="s">
        <v>1096</v>
      </c>
    </row>
    <row r="3075" spans="1:9" x14ac:dyDescent="0.35">
      <c r="A3075" s="2">
        <v>45565</v>
      </c>
      <c r="B3075">
        <v>92</v>
      </c>
      <c r="C3075">
        <v>2114010</v>
      </c>
      <c r="D3075" t="s">
        <v>48</v>
      </c>
      <c r="E3075" t="s">
        <v>166</v>
      </c>
      <c r="F3075" s="3">
        <v>0</v>
      </c>
      <c r="G3075" s="3">
        <v>1566.67</v>
      </c>
      <c r="H3075" s="3">
        <v>-1566.67</v>
      </c>
      <c r="I3075" t="s">
        <v>1096</v>
      </c>
    </row>
    <row r="3076" spans="1:9" x14ac:dyDescent="0.35">
      <c r="A3076" s="2">
        <v>45565</v>
      </c>
      <c r="B3076">
        <v>92</v>
      </c>
      <c r="C3076">
        <v>6121023</v>
      </c>
      <c r="D3076" t="s">
        <v>49</v>
      </c>
      <c r="E3076" t="s">
        <v>166</v>
      </c>
      <c r="F3076" s="3">
        <v>538.67999999999995</v>
      </c>
      <c r="G3076" s="3">
        <v>0</v>
      </c>
      <c r="H3076" s="3">
        <v>538.67999999999995</v>
      </c>
      <c r="I3076" t="s">
        <v>1097</v>
      </c>
    </row>
    <row r="3077" spans="1:9" x14ac:dyDescent="0.35">
      <c r="A3077" s="2">
        <v>45565</v>
      </c>
      <c r="B3077">
        <v>92</v>
      </c>
      <c r="C3077">
        <v>2114010</v>
      </c>
      <c r="D3077" t="s">
        <v>48</v>
      </c>
      <c r="E3077" t="s">
        <v>166</v>
      </c>
      <c r="F3077" s="3">
        <v>0</v>
      </c>
      <c r="G3077" s="3">
        <v>538.67999999999995</v>
      </c>
      <c r="H3077" s="3">
        <v>-538.67999999999995</v>
      </c>
      <c r="I3077" t="s">
        <v>1097</v>
      </c>
    </row>
    <row r="3078" spans="1:9" x14ac:dyDescent="0.35">
      <c r="A3078" s="2">
        <v>45565</v>
      </c>
      <c r="B3078">
        <v>92</v>
      </c>
      <c r="C3078">
        <v>6121023</v>
      </c>
      <c r="D3078" t="s">
        <v>49</v>
      </c>
      <c r="E3078" t="s">
        <v>951</v>
      </c>
      <c r="F3078" s="3">
        <v>599.12</v>
      </c>
      <c r="G3078" s="3">
        <v>0</v>
      </c>
      <c r="H3078" s="3">
        <v>599.12</v>
      </c>
      <c r="I3078" t="s">
        <v>1098</v>
      </c>
    </row>
    <row r="3079" spans="1:9" x14ac:dyDescent="0.35">
      <c r="A3079" s="2">
        <v>45565</v>
      </c>
      <c r="B3079">
        <v>92</v>
      </c>
      <c r="C3079">
        <v>2114010</v>
      </c>
      <c r="D3079" t="s">
        <v>48</v>
      </c>
      <c r="E3079" t="s">
        <v>951</v>
      </c>
      <c r="F3079" s="3">
        <v>0</v>
      </c>
      <c r="G3079" s="3">
        <v>599.12</v>
      </c>
      <c r="H3079" s="3">
        <v>-599.12</v>
      </c>
      <c r="I3079" t="s">
        <v>1098</v>
      </c>
    </row>
    <row r="3080" spans="1:9" x14ac:dyDescent="0.35">
      <c r="A3080" s="2">
        <v>45565</v>
      </c>
      <c r="B3080">
        <v>92</v>
      </c>
      <c r="C3080">
        <v>4112003</v>
      </c>
      <c r="D3080" t="s">
        <v>58</v>
      </c>
      <c r="E3080" t="s">
        <v>59</v>
      </c>
      <c r="F3080" s="3">
        <v>0</v>
      </c>
      <c r="G3080" s="3">
        <v>4552.18</v>
      </c>
      <c r="H3080" s="3">
        <v>-4552.18</v>
      </c>
      <c r="I3080" t="s">
        <v>1099</v>
      </c>
    </row>
    <row r="3081" spans="1:9" x14ac:dyDescent="0.35">
      <c r="A3081" s="2">
        <v>45565</v>
      </c>
      <c r="B3081">
        <v>92</v>
      </c>
      <c r="C3081">
        <v>2121001</v>
      </c>
      <c r="D3081" t="s">
        <v>27</v>
      </c>
      <c r="E3081" t="s">
        <v>59</v>
      </c>
      <c r="F3081" s="3">
        <v>0</v>
      </c>
      <c r="G3081" s="3">
        <v>728.35</v>
      </c>
      <c r="H3081" s="3">
        <v>-728.35</v>
      </c>
      <c r="I3081" t="s">
        <v>1099</v>
      </c>
    </row>
    <row r="3082" spans="1:9" x14ac:dyDescent="0.35">
      <c r="A3082" s="2">
        <v>45565</v>
      </c>
      <c r="B3082">
        <v>92</v>
      </c>
      <c r="C3082">
        <v>1111001</v>
      </c>
      <c r="D3082" t="s">
        <v>16</v>
      </c>
      <c r="E3082" t="s">
        <v>59</v>
      </c>
      <c r="F3082" s="3">
        <v>5280.53</v>
      </c>
      <c r="G3082" s="3">
        <v>0</v>
      </c>
      <c r="H3082" s="3">
        <v>5280.53</v>
      </c>
      <c r="I3082" t="s">
        <v>1099</v>
      </c>
    </row>
    <row r="3083" spans="1:9" x14ac:dyDescent="0.35">
      <c r="A3083" s="2">
        <v>45565</v>
      </c>
      <c r="B3083">
        <v>92</v>
      </c>
      <c r="C3083">
        <v>4112003</v>
      </c>
      <c r="D3083" t="s">
        <v>58</v>
      </c>
      <c r="E3083" t="s">
        <v>59</v>
      </c>
      <c r="F3083" s="3">
        <v>0</v>
      </c>
      <c r="G3083" s="3">
        <v>6353.98</v>
      </c>
      <c r="H3083" s="3">
        <v>-6353.98</v>
      </c>
      <c r="I3083" t="s">
        <v>1100</v>
      </c>
    </row>
    <row r="3084" spans="1:9" x14ac:dyDescent="0.35">
      <c r="A3084" s="2">
        <v>45565</v>
      </c>
      <c r="B3084">
        <v>92</v>
      </c>
      <c r="C3084">
        <v>2121001</v>
      </c>
      <c r="D3084" t="s">
        <v>27</v>
      </c>
      <c r="E3084" t="s">
        <v>59</v>
      </c>
      <c r="F3084" s="3">
        <v>0</v>
      </c>
      <c r="G3084" s="3">
        <v>1016.64</v>
      </c>
      <c r="H3084" s="3">
        <v>-1016.64</v>
      </c>
      <c r="I3084" t="s">
        <v>1100</v>
      </c>
    </row>
    <row r="3085" spans="1:9" x14ac:dyDescent="0.35">
      <c r="A3085" s="2">
        <v>45565</v>
      </c>
      <c r="B3085">
        <v>92</v>
      </c>
      <c r="C3085">
        <v>1111001</v>
      </c>
      <c r="D3085" t="s">
        <v>16</v>
      </c>
      <c r="E3085" t="s">
        <v>59</v>
      </c>
      <c r="F3085" s="3">
        <v>7370.62</v>
      </c>
      <c r="G3085" s="3">
        <v>0</v>
      </c>
      <c r="H3085" s="3">
        <v>7370.62</v>
      </c>
      <c r="I3085" t="s">
        <v>1100</v>
      </c>
    </row>
    <row r="3086" spans="1:9" x14ac:dyDescent="0.35">
      <c r="A3086" s="2">
        <v>45565</v>
      </c>
      <c r="B3086">
        <v>92</v>
      </c>
      <c r="C3086">
        <v>4112003</v>
      </c>
      <c r="D3086" t="s">
        <v>58</v>
      </c>
      <c r="E3086" t="s">
        <v>59</v>
      </c>
      <c r="F3086" s="3">
        <v>0</v>
      </c>
      <c r="G3086" s="3">
        <v>5595.43</v>
      </c>
      <c r="H3086" s="3">
        <v>-5595.43</v>
      </c>
      <c r="I3086" t="s">
        <v>1101</v>
      </c>
    </row>
    <row r="3087" spans="1:9" x14ac:dyDescent="0.35">
      <c r="A3087" s="2">
        <v>45565</v>
      </c>
      <c r="B3087">
        <v>92</v>
      </c>
      <c r="C3087">
        <v>2121001</v>
      </c>
      <c r="D3087" t="s">
        <v>27</v>
      </c>
      <c r="E3087" t="s">
        <v>59</v>
      </c>
      <c r="F3087" s="3">
        <v>0</v>
      </c>
      <c r="G3087" s="3">
        <v>895.27</v>
      </c>
      <c r="H3087" s="3">
        <v>-895.27</v>
      </c>
      <c r="I3087" t="s">
        <v>1101</v>
      </c>
    </row>
    <row r="3088" spans="1:9" x14ac:dyDescent="0.35">
      <c r="A3088" s="2">
        <v>45565</v>
      </c>
      <c r="B3088">
        <v>92</v>
      </c>
      <c r="C3088">
        <v>1111001</v>
      </c>
      <c r="D3088" t="s">
        <v>16</v>
      </c>
      <c r="E3088" t="s">
        <v>59</v>
      </c>
      <c r="F3088" s="3">
        <v>6490.7</v>
      </c>
      <c r="G3088" s="3">
        <v>0</v>
      </c>
      <c r="H3088" s="3">
        <v>6490.7</v>
      </c>
      <c r="I3088" t="s">
        <v>1101</v>
      </c>
    </row>
    <row r="3089" spans="1:9" x14ac:dyDescent="0.35">
      <c r="A3089" s="2">
        <v>45565</v>
      </c>
      <c r="B3089">
        <v>92</v>
      </c>
      <c r="C3089">
        <v>4112003</v>
      </c>
      <c r="D3089" t="s">
        <v>58</v>
      </c>
      <c r="E3089" t="s">
        <v>59</v>
      </c>
      <c r="F3089" s="3">
        <v>0</v>
      </c>
      <c r="G3089" s="3">
        <v>5026.33</v>
      </c>
      <c r="H3089" s="3">
        <v>-5026.33</v>
      </c>
      <c r="I3089" t="s">
        <v>1102</v>
      </c>
    </row>
    <row r="3090" spans="1:9" x14ac:dyDescent="0.35">
      <c r="A3090" s="2">
        <v>45565</v>
      </c>
      <c r="B3090">
        <v>92</v>
      </c>
      <c r="C3090">
        <v>2121001</v>
      </c>
      <c r="D3090" t="s">
        <v>27</v>
      </c>
      <c r="E3090" t="s">
        <v>59</v>
      </c>
      <c r="F3090" s="3">
        <v>0</v>
      </c>
      <c r="G3090" s="3">
        <v>804.21</v>
      </c>
      <c r="H3090" s="3">
        <v>-804.21</v>
      </c>
      <c r="I3090" t="s">
        <v>1102</v>
      </c>
    </row>
    <row r="3091" spans="1:9" x14ac:dyDescent="0.35">
      <c r="A3091" s="2">
        <v>45565</v>
      </c>
      <c r="B3091">
        <v>92</v>
      </c>
      <c r="C3091">
        <v>1111001</v>
      </c>
      <c r="D3091" t="s">
        <v>16</v>
      </c>
      <c r="E3091" t="s">
        <v>59</v>
      </c>
      <c r="F3091" s="3">
        <v>5830.54</v>
      </c>
      <c r="G3091" s="3">
        <v>0</v>
      </c>
      <c r="H3091" s="3">
        <v>5830.54</v>
      </c>
      <c r="I3091" t="s">
        <v>1102</v>
      </c>
    </row>
    <row r="3092" spans="1:9" x14ac:dyDescent="0.35">
      <c r="A3092" s="2">
        <v>45565</v>
      </c>
      <c r="B3092">
        <v>92</v>
      </c>
      <c r="C3092">
        <v>4112003</v>
      </c>
      <c r="D3092" t="s">
        <v>58</v>
      </c>
      <c r="E3092" t="s">
        <v>59</v>
      </c>
      <c r="F3092" s="3">
        <v>0</v>
      </c>
      <c r="G3092" s="3">
        <v>3888.46</v>
      </c>
      <c r="H3092" s="3">
        <v>-3888.46</v>
      </c>
      <c r="I3092" t="s">
        <v>1103</v>
      </c>
    </row>
    <row r="3093" spans="1:9" x14ac:dyDescent="0.35">
      <c r="A3093" s="2">
        <v>45565</v>
      </c>
      <c r="B3093">
        <v>92</v>
      </c>
      <c r="C3093">
        <v>2121001</v>
      </c>
      <c r="D3093" t="s">
        <v>27</v>
      </c>
      <c r="E3093" t="s">
        <v>59</v>
      </c>
      <c r="F3093" s="3">
        <v>0</v>
      </c>
      <c r="G3093" s="3">
        <v>622.15</v>
      </c>
      <c r="H3093" s="3">
        <v>-622.15</v>
      </c>
      <c r="I3093" t="s">
        <v>1103</v>
      </c>
    </row>
    <row r="3094" spans="1:9" x14ac:dyDescent="0.35">
      <c r="A3094" s="2">
        <v>45565</v>
      </c>
      <c r="B3094">
        <v>92</v>
      </c>
      <c r="C3094">
        <v>1111001</v>
      </c>
      <c r="D3094" t="s">
        <v>16</v>
      </c>
      <c r="E3094" t="s">
        <v>59</v>
      </c>
      <c r="F3094" s="3">
        <v>4510.6099999999997</v>
      </c>
      <c r="G3094" s="3">
        <v>0</v>
      </c>
      <c r="H3094" s="3">
        <v>4510.6099999999997</v>
      </c>
      <c r="I3094" t="s">
        <v>1103</v>
      </c>
    </row>
    <row r="3095" spans="1:9" x14ac:dyDescent="0.35">
      <c r="A3095" s="2">
        <v>45565</v>
      </c>
      <c r="B3095">
        <v>92</v>
      </c>
      <c r="C3095">
        <v>4112003</v>
      </c>
      <c r="D3095" t="s">
        <v>58</v>
      </c>
      <c r="E3095" t="s">
        <v>59</v>
      </c>
      <c r="F3095" s="3">
        <v>0</v>
      </c>
      <c r="G3095" s="3">
        <v>2181.2399999999998</v>
      </c>
      <c r="H3095" s="3">
        <v>-2181.2399999999998</v>
      </c>
      <c r="I3095" t="s">
        <v>1104</v>
      </c>
    </row>
    <row r="3096" spans="1:9" x14ac:dyDescent="0.35">
      <c r="A3096" s="2">
        <v>45565</v>
      </c>
      <c r="B3096">
        <v>92</v>
      </c>
      <c r="C3096">
        <v>2121001</v>
      </c>
      <c r="D3096" t="s">
        <v>27</v>
      </c>
      <c r="E3096" t="s">
        <v>59</v>
      </c>
      <c r="F3096" s="3">
        <v>0</v>
      </c>
      <c r="G3096" s="3">
        <v>349</v>
      </c>
      <c r="H3096" s="3">
        <v>-349</v>
      </c>
      <c r="I3096" t="s">
        <v>1104</v>
      </c>
    </row>
    <row r="3097" spans="1:9" x14ac:dyDescent="0.35">
      <c r="A3097" s="2">
        <v>45565</v>
      </c>
      <c r="B3097">
        <v>92</v>
      </c>
      <c r="C3097">
        <v>1111001</v>
      </c>
      <c r="D3097" t="s">
        <v>16</v>
      </c>
      <c r="E3097" t="s">
        <v>59</v>
      </c>
      <c r="F3097" s="3">
        <v>2530.2399999999998</v>
      </c>
      <c r="G3097" s="3">
        <v>0</v>
      </c>
      <c r="H3097" s="3">
        <v>2530.2399999999998</v>
      </c>
      <c r="I3097" t="s">
        <v>1104</v>
      </c>
    </row>
    <row r="3098" spans="1:9" x14ac:dyDescent="0.35">
      <c r="A3098" s="2">
        <v>45565</v>
      </c>
      <c r="B3098">
        <v>92</v>
      </c>
      <c r="C3098">
        <v>4112003</v>
      </c>
      <c r="D3098" t="s">
        <v>58</v>
      </c>
      <c r="E3098" t="s">
        <v>59</v>
      </c>
      <c r="F3098" s="3">
        <v>0</v>
      </c>
      <c r="G3098" s="3">
        <v>1517.31</v>
      </c>
      <c r="H3098" s="3">
        <v>-1517.31</v>
      </c>
      <c r="I3098" t="s">
        <v>1105</v>
      </c>
    </row>
    <row r="3099" spans="1:9" x14ac:dyDescent="0.35">
      <c r="A3099" s="2">
        <v>45565</v>
      </c>
      <c r="B3099">
        <v>92</v>
      </c>
      <c r="C3099">
        <v>2121001</v>
      </c>
      <c r="D3099" t="s">
        <v>27</v>
      </c>
      <c r="E3099" t="s">
        <v>59</v>
      </c>
      <c r="F3099" s="3">
        <v>0</v>
      </c>
      <c r="G3099" s="3">
        <v>242.77</v>
      </c>
      <c r="H3099" s="3">
        <v>-242.77</v>
      </c>
      <c r="I3099" t="s">
        <v>1105</v>
      </c>
    </row>
    <row r="3100" spans="1:9" x14ac:dyDescent="0.35">
      <c r="A3100" s="2">
        <v>45565</v>
      </c>
      <c r="B3100">
        <v>92</v>
      </c>
      <c r="C3100">
        <v>1111001</v>
      </c>
      <c r="D3100" t="s">
        <v>16</v>
      </c>
      <c r="E3100" t="s">
        <v>59</v>
      </c>
      <c r="F3100" s="3">
        <v>1760.08</v>
      </c>
      <c r="G3100" s="3">
        <v>0</v>
      </c>
      <c r="H3100" s="3">
        <v>1760.08</v>
      </c>
      <c r="I3100" t="s">
        <v>1105</v>
      </c>
    </row>
    <row r="3101" spans="1:9" x14ac:dyDescent="0.35">
      <c r="A3101" s="2">
        <v>45565</v>
      </c>
      <c r="B3101">
        <v>92</v>
      </c>
      <c r="C3101">
        <v>4112003</v>
      </c>
      <c r="D3101" t="s">
        <v>58</v>
      </c>
      <c r="E3101" t="s">
        <v>59</v>
      </c>
      <c r="F3101" s="3">
        <v>0</v>
      </c>
      <c r="G3101" s="3">
        <v>3983.23</v>
      </c>
      <c r="H3101" s="3">
        <v>-3983.23</v>
      </c>
      <c r="I3101" t="s">
        <v>1106</v>
      </c>
    </row>
    <row r="3102" spans="1:9" x14ac:dyDescent="0.35">
      <c r="A3102" s="2">
        <v>45565</v>
      </c>
      <c r="B3102">
        <v>92</v>
      </c>
      <c r="C3102">
        <v>2121001</v>
      </c>
      <c r="D3102" t="s">
        <v>27</v>
      </c>
      <c r="E3102" t="s">
        <v>59</v>
      </c>
      <c r="F3102" s="3">
        <v>0</v>
      </c>
      <c r="G3102" s="3">
        <v>637.32000000000005</v>
      </c>
      <c r="H3102" s="3">
        <v>-637.32000000000005</v>
      </c>
      <c r="I3102" t="s">
        <v>1106</v>
      </c>
    </row>
    <row r="3103" spans="1:9" x14ac:dyDescent="0.35">
      <c r="A3103" s="2">
        <v>45565</v>
      </c>
      <c r="B3103">
        <v>92</v>
      </c>
      <c r="C3103">
        <v>1111001</v>
      </c>
      <c r="D3103" t="s">
        <v>16</v>
      </c>
      <c r="E3103" t="s">
        <v>59</v>
      </c>
      <c r="F3103" s="3">
        <v>4620.55</v>
      </c>
      <c r="G3103" s="3">
        <v>0</v>
      </c>
      <c r="H3103" s="3">
        <v>4620.55</v>
      </c>
      <c r="I3103" t="s">
        <v>1106</v>
      </c>
    </row>
    <row r="3104" spans="1:9" x14ac:dyDescent="0.35">
      <c r="A3104" s="2">
        <v>45565</v>
      </c>
      <c r="B3104">
        <v>92</v>
      </c>
      <c r="C3104">
        <v>4112003</v>
      </c>
      <c r="D3104" t="s">
        <v>58</v>
      </c>
      <c r="E3104" t="s">
        <v>59</v>
      </c>
      <c r="F3104" s="3">
        <v>0</v>
      </c>
      <c r="G3104" s="3">
        <v>5595.36</v>
      </c>
      <c r="H3104" s="3">
        <v>-5595.36</v>
      </c>
      <c r="I3104" t="s">
        <v>1107</v>
      </c>
    </row>
    <row r="3105" spans="1:9" x14ac:dyDescent="0.35">
      <c r="A3105" s="2">
        <v>45565</v>
      </c>
      <c r="B3105">
        <v>92</v>
      </c>
      <c r="C3105">
        <v>2121001</v>
      </c>
      <c r="D3105" t="s">
        <v>27</v>
      </c>
      <c r="E3105" t="s">
        <v>59</v>
      </c>
      <c r="F3105" s="3">
        <v>0</v>
      </c>
      <c r="G3105" s="3">
        <v>895.26</v>
      </c>
      <c r="H3105" s="3">
        <v>-895.26</v>
      </c>
      <c r="I3105" t="s">
        <v>1107</v>
      </c>
    </row>
    <row r="3106" spans="1:9" x14ac:dyDescent="0.35">
      <c r="A3106" s="2">
        <v>45565</v>
      </c>
      <c r="B3106">
        <v>92</v>
      </c>
      <c r="C3106">
        <v>1111001</v>
      </c>
      <c r="D3106" t="s">
        <v>16</v>
      </c>
      <c r="E3106" t="s">
        <v>59</v>
      </c>
      <c r="F3106" s="3">
        <v>6490.62</v>
      </c>
      <c r="G3106" s="3">
        <v>0</v>
      </c>
      <c r="H3106" s="3">
        <v>6490.62</v>
      </c>
      <c r="I3106" t="s">
        <v>1107</v>
      </c>
    </row>
    <row r="3107" spans="1:9" x14ac:dyDescent="0.35">
      <c r="A3107" s="2">
        <v>45565</v>
      </c>
      <c r="B3107">
        <v>92</v>
      </c>
      <c r="C3107">
        <v>4112003</v>
      </c>
      <c r="D3107" t="s">
        <v>58</v>
      </c>
      <c r="E3107" t="s">
        <v>59</v>
      </c>
      <c r="F3107" s="3">
        <v>0</v>
      </c>
      <c r="G3107" s="3">
        <v>7302.32</v>
      </c>
      <c r="H3107" s="3">
        <v>-7302.32</v>
      </c>
      <c r="I3107" t="s">
        <v>1108</v>
      </c>
    </row>
    <row r="3108" spans="1:9" x14ac:dyDescent="0.35">
      <c r="A3108" s="2">
        <v>45565</v>
      </c>
      <c r="B3108">
        <v>92</v>
      </c>
      <c r="C3108">
        <v>2121001</v>
      </c>
      <c r="D3108" t="s">
        <v>27</v>
      </c>
      <c r="E3108" t="s">
        <v>59</v>
      </c>
      <c r="F3108" s="3">
        <v>0</v>
      </c>
      <c r="G3108" s="3">
        <v>1168.3699999999999</v>
      </c>
      <c r="H3108" s="3">
        <v>-1168.3699999999999</v>
      </c>
      <c r="I3108" t="s">
        <v>1108</v>
      </c>
    </row>
    <row r="3109" spans="1:9" x14ac:dyDescent="0.35">
      <c r="A3109" s="2">
        <v>45565</v>
      </c>
      <c r="B3109">
        <v>92</v>
      </c>
      <c r="C3109">
        <v>1111001</v>
      </c>
      <c r="D3109" t="s">
        <v>16</v>
      </c>
      <c r="E3109" t="s">
        <v>59</v>
      </c>
      <c r="F3109" s="3">
        <v>8470.69</v>
      </c>
      <c r="G3109" s="3">
        <v>0</v>
      </c>
      <c r="H3109" s="3">
        <v>8470.69</v>
      </c>
      <c r="I3109" t="s">
        <v>1108</v>
      </c>
    </row>
    <row r="3110" spans="1:9" x14ac:dyDescent="0.35">
      <c r="A3110" s="2">
        <v>45565</v>
      </c>
      <c r="B3110">
        <v>92</v>
      </c>
      <c r="C3110">
        <v>4112003</v>
      </c>
      <c r="D3110" t="s">
        <v>58</v>
      </c>
      <c r="E3110" t="s">
        <v>59</v>
      </c>
      <c r="F3110" s="3">
        <v>0</v>
      </c>
      <c r="G3110" s="3">
        <v>14138.72</v>
      </c>
      <c r="H3110" s="3">
        <v>-14138.72</v>
      </c>
      <c r="I3110" t="s">
        <v>1109</v>
      </c>
    </row>
    <row r="3111" spans="1:9" x14ac:dyDescent="0.35">
      <c r="A3111" s="2">
        <v>45565</v>
      </c>
      <c r="B3111">
        <v>92</v>
      </c>
      <c r="C3111">
        <v>2121001</v>
      </c>
      <c r="D3111" t="s">
        <v>27</v>
      </c>
      <c r="E3111" t="s">
        <v>59</v>
      </c>
      <c r="F3111" s="3">
        <v>0</v>
      </c>
      <c r="G3111" s="3">
        <v>2262.1999999999998</v>
      </c>
      <c r="H3111" s="3">
        <v>-2262.1999999999998</v>
      </c>
      <c r="I3111" t="s">
        <v>1109</v>
      </c>
    </row>
    <row r="3112" spans="1:9" x14ac:dyDescent="0.35">
      <c r="A3112" s="2">
        <v>45565</v>
      </c>
      <c r="B3112">
        <v>92</v>
      </c>
      <c r="C3112">
        <v>1111001</v>
      </c>
      <c r="D3112" t="s">
        <v>16</v>
      </c>
      <c r="E3112" t="s">
        <v>59</v>
      </c>
      <c r="F3112" s="3">
        <v>16400.919999999998</v>
      </c>
      <c r="G3112" s="3">
        <v>0</v>
      </c>
      <c r="H3112" s="3">
        <v>16400.919999999998</v>
      </c>
      <c r="I3112" t="s">
        <v>1109</v>
      </c>
    </row>
    <row r="3113" spans="1:9" x14ac:dyDescent="0.35">
      <c r="A3113" s="2">
        <v>45565</v>
      </c>
      <c r="B3113">
        <v>92</v>
      </c>
      <c r="C3113">
        <v>4112003</v>
      </c>
      <c r="D3113" t="s">
        <v>58</v>
      </c>
      <c r="E3113" t="s">
        <v>59</v>
      </c>
      <c r="F3113" s="3">
        <v>0</v>
      </c>
      <c r="G3113" s="3">
        <v>7492</v>
      </c>
      <c r="H3113" s="3">
        <v>-7492</v>
      </c>
      <c r="I3113" t="s">
        <v>1110</v>
      </c>
    </row>
    <row r="3114" spans="1:9" x14ac:dyDescent="0.35">
      <c r="A3114" s="2">
        <v>45565</v>
      </c>
      <c r="B3114">
        <v>92</v>
      </c>
      <c r="C3114">
        <v>2121001</v>
      </c>
      <c r="D3114" t="s">
        <v>27</v>
      </c>
      <c r="E3114" t="s">
        <v>59</v>
      </c>
      <c r="F3114" s="3">
        <v>0</v>
      </c>
      <c r="G3114" s="3">
        <v>1198.72</v>
      </c>
      <c r="H3114" s="3">
        <v>-1198.72</v>
      </c>
      <c r="I3114" t="s">
        <v>1110</v>
      </c>
    </row>
    <row r="3115" spans="1:9" x14ac:dyDescent="0.35">
      <c r="A3115" s="2">
        <v>45565</v>
      </c>
      <c r="B3115">
        <v>92</v>
      </c>
      <c r="C3115">
        <v>1111001</v>
      </c>
      <c r="D3115" t="s">
        <v>16</v>
      </c>
      <c r="E3115" t="s">
        <v>59</v>
      </c>
      <c r="F3115" s="3">
        <v>8690.7199999999993</v>
      </c>
      <c r="G3115" s="3">
        <v>0</v>
      </c>
      <c r="H3115" s="3">
        <v>8690.7199999999993</v>
      </c>
      <c r="I3115" t="s">
        <v>1110</v>
      </c>
    </row>
    <row r="3116" spans="1:9" x14ac:dyDescent="0.35">
      <c r="A3116" s="2">
        <v>45565</v>
      </c>
      <c r="B3116">
        <v>92</v>
      </c>
      <c r="C3116">
        <v>4112003</v>
      </c>
      <c r="D3116" t="s">
        <v>58</v>
      </c>
      <c r="E3116" t="s">
        <v>59</v>
      </c>
      <c r="F3116" s="3">
        <v>0</v>
      </c>
      <c r="G3116" s="3">
        <v>3508.84</v>
      </c>
      <c r="H3116" s="3">
        <v>-3508.84</v>
      </c>
      <c r="I3116" t="s">
        <v>1111</v>
      </c>
    </row>
    <row r="3117" spans="1:9" x14ac:dyDescent="0.35">
      <c r="A3117" s="2">
        <v>45565</v>
      </c>
      <c r="B3117">
        <v>92</v>
      </c>
      <c r="C3117">
        <v>2121001</v>
      </c>
      <c r="D3117" t="s">
        <v>27</v>
      </c>
      <c r="E3117" t="s">
        <v>59</v>
      </c>
      <c r="F3117" s="3">
        <v>0</v>
      </c>
      <c r="G3117" s="3">
        <v>561.41</v>
      </c>
      <c r="H3117" s="3">
        <v>-561.41</v>
      </c>
      <c r="I3117" t="s">
        <v>1111</v>
      </c>
    </row>
    <row r="3118" spans="1:9" x14ac:dyDescent="0.35">
      <c r="A3118" s="2">
        <v>45565</v>
      </c>
      <c r="B3118">
        <v>92</v>
      </c>
      <c r="C3118">
        <v>1111001</v>
      </c>
      <c r="D3118" t="s">
        <v>16</v>
      </c>
      <c r="E3118" t="s">
        <v>59</v>
      </c>
      <c r="F3118" s="3">
        <v>4070.25</v>
      </c>
      <c r="G3118" s="3">
        <v>0</v>
      </c>
      <c r="H3118" s="3">
        <v>4070.25</v>
      </c>
      <c r="I3118" t="s">
        <v>1111</v>
      </c>
    </row>
    <row r="3119" spans="1:9" x14ac:dyDescent="0.35">
      <c r="A3119" s="2">
        <v>45565</v>
      </c>
      <c r="B3119">
        <v>92</v>
      </c>
      <c r="C3119">
        <v>4112003</v>
      </c>
      <c r="D3119" t="s">
        <v>58</v>
      </c>
      <c r="E3119" t="s">
        <v>59</v>
      </c>
      <c r="F3119" s="3">
        <v>0</v>
      </c>
      <c r="G3119" s="3">
        <v>1232.8399999999999</v>
      </c>
      <c r="H3119" s="3">
        <v>-1232.8399999999999</v>
      </c>
      <c r="I3119" t="s">
        <v>1112</v>
      </c>
    </row>
    <row r="3120" spans="1:9" x14ac:dyDescent="0.35">
      <c r="A3120" s="2">
        <v>45565</v>
      </c>
      <c r="B3120">
        <v>92</v>
      </c>
      <c r="C3120">
        <v>2121001</v>
      </c>
      <c r="D3120" t="s">
        <v>27</v>
      </c>
      <c r="E3120" t="s">
        <v>59</v>
      </c>
      <c r="F3120" s="3">
        <v>0</v>
      </c>
      <c r="G3120" s="3">
        <v>197.25</v>
      </c>
      <c r="H3120" s="3">
        <v>-197.25</v>
      </c>
      <c r="I3120" t="s">
        <v>1112</v>
      </c>
    </row>
    <row r="3121" spans="1:9" x14ac:dyDescent="0.35">
      <c r="A3121" s="2">
        <v>45565</v>
      </c>
      <c r="B3121">
        <v>92</v>
      </c>
      <c r="C3121">
        <v>1111001</v>
      </c>
      <c r="D3121" t="s">
        <v>16</v>
      </c>
      <c r="E3121" t="s">
        <v>59</v>
      </c>
      <c r="F3121" s="3">
        <v>1430.09</v>
      </c>
      <c r="G3121" s="3">
        <v>0</v>
      </c>
      <c r="H3121" s="3">
        <v>1430.09</v>
      </c>
      <c r="I3121" t="s">
        <v>1112</v>
      </c>
    </row>
    <row r="3122" spans="1:9" x14ac:dyDescent="0.35">
      <c r="A3122" s="2">
        <v>45565</v>
      </c>
      <c r="B3122">
        <v>92</v>
      </c>
      <c r="C3122">
        <v>4112003</v>
      </c>
      <c r="D3122" t="s">
        <v>58</v>
      </c>
      <c r="E3122" t="s">
        <v>59</v>
      </c>
      <c r="F3122" s="3">
        <v>0</v>
      </c>
      <c r="G3122" s="3">
        <v>5784.95</v>
      </c>
      <c r="H3122" s="3">
        <v>-5784.95</v>
      </c>
      <c r="I3122" t="s">
        <v>1113</v>
      </c>
    </row>
    <row r="3123" spans="1:9" x14ac:dyDescent="0.35">
      <c r="A3123" s="2">
        <v>45565</v>
      </c>
      <c r="B3123">
        <v>92</v>
      </c>
      <c r="C3123">
        <v>2121001</v>
      </c>
      <c r="D3123" t="s">
        <v>27</v>
      </c>
      <c r="E3123" t="s">
        <v>59</v>
      </c>
      <c r="F3123" s="3">
        <v>0</v>
      </c>
      <c r="G3123" s="3">
        <v>925.59</v>
      </c>
      <c r="H3123" s="3">
        <v>-925.59</v>
      </c>
      <c r="I3123" t="s">
        <v>1113</v>
      </c>
    </row>
    <row r="3124" spans="1:9" x14ac:dyDescent="0.35">
      <c r="A3124" s="2">
        <v>45565</v>
      </c>
      <c r="B3124">
        <v>92</v>
      </c>
      <c r="C3124">
        <v>1111001</v>
      </c>
      <c r="D3124" t="s">
        <v>16</v>
      </c>
      <c r="E3124" t="s">
        <v>59</v>
      </c>
      <c r="F3124" s="3">
        <v>6710.54</v>
      </c>
      <c r="G3124" s="3">
        <v>0</v>
      </c>
      <c r="H3124" s="3">
        <v>6710.54</v>
      </c>
      <c r="I3124" t="s">
        <v>1113</v>
      </c>
    </row>
    <row r="3125" spans="1:9" x14ac:dyDescent="0.35">
      <c r="A3125" s="2">
        <v>45565</v>
      </c>
      <c r="B3125">
        <v>92</v>
      </c>
      <c r="C3125">
        <v>4112004</v>
      </c>
      <c r="D3125" t="s">
        <v>74</v>
      </c>
      <c r="E3125" t="s">
        <v>197</v>
      </c>
      <c r="F3125" s="3">
        <v>0</v>
      </c>
      <c r="G3125" s="3">
        <v>8966.4699999999993</v>
      </c>
      <c r="H3125" s="3">
        <v>-8966.4699999999993</v>
      </c>
      <c r="I3125" t="s">
        <v>1114</v>
      </c>
    </row>
    <row r="3126" spans="1:9" x14ac:dyDescent="0.35">
      <c r="A3126" s="2">
        <v>45565</v>
      </c>
      <c r="B3126">
        <v>92</v>
      </c>
      <c r="C3126">
        <v>2121001</v>
      </c>
      <c r="D3126" t="s">
        <v>27</v>
      </c>
      <c r="E3126" t="s">
        <v>197</v>
      </c>
      <c r="F3126" s="3">
        <v>0</v>
      </c>
      <c r="G3126" s="3">
        <v>1434.64</v>
      </c>
      <c r="H3126" s="3">
        <v>-1434.64</v>
      </c>
      <c r="I3126" t="s">
        <v>1114</v>
      </c>
    </row>
    <row r="3127" spans="1:9" x14ac:dyDescent="0.35">
      <c r="A3127" s="2">
        <v>45565</v>
      </c>
      <c r="B3127">
        <v>92</v>
      </c>
      <c r="C3127">
        <v>1141002</v>
      </c>
      <c r="D3127" t="s">
        <v>23</v>
      </c>
      <c r="E3127" t="s">
        <v>197</v>
      </c>
      <c r="F3127" s="3">
        <v>1075.98</v>
      </c>
      <c r="G3127" s="3">
        <v>0</v>
      </c>
      <c r="H3127" s="3">
        <v>1075.98</v>
      </c>
      <c r="I3127" t="s">
        <v>1438</v>
      </c>
    </row>
    <row r="3128" spans="1:9" x14ac:dyDescent="0.35">
      <c r="A3128" s="2">
        <v>45565</v>
      </c>
      <c r="B3128">
        <v>92</v>
      </c>
      <c r="C3128">
        <v>1142001</v>
      </c>
      <c r="D3128" t="s">
        <v>199</v>
      </c>
      <c r="E3128" t="s">
        <v>197</v>
      </c>
      <c r="F3128" s="3">
        <v>179.33</v>
      </c>
      <c r="G3128" s="3">
        <v>0</v>
      </c>
      <c r="H3128" s="3">
        <v>179.33</v>
      </c>
      <c r="I3128" t="s">
        <v>1438</v>
      </c>
    </row>
    <row r="3129" spans="1:9" x14ac:dyDescent="0.35">
      <c r="A3129" s="2">
        <v>45565</v>
      </c>
      <c r="B3129">
        <v>92</v>
      </c>
      <c r="C3129">
        <v>6121040</v>
      </c>
      <c r="D3129" t="s">
        <v>98</v>
      </c>
      <c r="E3129" t="s">
        <v>197</v>
      </c>
      <c r="F3129" s="3">
        <v>208.02</v>
      </c>
      <c r="G3129" s="3">
        <v>0</v>
      </c>
      <c r="H3129" s="3">
        <v>208.02</v>
      </c>
      <c r="I3129" t="s">
        <v>1114</v>
      </c>
    </row>
    <row r="3130" spans="1:9" x14ac:dyDescent="0.35">
      <c r="A3130" s="2">
        <v>45565</v>
      </c>
      <c r="B3130">
        <v>92</v>
      </c>
      <c r="C3130">
        <v>1111001</v>
      </c>
      <c r="D3130" t="s">
        <v>16</v>
      </c>
      <c r="E3130" t="s">
        <v>197</v>
      </c>
      <c r="F3130" s="3">
        <v>8937.7800000000007</v>
      </c>
      <c r="G3130" s="3">
        <v>0</v>
      </c>
      <c r="H3130" s="3">
        <v>8937.7800000000007</v>
      </c>
      <c r="I3130" t="s">
        <v>1114</v>
      </c>
    </row>
    <row r="3131" spans="1:9" x14ac:dyDescent="0.35">
      <c r="A3131" s="2">
        <v>45565</v>
      </c>
      <c r="B3131">
        <v>92</v>
      </c>
      <c r="C3131">
        <v>4112004</v>
      </c>
      <c r="D3131" t="s">
        <v>74</v>
      </c>
      <c r="E3131" t="s">
        <v>79</v>
      </c>
      <c r="F3131" s="3">
        <v>0</v>
      </c>
      <c r="G3131" s="3">
        <v>2379.96</v>
      </c>
      <c r="H3131" s="3">
        <v>-2379.96</v>
      </c>
      <c r="I3131" t="s">
        <v>1115</v>
      </c>
    </row>
    <row r="3132" spans="1:9" x14ac:dyDescent="0.35">
      <c r="A3132" s="2">
        <v>45565</v>
      </c>
      <c r="B3132">
        <v>92</v>
      </c>
      <c r="C3132">
        <v>2121001</v>
      </c>
      <c r="D3132" t="s">
        <v>27</v>
      </c>
      <c r="E3132" t="s">
        <v>79</v>
      </c>
      <c r="F3132" s="3">
        <v>0</v>
      </c>
      <c r="G3132" s="3">
        <v>380.79</v>
      </c>
      <c r="H3132" s="3">
        <v>-380.79</v>
      </c>
      <c r="I3132" t="s">
        <v>1115</v>
      </c>
    </row>
    <row r="3133" spans="1:9" x14ac:dyDescent="0.35">
      <c r="A3133" s="2">
        <v>45565</v>
      </c>
      <c r="B3133">
        <v>92</v>
      </c>
      <c r="C3133">
        <v>1111001</v>
      </c>
      <c r="D3133" t="s">
        <v>16</v>
      </c>
      <c r="E3133" t="s">
        <v>79</v>
      </c>
      <c r="F3133" s="3">
        <v>2760.75</v>
      </c>
      <c r="G3133" s="3">
        <v>0</v>
      </c>
      <c r="H3133" s="3">
        <v>2760.75</v>
      </c>
      <c r="I3133" t="s">
        <v>1115</v>
      </c>
    </row>
    <row r="3134" spans="1:9" x14ac:dyDescent="0.35">
      <c r="A3134" s="2">
        <v>45565</v>
      </c>
      <c r="B3134">
        <v>92</v>
      </c>
      <c r="C3134">
        <v>4112004</v>
      </c>
      <c r="D3134" t="s">
        <v>74</v>
      </c>
      <c r="E3134" t="s">
        <v>200</v>
      </c>
      <c r="F3134" s="3">
        <v>0</v>
      </c>
      <c r="G3134" s="3">
        <v>1595.14</v>
      </c>
      <c r="H3134" s="3">
        <v>-1595.14</v>
      </c>
      <c r="I3134" t="s">
        <v>1116</v>
      </c>
    </row>
    <row r="3135" spans="1:9" x14ac:dyDescent="0.35">
      <c r="A3135" s="2">
        <v>45565</v>
      </c>
      <c r="B3135">
        <v>92</v>
      </c>
      <c r="C3135">
        <v>2121001</v>
      </c>
      <c r="D3135" t="s">
        <v>27</v>
      </c>
      <c r="E3135" t="s">
        <v>200</v>
      </c>
      <c r="F3135" s="3">
        <v>0</v>
      </c>
      <c r="G3135" s="3">
        <v>255.22</v>
      </c>
      <c r="H3135" s="3">
        <v>-255.22</v>
      </c>
      <c r="I3135" t="s">
        <v>1116</v>
      </c>
    </row>
    <row r="3136" spans="1:9" x14ac:dyDescent="0.35">
      <c r="A3136" s="2">
        <v>45565</v>
      </c>
      <c r="B3136">
        <v>92</v>
      </c>
      <c r="C3136">
        <v>1111001</v>
      </c>
      <c r="D3136" t="s">
        <v>16</v>
      </c>
      <c r="E3136" t="s">
        <v>200</v>
      </c>
      <c r="F3136" s="3">
        <v>1850.36</v>
      </c>
      <c r="G3136" s="3">
        <v>0</v>
      </c>
      <c r="H3136" s="3">
        <v>1850.36</v>
      </c>
      <c r="I3136" t="s">
        <v>1116</v>
      </c>
    </row>
    <row r="3137" spans="1:9" x14ac:dyDescent="0.35">
      <c r="A3137" s="2">
        <v>45565</v>
      </c>
      <c r="B3137">
        <v>92</v>
      </c>
      <c r="C3137">
        <v>5131015</v>
      </c>
      <c r="D3137" t="s">
        <v>766</v>
      </c>
      <c r="E3137" t="s">
        <v>1117</v>
      </c>
      <c r="F3137" s="3">
        <v>3114.66</v>
      </c>
      <c r="G3137" s="3">
        <v>0</v>
      </c>
      <c r="H3137" s="3">
        <v>3114.66</v>
      </c>
      <c r="I3137" t="s">
        <v>950</v>
      </c>
    </row>
    <row r="3138" spans="1:9" x14ac:dyDescent="0.35">
      <c r="A3138" s="2">
        <v>45565</v>
      </c>
      <c r="B3138">
        <v>92</v>
      </c>
      <c r="C3138">
        <v>2124010</v>
      </c>
      <c r="D3138" t="s">
        <v>769</v>
      </c>
      <c r="E3138" t="s">
        <v>1117</v>
      </c>
      <c r="F3138" s="3">
        <v>0</v>
      </c>
      <c r="G3138" s="3">
        <v>3114.66</v>
      </c>
      <c r="H3138" s="3">
        <v>-3114.66</v>
      </c>
      <c r="I3138" t="s">
        <v>950</v>
      </c>
    </row>
    <row r="3139" spans="1:9" x14ac:dyDescent="0.35">
      <c r="A3139" s="2">
        <v>45565</v>
      </c>
      <c r="B3139">
        <v>92</v>
      </c>
      <c r="C3139">
        <v>2121001</v>
      </c>
      <c r="D3139" t="s">
        <v>27</v>
      </c>
      <c r="E3139" t="s">
        <v>1118</v>
      </c>
      <c r="F3139" s="3">
        <v>14575.16</v>
      </c>
      <c r="G3139" s="3">
        <v>0</v>
      </c>
      <c r="H3139" s="3">
        <v>14575.16</v>
      </c>
      <c r="I3139" t="s">
        <v>544</v>
      </c>
    </row>
    <row r="3140" spans="1:9" x14ac:dyDescent="0.35">
      <c r="A3140" s="2">
        <v>45565</v>
      </c>
      <c r="B3140">
        <v>92</v>
      </c>
      <c r="C3140">
        <v>1141002</v>
      </c>
      <c r="D3140" t="s">
        <v>23</v>
      </c>
      <c r="E3140" t="s">
        <v>1118</v>
      </c>
      <c r="F3140" s="3">
        <v>0</v>
      </c>
      <c r="G3140" s="3">
        <v>1075.98</v>
      </c>
      <c r="H3140" s="3">
        <v>-1075.98</v>
      </c>
      <c r="I3140" t="s">
        <v>544</v>
      </c>
    </row>
    <row r="3141" spans="1:9" x14ac:dyDescent="0.35">
      <c r="A3141" s="2">
        <v>45565</v>
      </c>
      <c r="B3141">
        <v>92</v>
      </c>
      <c r="C3141">
        <v>2121003</v>
      </c>
      <c r="D3141" t="s">
        <v>28</v>
      </c>
      <c r="E3141" t="s">
        <v>1118</v>
      </c>
      <c r="F3141" s="3">
        <v>0</v>
      </c>
      <c r="G3141" s="3">
        <v>13499.18</v>
      </c>
      <c r="H3141" s="3">
        <v>-13499.18</v>
      </c>
      <c r="I3141" t="s">
        <v>544</v>
      </c>
    </row>
    <row r="3142" spans="1:9" x14ac:dyDescent="0.35">
      <c r="A3142" s="2">
        <v>45565</v>
      </c>
      <c r="B3142">
        <v>92</v>
      </c>
      <c r="C3142">
        <v>1142004</v>
      </c>
      <c r="D3142" t="s">
        <v>83</v>
      </c>
      <c r="E3142" t="s">
        <v>1119</v>
      </c>
      <c r="F3142" s="3">
        <v>910.95</v>
      </c>
      <c r="G3142" s="3">
        <v>0</v>
      </c>
      <c r="H3142" s="3">
        <v>910.95</v>
      </c>
      <c r="I3142" t="s">
        <v>503</v>
      </c>
    </row>
    <row r="3143" spans="1:9" x14ac:dyDescent="0.35">
      <c r="A3143" s="2">
        <v>45565</v>
      </c>
      <c r="B3143">
        <v>92</v>
      </c>
      <c r="C3143">
        <v>2124004</v>
      </c>
      <c r="D3143" t="s">
        <v>29</v>
      </c>
      <c r="E3143" t="s">
        <v>1119</v>
      </c>
      <c r="F3143" s="3">
        <v>0</v>
      </c>
      <c r="G3143" s="3">
        <v>910.95</v>
      </c>
      <c r="H3143" s="3">
        <v>-910.95</v>
      </c>
      <c r="I3143" t="s">
        <v>503</v>
      </c>
    </row>
    <row r="3144" spans="1:9" x14ac:dyDescent="0.35">
      <c r="A3144" s="2">
        <v>45565</v>
      </c>
      <c r="B3144">
        <v>92</v>
      </c>
      <c r="C3144">
        <v>5131001</v>
      </c>
      <c r="D3144" t="s">
        <v>86</v>
      </c>
      <c r="E3144" t="s">
        <v>1120</v>
      </c>
      <c r="F3144" s="3">
        <v>520</v>
      </c>
      <c r="G3144" s="3">
        <v>0</v>
      </c>
      <c r="H3144" s="3">
        <v>520</v>
      </c>
      <c r="I3144" t="s">
        <v>477</v>
      </c>
    </row>
    <row r="3145" spans="1:9" x14ac:dyDescent="0.35">
      <c r="A3145" s="2">
        <v>45565</v>
      </c>
      <c r="B3145">
        <v>92</v>
      </c>
      <c r="C3145">
        <v>5131005</v>
      </c>
      <c r="D3145" t="s">
        <v>205</v>
      </c>
      <c r="E3145" t="s">
        <v>1120</v>
      </c>
      <c r="F3145" s="3">
        <v>5860.8</v>
      </c>
      <c r="G3145" s="3">
        <v>0</v>
      </c>
      <c r="H3145" s="3">
        <v>5860.8</v>
      </c>
      <c r="I3145" t="s">
        <v>477</v>
      </c>
    </row>
    <row r="3146" spans="1:9" x14ac:dyDescent="0.35">
      <c r="A3146" s="2">
        <v>45565</v>
      </c>
      <c r="B3146">
        <v>92</v>
      </c>
      <c r="C3146">
        <v>5131008</v>
      </c>
      <c r="D3146" t="s">
        <v>89</v>
      </c>
      <c r="E3146" t="s">
        <v>1120</v>
      </c>
      <c r="F3146" s="3">
        <v>109.2</v>
      </c>
      <c r="G3146" s="3">
        <v>0</v>
      </c>
      <c r="H3146" s="3">
        <v>109.2</v>
      </c>
      <c r="I3146" t="s">
        <v>477</v>
      </c>
    </row>
    <row r="3147" spans="1:9" x14ac:dyDescent="0.35">
      <c r="A3147" s="2">
        <v>45565</v>
      </c>
      <c r="B3147">
        <v>92</v>
      </c>
      <c r="C3147">
        <v>5131009</v>
      </c>
      <c r="D3147" t="s">
        <v>90</v>
      </c>
      <c r="E3147" t="s">
        <v>1120</v>
      </c>
      <c r="F3147" s="3">
        <v>21.666666670000001</v>
      </c>
      <c r="G3147" s="3">
        <v>0</v>
      </c>
      <c r="H3147" s="3">
        <v>21.666666670000001</v>
      </c>
      <c r="I3147" t="s">
        <v>477</v>
      </c>
    </row>
    <row r="3148" spans="1:9" x14ac:dyDescent="0.35">
      <c r="A3148" s="2">
        <v>45565</v>
      </c>
      <c r="B3148">
        <v>92</v>
      </c>
      <c r="C3148">
        <v>5131010</v>
      </c>
      <c r="D3148" t="s">
        <v>91</v>
      </c>
      <c r="E3148" t="s">
        <v>1120</v>
      </c>
      <c r="F3148" s="3">
        <v>43.333333330000002</v>
      </c>
      <c r="G3148" s="3">
        <v>0</v>
      </c>
      <c r="H3148" s="3">
        <v>43.333333330000002</v>
      </c>
      <c r="I3148" t="s">
        <v>477</v>
      </c>
    </row>
    <row r="3149" spans="1:9" x14ac:dyDescent="0.35">
      <c r="A3149" s="2">
        <v>45565</v>
      </c>
      <c r="B3149">
        <v>92</v>
      </c>
      <c r="C3149">
        <v>5131012</v>
      </c>
      <c r="D3149" t="s">
        <v>206</v>
      </c>
      <c r="E3149" t="s">
        <v>1120</v>
      </c>
      <c r="F3149" s="3">
        <v>57.2</v>
      </c>
      <c r="G3149" s="3">
        <v>0</v>
      </c>
      <c r="H3149" s="3">
        <v>57.2</v>
      </c>
      <c r="I3149" t="s">
        <v>477</v>
      </c>
    </row>
    <row r="3150" spans="1:9" x14ac:dyDescent="0.35">
      <c r="A3150" s="2">
        <v>45565</v>
      </c>
      <c r="B3150">
        <v>92</v>
      </c>
      <c r="C3150">
        <v>5131013</v>
      </c>
      <c r="D3150" t="s">
        <v>92</v>
      </c>
      <c r="E3150" t="s">
        <v>1120</v>
      </c>
      <c r="F3150" s="3">
        <v>10.4</v>
      </c>
      <c r="G3150" s="3">
        <v>0</v>
      </c>
      <c r="H3150" s="3">
        <v>10.4</v>
      </c>
      <c r="I3150" t="s">
        <v>477</v>
      </c>
    </row>
    <row r="3151" spans="1:9" x14ac:dyDescent="0.35">
      <c r="A3151" s="2">
        <v>45565</v>
      </c>
      <c r="B3151">
        <v>92</v>
      </c>
      <c r="C3151">
        <v>5131014</v>
      </c>
      <c r="D3151" t="s">
        <v>207</v>
      </c>
      <c r="E3151" t="s">
        <v>1120</v>
      </c>
      <c r="F3151" s="3">
        <v>10.4</v>
      </c>
      <c r="G3151" s="3">
        <v>0</v>
      </c>
      <c r="H3151" s="3">
        <v>10.4</v>
      </c>
      <c r="I3151" t="s">
        <v>477</v>
      </c>
    </row>
    <row r="3152" spans="1:9" x14ac:dyDescent="0.35">
      <c r="A3152" s="2">
        <v>45565</v>
      </c>
      <c r="B3152">
        <v>92</v>
      </c>
      <c r="C3152">
        <v>2131002</v>
      </c>
      <c r="D3152" t="s">
        <v>31</v>
      </c>
      <c r="E3152" t="s">
        <v>1120</v>
      </c>
      <c r="F3152" s="3">
        <v>0</v>
      </c>
      <c r="G3152" s="3">
        <v>20.8</v>
      </c>
      <c r="H3152" s="3">
        <v>-20.8</v>
      </c>
      <c r="I3152" t="s">
        <v>477</v>
      </c>
    </row>
    <row r="3153" spans="1:9" x14ac:dyDescent="0.35">
      <c r="A3153" s="2">
        <v>45565</v>
      </c>
      <c r="B3153">
        <v>92</v>
      </c>
      <c r="C3153">
        <v>2131003</v>
      </c>
      <c r="D3153" t="s">
        <v>32</v>
      </c>
      <c r="E3153" t="s">
        <v>1120</v>
      </c>
      <c r="F3153" s="3">
        <v>0</v>
      </c>
      <c r="G3153" s="3">
        <v>2.6</v>
      </c>
      <c r="H3153" s="3">
        <v>-2.6</v>
      </c>
      <c r="I3153" t="s">
        <v>477</v>
      </c>
    </row>
    <row r="3154" spans="1:9" x14ac:dyDescent="0.35">
      <c r="A3154" s="2">
        <v>45565</v>
      </c>
      <c r="B3154">
        <v>92</v>
      </c>
      <c r="C3154">
        <v>2131004</v>
      </c>
      <c r="D3154" t="s">
        <v>33</v>
      </c>
      <c r="E3154" t="s">
        <v>1120</v>
      </c>
      <c r="F3154" s="3">
        <v>0</v>
      </c>
      <c r="G3154" s="3">
        <v>5.2</v>
      </c>
      <c r="H3154" s="3">
        <v>-5.2</v>
      </c>
      <c r="I3154" t="s">
        <v>477</v>
      </c>
    </row>
    <row r="3155" spans="1:9" x14ac:dyDescent="0.35">
      <c r="A3155" s="2">
        <v>45565</v>
      </c>
      <c r="B3155">
        <v>92</v>
      </c>
      <c r="C3155">
        <v>2141001</v>
      </c>
      <c r="D3155" t="s">
        <v>35</v>
      </c>
      <c r="E3155" t="s">
        <v>1120</v>
      </c>
      <c r="F3155" s="3">
        <v>0</v>
      </c>
      <c r="G3155" s="3">
        <v>57.2</v>
      </c>
      <c r="H3155" s="3">
        <v>-57.2</v>
      </c>
      <c r="I3155" t="s">
        <v>477</v>
      </c>
    </row>
    <row r="3156" spans="1:9" x14ac:dyDescent="0.35">
      <c r="A3156" s="2">
        <v>45565</v>
      </c>
      <c r="B3156">
        <v>92</v>
      </c>
      <c r="C3156">
        <v>2141002</v>
      </c>
      <c r="D3156" t="s">
        <v>36</v>
      </c>
      <c r="E3156" t="s">
        <v>1120</v>
      </c>
      <c r="F3156" s="3">
        <v>0</v>
      </c>
      <c r="G3156" s="3">
        <v>10.4</v>
      </c>
      <c r="H3156" s="3">
        <v>-10.4</v>
      </c>
      <c r="I3156" t="s">
        <v>477</v>
      </c>
    </row>
    <row r="3157" spans="1:9" x14ac:dyDescent="0.35">
      <c r="A3157" s="2">
        <v>45565</v>
      </c>
      <c r="B3157">
        <v>92</v>
      </c>
      <c r="C3157">
        <v>2141003</v>
      </c>
      <c r="D3157" t="s">
        <v>37</v>
      </c>
      <c r="E3157" t="s">
        <v>1120</v>
      </c>
      <c r="F3157" s="3">
        <v>0</v>
      </c>
      <c r="G3157" s="3">
        <v>10.4</v>
      </c>
      <c r="H3157" s="3">
        <v>-10.4</v>
      </c>
      <c r="I3157" t="s">
        <v>477</v>
      </c>
    </row>
    <row r="3158" spans="1:9" x14ac:dyDescent="0.35">
      <c r="A3158" s="2">
        <v>45565</v>
      </c>
      <c r="B3158">
        <v>92</v>
      </c>
      <c r="C3158">
        <v>2161004</v>
      </c>
      <c r="D3158" t="s">
        <v>38</v>
      </c>
      <c r="E3158" t="s">
        <v>1120</v>
      </c>
      <c r="F3158" s="3">
        <v>0</v>
      </c>
      <c r="G3158" s="3">
        <v>21.666666670000001</v>
      </c>
      <c r="H3158" s="3">
        <v>-21.666666670000001</v>
      </c>
      <c r="I3158" t="s">
        <v>477</v>
      </c>
    </row>
    <row r="3159" spans="1:9" x14ac:dyDescent="0.35">
      <c r="A3159" s="2">
        <v>45565</v>
      </c>
      <c r="B3159">
        <v>92</v>
      </c>
      <c r="C3159">
        <v>2161005</v>
      </c>
      <c r="D3159" t="s">
        <v>39</v>
      </c>
      <c r="E3159" t="s">
        <v>1120</v>
      </c>
      <c r="F3159" s="3">
        <v>0</v>
      </c>
      <c r="G3159" s="3">
        <v>43.333333330000002</v>
      </c>
      <c r="H3159" s="3">
        <v>-43.333333330000002</v>
      </c>
      <c r="I3159" t="s">
        <v>477</v>
      </c>
    </row>
    <row r="3160" spans="1:9" x14ac:dyDescent="0.35">
      <c r="A3160" s="2">
        <v>45565</v>
      </c>
      <c r="B3160">
        <v>92</v>
      </c>
      <c r="C3160">
        <v>2241001</v>
      </c>
      <c r="D3160" t="s">
        <v>40</v>
      </c>
      <c r="E3160" t="s">
        <v>1120</v>
      </c>
      <c r="F3160" s="3">
        <v>0</v>
      </c>
      <c r="G3160" s="3">
        <v>109.2</v>
      </c>
      <c r="H3160" s="3">
        <v>-109.2</v>
      </c>
      <c r="I3160" t="s">
        <v>477</v>
      </c>
    </row>
    <row r="3161" spans="1:9" x14ac:dyDescent="0.35">
      <c r="A3161" s="2">
        <v>45565</v>
      </c>
      <c r="B3161">
        <v>92</v>
      </c>
      <c r="C3161">
        <v>2161001</v>
      </c>
      <c r="D3161" t="s">
        <v>93</v>
      </c>
      <c r="E3161" t="s">
        <v>1120</v>
      </c>
      <c r="F3161" s="3">
        <v>0</v>
      </c>
      <c r="G3161" s="3">
        <v>6352.2</v>
      </c>
      <c r="H3161" s="3">
        <v>-6352.2</v>
      </c>
      <c r="I3161" t="s">
        <v>477</v>
      </c>
    </row>
    <row r="3162" spans="1:9" x14ac:dyDescent="0.35">
      <c r="A3162" s="2">
        <v>45565</v>
      </c>
      <c r="B3162">
        <v>92</v>
      </c>
      <c r="C3162">
        <v>6121040</v>
      </c>
      <c r="D3162" t="s">
        <v>98</v>
      </c>
      <c r="E3162" t="s">
        <v>99</v>
      </c>
      <c r="F3162" s="3">
        <v>820.91</v>
      </c>
      <c r="G3162" s="3">
        <v>0</v>
      </c>
      <c r="H3162" s="3">
        <v>820.91</v>
      </c>
      <c r="I3162" t="s">
        <v>472</v>
      </c>
    </row>
    <row r="3163" spans="1:9" x14ac:dyDescent="0.35">
      <c r="A3163" s="2">
        <v>45565</v>
      </c>
      <c r="B3163">
        <v>92</v>
      </c>
      <c r="C3163">
        <v>2114001</v>
      </c>
      <c r="D3163" t="s">
        <v>97</v>
      </c>
      <c r="E3163" t="s">
        <v>1768</v>
      </c>
      <c r="F3163" s="3">
        <v>23650</v>
      </c>
      <c r="G3163" s="3">
        <v>0</v>
      </c>
      <c r="H3163" s="3">
        <v>23650</v>
      </c>
      <c r="I3163" t="s">
        <v>472</v>
      </c>
    </row>
    <row r="3164" spans="1:9" x14ac:dyDescent="0.35">
      <c r="A3164" s="2">
        <v>45565</v>
      </c>
      <c r="B3164">
        <v>92</v>
      </c>
      <c r="C3164">
        <v>2124010</v>
      </c>
      <c r="D3164" t="s">
        <v>769</v>
      </c>
      <c r="E3164" t="s">
        <v>858</v>
      </c>
      <c r="F3164" s="3">
        <v>3087.63</v>
      </c>
      <c r="G3164" s="3">
        <v>0</v>
      </c>
      <c r="H3164" s="3">
        <v>3087.63</v>
      </c>
      <c r="I3164" t="s">
        <v>472</v>
      </c>
    </row>
    <row r="3165" spans="1:9" x14ac:dyDescent="0.35">
      <c r="A3165" s="2">
        <v>45565</v>
      </c>
      <c r="B3165">
        <v>92</v>
      </c>
      <c r="C3165">
        <v>1111001</v>
      </c>
      <c r="D3165" t="s">
        <v>16</v>
      </c>
      <c r="E3165" t="s">
        <v>1121</v>
      </c>
      <c r="F3165" s="3">
        <v>380</v>
      </c>
      <c r="G3165" s="3">
        <v>0</v>
      </c>
      <c r="H3165" s="3">
        <v>380</v>
      </c>
      <c r="I3165" t="s">
        <v>472</v>
      </c>
    </row>
    <row r="3166" spans="1:9" x14ac:dyDescent="0.35">
      <c r="A3166" s="2">
        <v>45565</v>
      </c>
      <c r="B3166">
        <v>92</v>
      </c>
      <c r="C3166">
        <v>5132010</v>
      </c>
      <c r="D3166" t="s">
        <v>211</v>
      </c>
      <c r="E3166" t="s">
        <v>1122</v>
      </c>
      <c r="F3166" s="3">
        <v>6450</v>
      </c>
      <c r="G3166" s="3">
        <v>0</v>
      </c>
      <c r="H3166" s="3">
        <v>6450</v>
      </c>
      <c r="I3166" t="s">
        <v>472</v>
      </c>
    </row>
    <row r="3167" spans="1:9" x14ac:dyDescent="0.35">
      <c r="A3167" s="2">
        <v>45565</v>
      </c>
      <c r="B3167">
        <v>92</v>
      </c>
      <c r="C3167">
        <v>5131016</v>
      </c>
      <c r="D3167" t="s">
        <v>238</v>
      </c>
      <c r="E3167" t="s">
        <v>1123</v>
      </c>
      <c r="F3167" s="3">
        <v>1290</v>
      </c>
      <c r="G3167" s="3">
        <v>0</v>
      </c>
      <c r="H3167" s="3">
        <v>1290</v>
      </c>
      <c r="I3167" t="s">
        <v>472</v>
      </c>
    </row>
    <row r="3168" spans="1:9" x14ac:dyDescent="0.35">
      <c r="A3168" s="2">
        <v>45565</v>
      </c>
      <c r="B3168">
        <v>92</v>
      </c>
      <c r="C3168">
        <v>5132022</v>
      </c>
      <c r="D3168" t="s">
        <v>695</v>
      </c>
      <c r="E3168" t="s">
        <v>1124</v>
      </c>
      <c r="F3168" s="3">
        <v>1230</v>
      </c>
      <c r="G3168" s="3">
        <v>0</v>
      </c>
      <c r="H3168" s="3">
        <v>1230</v>
      </c>
      <c r="I3168" t="s">
        <v>472</v>
      </c>
    </row>
    <row r="3169" spans="1:9" x14ac:dyDescent="0.35">
      <c r="A3169" s="2">
        <v>45565</v>
      </c>
      <c r="B3169">
        <v>92</v>
      </c>
      <c r="C3169">
        <v>2141002</v>
      </c>
      <c r="D3169" t="s">
        <v>36</v>
      </c>
      <c r="E3169" t="s">
        <v>550</v>
      </c>
      <c r="F3169" s="3">
        <v>27.3</v>
      </c>
      <c r="G3169" s="3">
        <v>0</v>
      </c>
      <c r="H3169" s="3">
        <v>27.3</v>
      </c>
      <c r="I3169" t="s">
        <v>472</v>
      </c>
    </row>
    <row r="3170" spans="1:9" x14ac:dyDescent="0.35">
      <c r="A3170" s="2">
        <v>45565</v>
      </c>
      <c r="B3170">
        <v>92</v>
      </c>
      <c r="C3170">
        <v>2141001</v>
      </c>
      <c r="D3170" t="s">
        <v>35</v>
      </c>
      <c r="E3170" t="s">
        <v>551</v>
      </c>
      <c r="F3170" s="3">
        <v>181.54</v>
      </c>
      <c r="G3170" s="3">
        <v>0</v>
      </c>
      <c r="H3170" s="3">
        <v>181.54</v>
      </c>
      <c r="I3170" t="s">
        <v>472</v>
      </c>
    </row>
    <row r="3171" spans="1:9" x14ac:dyDescent="0.35">
      <c r="A3171" s="2">
        <v>45565</v>
      </c>
      <c r="B3171">
        <v>92</v>
      </c>
      <c r="C3171">
        <v>2121003</v>
      </c>
      <c r="D3171" t="s">
        <v>28</v>
      </c>
      <c r="E3171" t="s">
        <v>297</v>
      </c>
      <c r="F3171" s="3">
        <v>13118.76</v>
      </c>
      <c r="G3171" s="3">
        <v>0</v>
      </c>
      <c r="H3171" s="3">
        <v>13118.76</v>
      </c>
      <c r="I3171" t="s">
        <v>472</v>
      </c>
    </row>
    <row r="3172" spans="1:9" x14ac:dyDescent="0.35">
      <c r="A3172" s="2">
        <v>45565</v>
      </c>
      <c r="B3172">
        <v>92</v>
      </c>
      <c r="C3172">
        <v>5131006</v>
      </c>
      <c r="D3172" t="s">
        <v>125</v>
      </c>
      <c r="E3172" t="s">
        <v>1771</v>
      </c>
      <c r="F3172" s="3">
        <v>6450</v>
      </c>
      <c r="G3172" s="3">
        <v>0</v>
      </c>
      <c r="H3172" s="3">
        <v>6450</v>
      </c>
      <c r="I3172" t="s">
        <v>472</v>
      </c>
    </row>
    <row r="3173" spans="1:9" x14ac:dyDescent="0.35">
      <c r="A3173" s="2">
        <v>45565</v>
      </c>
      <c r="B3173">
        <v>92</v>
      </c>
      <c r="C3173">
        <v>5131006</v>
      </c>
      <c r="D3173" t="s">
        <v>125</v>
      </c>
      <c r="E3173" t="s">
        <v>1771</v>
      </c>
      <c r="F3173" s="3">
        <v>1760</v>
      </c>
      <c r="G3173" s="3">
        <v>0</v>
      </c>
      <c r="H3173" s="3">
        <v>1760</v>
      </c>
      <c r="I3173" t="s">
        <v>472</v>
      </c>
    </row>
    <row r="3174" spans="1:9" x14ac:dyDescent="0.35">
      <c r="A3174" s="2">
        <v>45565</v>
      </c>
      <c r="B3174">
        <v>92</v>
      </c>
      <c r="C3174">
        <v>5131006</v>
      </c>
      <c r="D3174" t="s">
        <v>125</v>
      </c>
      <c r="E3174" t="s">
        <v>1771</v>
      </c>
      <c r="F3174" s="3">
        <v>1700</v>
      </c>
      <c r="G3174" s="3">
        <v>0</v>
      </c>
      <c r="H3174" s="3">
        <v>1700</v>
      </c>
      <c r="I3174" t="s">
        <v>472</v>
      </c>
    </row>
    <row r="3175" spans="1:9" x14ac:dyDescent="0.35">
      <c r="A3175" s="2">
        <v>45565</v>
      </c>
      <c r="B3175">
        <v>92</v>
      </c>
      <c r="C3175">
        <v>1112003</v>
      </c>
      <c r="D3175" t="s">
        <v>22</v>
      </c>
      <c r="E3175" t="s">
        <v>758</v>
      </c>
      <c r="F3175" s="3">
        <v>0</v>
      </c>
      <c r="G3175" s="3">
        <v>60146.14</v>
      </c>
      <c r="H3175" s="3">
        <v>-60146.14</v>
      </c>
      <c r="I3175" t="s">
        <v>472</v>
      </c>
    </row>
    <row r="3176" spans="1:9" x14ac:dyDescent="0.35">
      <c r="A3176" s="2">
        <v>45565</v>
      </c>
      <c r="B3176">
        <v>92</v>
      </c>
      <c r="C3176">
        <v>1112003</v>
      </c>
      <c r="D3176" t="s">
        <v>22</v>
      </c>
      <c r="E3176" t="s">
        <v>744</v>
      </c>
      <c r="F3176" s="3">
        <v>60137.79</v>
      </c>
      <c r="G3176" s="3">
        <v>0</v>
      </c>
      <c r="H3176" s="3">
        <v>60137.79</v>
      </c>
      <c r="I3176" t="s">
        <v>472</v>
      </c>
    </row>
    <row r="3177" spans="1:9" x14ac:dyDescent="0.35">
      <c r="A3177" s="2">
        <v>45565</v>
      </c>
      <c r="B3177">
        <v>92</v>
      </c>
      <c r="C3177">
        <v>1111001</v>
      </c>
      <c r="D3177" t="s">
        <v>16</v>
      </c>
      <c r="E3177" t="s">
        <v>1125</v>
      </c>
      <c r="F3177" s="3">
        <v>0</v>
      </c>
      <c r="G3177" s="3">
        <v>8500</v>
      </c>
      <c r="H3177" s="3">
        <v>-8500</v>
      </c>
      <c r="I3177" t="s">
        <v>472</v>
      </c>
    </row>
    <row r="3178" spans="1:9" x14ac:dyDescent="0.35">
      <c r="A3178" s="2">
        <v>45565</v>
      </c>
      <c r="B3178">
        <v>92</v>
      </c>
      <c r="C3178">
        <v>1111001</v>
      </c>
      <c r="D3178" t="s">
        <v>16</v>
      </c>
      <c r="E3178" t="s">
        <v>1075</v>
      </c>
      <c r="F3178" s="3">
        <v>0</v>
      </c>
      <c r="G3178" s="3">
        <v>3000</v>
      </c>
      <c r="H3178" s="3">
        <v>-3000</v>
      </c>
      <c r="I3178" t="s">
        <v>472</v>
      </c>
    </row>
    <row r="3179" spans="1:9" x14ac:dyDescent="0.35">
      <c r="A3179" s="2">
        <v>45565</v>
      </c>
      <c r="B3179">
        <v>92</v>
      </c>
      <c r="C3179">
        <v>1111001</v>
      </c>
      <c r="D3179" t="s">
        <v>16</v>
      </c>
      <c r="E3179" t="s">
        <v>112</v>
      </c>
      <c r="F3179" s="3">
        <v>0</v>
      </c>
      <c r="G3179" s="3">
        <v>9000</v>
      </c>
      <c r="H3179" s="3">
        <v>-9000</v>
      </c>
      <c r="I3179" t="s">
        <v>472</v>
      </c>
    </row>
    <row r="3180" spans="1:9" x14ac:dyDescent="0.35">
      <c r="A3180" s="2">
        <v>45565</v>
      </c>
      <c r="B3180">
        <v>92</v>
      </c>
      <c r="C3180">
        <v>1111001</v>
      </c>
      <c r="D3180" t="s">
        <v>16</v>
      </c>
      <c r="E3180" t="s">
        <v>111</v>
      </c>
      <c r="F3180" s="3">
        <v>0</v>
      </c>
      <c r="G3180" s="3">
        <v>30700</v>
      </c>
      <c r="H3180" s="3">
        <v>-30700</v>
      </c>
      <c r="I3180" t="s">
        <v>472</v>
      </c>
    </row>
    <row r="3181" spans="1:9" x14ac:dyDescent="0.35">
      <c r="A3181" s="2">
        <v>45565</v>
      </c>
      <c r="B3181">
        <v>92</v>
      </c>
      <c r="C3181">
        <v>1111001</v>
      </c>
      <c r="D3181" t="s">
        <v>16</v>
      </c>
      <c r="E3181" t="s">
        <v>139</v>
      </c>
      <c r="F3181" s="3">
        <v>0</v>
      </c>
      <c r="G3181" s="3">
        <v>8937.7900000000009</v>
      </c>
      <c r="H3181" s="3">
        <v>-8937.7900000000009</v>
      </c>
      <c r="I3181" t="s">
        <v>472</v>
      </c>
    </row>
    <row r="3182" spans="1:9" x14ac:dyDescent="0.35">
      <c r="A3182" s="2">
        <v>45565</v>
      </c>
      <c r="B3182">
        <v>92</v>
      </c>
      <c r="C3182">
        <v>6121040</v>
      </c>
      <c r="D3182" t="s">
        <v>98</v>
      </c>
      <c r="E3182" t="s">
        <v>99</v>
      </c>
      <c r="F3182" s="3">
        <v>155.11000000000001</v>
      </c>
      <c r="G3182" s="3">
        <v>0</v>
      </c>
      <c r="H3182" s="3">
        <v>155.11000000000001</v>
      </c>
      <c r="I3182" t="s">
        <v>480</v>
      </c>
    </row>
    <row r="3183" spans="1:9" x14ac:dyDescent="0.35">
      <c r="A3183" s="2">
        <v>45565</v>
      </c>
      <c r="B3183">
        <v>92</v>
      </c>
      <c r="C3183">
        <v>2114001</v>
      </c>
      <c r="D3183" t="s">
        <v>97</v>
      </c>
      <c r="E3183" t="s">
        <v>1768</v>
      </c>
      <c r="F3183" s="3">
        <v>7251</v>
      </c>
      <c r="G3183" s="3">
        <v>0</v>
      </c>
      <c r="H3183" s="3">
        <v>7251</v>
      </c>
      <c r="I3183" t="s">
        <v>480</v>
      </c>
    </row>
    <row r="3184" spans="1:9" x14ac:dyDescent="0.35">
      <c r="A3184" s="2">
        <v>45565</v>
      </c>
      <c r="B3184">
        <v>92</v>
      </c>
      <c r="C3184">
        <v>2114001</v>
      </c>
      <c r="D3184" t="s">
        <v>97</v>
      </c>
      <c r="E3184" t="s">
        <v>1126</v>
      </c>
      <c r="F3184" s="3">
        <v>188.24</v>
      </c>
      <c r="G3184" s="3">
        <v>0</v>
      </c>
      <c r="H3184" s="3">
        <v>188.24</v>
      </c>
      <c r="I3184" t="s">
        <v>480</v>
      </c>
    </row>
    <row r="3185" spans="1:9" x14ac:dyDescent="0.35">
      <c r="A3185" s="2">
        <v>45565</v>
      </c>
      <c r="B3185">
        <v>92</v>
      </c>
      <c r="C3185">
        <v>6121021</v>
      </c>
      <c r="D3185" t="s">
        <v>102</v>
      </c>
      <c r="E3185" t="s">
        <v>1127</v>
      </c>
      <c r="F3185" s="3">
        <v>1148.82</v>
      </c>
      <c r="G3185" s="3">
        <v>0</v>
      </c>
      <c r="H3185" s="3">
        <v>1148.82</v>
      </c>
      <c r="I3185" t="s">
        <v>480</v>
      </c>
    </row>
    <row r="3186" spans="1:9" x14ac:dyDescent="0.35">
      <c r="A3186" s="2">
        <v>45565</v>
      </c>
      <c r="B3186">
        <v>92</v>
      </c>
      <c r="C3186">
        <v>6121019</v>
      </c>
      <c r="D3186" t="s">
        <v>100</v>
      </c>
      <c r="E3186" t="s">
        <v>483</v>
      </c>
      <c r="F3186" s="3">
        <v>492.85</v>
      </c>
      <c r="G3186" s="3">
        <v>0</v>
      </c>
      <c r="H3186" s="3">
        <v>492.85</v>
      </c>
      <c r="I3186" t="s">
        <v>480</v>
      </c>
    </row>
    <row r="3187" spans="1:9" x14ac:dyDescent="0.35">
      <c r="A3187" s="2">
        <v>45565</v>
      </c>
      <c r="B3187">
        <v>92</v>
      </c>
      <c r="C3187">
        <v>1111001</v>
      </c>
      <c r="D3187" t="s">
        <v>16</v>
      </c>
      <c r="E3187" t="s">
        <v>213</v>
      </c>
      <c r="F3187" s="3">
        <v>1900</v>
      </c>
      <c r="G3187" s="3">
        <v>0</v>
      </c>
      <c r="H3187" s="3">
        <v>1900</v>
      </c>
      <c r="I3187" t="s">
        <v>480</v>
      </c>
    </row>
    <row r="3188" spans="1:9" x14ac:dyDescent="0.35">
      <c r="A3188" s="2">
        <v>45565</v>
      </c>
      <c r="B3188">
        <v>92</v>
      </c>
      <c r="C3188">
        <v>1111001</v>
      </c>
      <c r="D3188" t="s">
        <v>16</v>
      </c>
      <c r="E3188" t="s">
        <v>1809</v>
      </c>
      <c r="F3188" s="3">
        <v>1500</v>
      </c>
      <c r="G3188" s="3">
        <v>0</v>
      </c>
      <c r="H3188" s="3">
        <v>1500</v>
      </c>
      <c r="I3188" t="s">
        <v>480</v>
      </c>
    </row>
    <row r="3189" spans="1:9" x14ac:dyDescent="0.35">
      <c r="A3189" s="2">
        <v>45565</v>
      </c>
      <c r="B3189">
        <v>92</v>
      </c>
      <c r="C3189">
        <v>1112001</v>
      </c>
      <c r="D3189" t="s">
        <v>20</v>
      </c>
      <c r="E3189" t="s">
        <v>758</v>
      </c>
      <c r="F3189" s="3">
        <v>0</v>
      </c>
      <c r="G3189" s="3">
        <v>12636.02</v>
      </c>
      <c r="H3189" s="3">
        <v>-12636.02</v>
      </c>
      <c r="I3189" t="s">
        <v>480</v>
      </c>
    </row>
    <row r="3190" spans="1:9" x14ac:dyDescent="0.35">
      <c r="A3190" s="2">
        <v>45565</v>
      </c>
      <c r="B3190">
        <v>92</v>
      </c>
      <c r="C3190">
        <v>1112001</v>
      </c>
      <c r="D3190" t="s">
        <v>20</v>
      </c>
      <c r="E3190" t="s">
        <v>744</v>
      </c>
      <c r="F3190" s="3">
        <v>12620.75</v>
      </c>
      <c r="G3190" s="3">
        <v>0</v>
      </c>
      <c r="H3190" s="3">
        <v>12620.75</v>
      </c>
      <c r="I3190" t="s">
        <v>480</v>
      </c>
    </row>
    <row r="3191" spans="1:9" x14ac:dyDescent="0.35">
      <c r="A3191" s="2">
        <v>45565</v>
      </c>
      <c r="B3191">
        <v>92</v>
      </c>
      <c r="C3191">
        <v>1111001</v>
      </c>
      <c r="D3191" t="s">
        <v>16</v>
      </c>
      <c r="E3191" t="s">
        <v>427</v>
      </c>
      <c r="F3191" s="3">
        <v>0</v>
      </c>
      <c r="G3191" s="3">
        <v>1850</v>
      </c>
      <c r="H3191" s="3">
        <v>-1850</v>
      </c>
      <c r="I3191" t="s">
        <v>480</v>
      </c>
    </row>
    <row r="3192" spans="1:9" x14ac:dyDescent="0.35">
      <c r="A3192" s="2">
        <v>45565</v>
      </c>
      <c r="B3192">
        <v>92</v>
      </c>
      <c r="C3192">
        <v>1111001</v>
      </c>
      <c r="D3192" t="s">
        <v>16</v>
      </c>
      <c r="E3192" t="s">
        <v>1128</v>
      </c>
      <c r="F3192" s="3">
        <v>0</v>
      </c>
      <c r="G3192" s="3">
        <v>2760.75</v>
      </c>
      <c r="H3192" s="3">
        <v>-2760.75</v>
      </c>
      <c r="I3192" t="s">
        <v>480</v>
      </c>
    </row>
    <row r="3193" spans="1:9" x14ac:dyDescent="0.35">
      <c r="A3193" s="2">
        <v>45565</v>
      </c>
      <c r="B3193">
        <v>92</v>
      </c>
      <c r="C3193">
        <v>1111001</v>
      </c>
      <c r="D3193" t="s">
        <v>16</v>
      </c>
      <c r="E3193" t="s">
        <v>112</v>
      </c>
      <c r="F3193" s="3">
        <v>0</v>
      </c>
      <c r="G3193" s="3">
        <v>8010</v>
      </c>
      <c r="H3193" s="3">
        <v>-8010</v>
      </c>
      <c r="I3193" t="s">
        <v>480</v>
      </c>
    </row>
    <row r="3194" spans="1:9" x14ac:dyDescent="0.35">
      <c r="A3194" s="2">
        <v>45565</v>
      </c>
      <c r="B3194">
        <v>92</v>
      </c>
      <c r="C3194">
        <v>6121040</v>
      </c>
      <c r="D3194" t="s">
        <v>98</v>
      </c>
      <c r="E3194" t="s">
        <v>99</v>
      </c>
      <c r="F3194" s="3">
        <v>2365.2399999999998</v>
      </c>
      <c r="G3194" s="3">
        <v>0</v>
      </c>
      <c r="H3194" s="3">
        <v>2365.2399999999998</v>
      </c>
      <c r="I3194" t="s">
        <v>1129</v>
      </c>
    </row>
    <row r="3195" spans="1:9" x14ac:dyDescent="0.35">
      <c r="A3195" s="2">
        <v>45565</v>
      </c>
      <c r="B3195">
        <v>92</v>
      </c>
      <c r="C3195">
        <v>2114001</v>
      </c>
      <c r="D3195" t="s">
        <v>97</v>
      </c>
      <c r="E3195" t="s">
        <v>1768</v>
      </c>
      <c r="F3195" s="3">
        <v>27217.62</v>
      </c>
      <c r="G3195" s="3">
        <v>0</v>
      </c>
      <c r="H3195" s="3">
        <v>27217.62</v>
      </c>
      <c r="I3195" t="s">
        <v>1129</v>
      </c>
    </row>
    <row r="3196" spans="1:9" x14ac:dyDescent="0.35">
      <c r="A3196" s="2">
        <v>45565</v>
      </c>
      <c r="B3196">
        <v>92</v>
      </c>
      <c r="C3196">
        <v>1111001</v>
      </c>
      <c r="D3196" t="s">
        <v>16</v>
      </c>
      <c r="E3196" t="s">
        <v>132</v>
      </c>
      <c r="F3196" s="3">
        <v>9400</v>
      </c>
      <c r="G3196" s="3">
        <v>0</v>
      </c>
      <c r="H3196" s="3">
        <v>9400</v>
      </c>
      <c r="I3196" t="s">
        <v>1129</v>
      </c>
    </row>
    <row r="3197" spans="1:9" x14ac:dyDescent="0.35">
      <c r="A3197" s="2">
        <v>45565</v>
      </c>
      <c r="B3197">
        <v>92</v>
      </c>
      <c r="C3197">
        <v>1111001</v>
      </c>
      <c r="D3197" t="s">
        <v>16</v>
      </c>
      <c r="E3197" t="s">
        <v>1130</v>
      </c>
      <c r="F3197" s="3">
        <v>1400</v>
      </c>
      <c r="G3197" s="3">
        <v>0</v>
      </c>
      <c r="H3197" s="3">
        <v>1400</v>
      </c>
      <c r="I3197" t="s">
        <v>1129</v>
      </c>
    </row>
    <row r="3198" spans="1:9" x14ac:dyDescent="0.35">
      <c r="A3198" s="2">
        <v>45565</v>
      </c>
      <c r="B3198">
        <v>92</v>
      </c>
      <c r="C3198">
        <v>1111001</v>
      </c>
      <c r="D3198" t="s">
        <v>16</v>
      </c>
      <c r="E3198" t="s">
        <v>213</v>
      </c>
      <c r="F3198" s="3">
        <v>23800</v>
      </c>
      <c r="G3198" s="3">
        <v>0</v>
      </c>
      <c r="H3198" s="3">
        <v>23800</v>
      </c>
      <c r="I3198" t="s">
        <v>1129</v>
      </c>
    </row>
    <row r="3199" spans="1:9" x14ac:dyDescent="0.35">
      <c r="A3199" s="2">
        <v>45565</v>
      </c>
      <c r="B3199">
        <v>92</v>
      </c>
      <c r="C3199">
        <v>1111001</v>
      </c>
      <c r="D3199" t="s">
        <v>16</v>
      </c>
      <c r="E3199" t="s">
        <v>1131</v>
      </c>
      <c r="F3199" s="3">
        <v>74</v>
      </c>
      <c r="G3199" s="3">
        <v>0</v>
      </c>
      <c r="H3199" s="3">
        <v>74</v>
      </c>
      <c r="I3199" t="s">
        <v>1129</v>
      </c>
    </row>
    <row r="3200" spans="1:9" x14ac:dyDescent="0.35">
      <c r="A3200" s="2">
        <v>45565</v>
      </c>
      <c r="B3200">
        <v>92</v>
      </c>
      <c r="C3200">
        <v>2111002</v>
      </c>
      <c r="D3200" t="s">
        <v>424</v>
      </c>
      <c r="E3200" t="s">
        <v>1037</v>
      </c>
      <c r="F3200" s="3">
        <v>11674.79</v>
      </c>
      <c r="G3200" s="3">
        <v>0</v>
      </c>
      <c r="H3200" s="3">
        <v>11674.79</v>
      </c>
      <c r="I3200" t="s">
        <v>1129</v>
      </c>
    </row>
    <row r="3201" spans="1:9" x14ac:dyDescent="0.35">
      <c r="A3201" s="2">
        <v>45565</v>
      </c>
      <c r="B3201">
        <v>92</v>
      </c>
      <c r="C3201">
        <v>5131006</v>
      </c>
      <c r="D3201" t="s">
        <v>125</v>
      </c>
      <c r="E3201" t="s">
        <v>1771</v>
      </c>
      <c r="F3201" s="3">
        <v>1500</v>
      </c>
      <c r="G3201" s="3">
        <v>0</v>
      </c>
      <c r="H3201" s="3">
        <v>1500</v>
      </c>
      <c r="I3201" t="s">
        <v>1129</v>
      </c>
    </row>
    <row r="3202" spans="1:9" x14ac:dyDescent="0.35">
      <c r="A3202" s="2">
        <v>45565</v>
      </c>
      <c r="B3202">
        <v>92</v>
      </c>
      <c r="C3202">
        <v>5131006</v>
      </c>
      <c r="D3202" t="s">
        <v>125</v>
      </c>
      <c r="E3202" t="s">
        <v>1771</v>
      </c>
      <c r="F3202" s="3">
        <v>6450</v>
      </c>
      <c r="G3202" s="3">
        <v>0</v>
      </c>
      <c r="H3202" s="3">
        <v>6450</v>
      </c>
      <c r="I3202" t="s">
        <v>1129</v>
      </c>
    </row>
    <row r="3203" spans="1:9" x14ac:dyDescent="0.35">
      <c r="A3203" s="2">
        <v>45565</v>
      </c>
      <c r="B3203">
        <v>92</v>
      </c>
      <c r="C3203">
        <v>5131006</v>
      </c>
      <c r="D3203" t="s">
        <v>125</v>
      </c>
      <c r="E3203" t="s">
        <v>1771</v>
      </c>
      <c r="F3203" s="3">
        <v>1000</v>
      </c>
      <c r="G3203" s="3">
        <v>0</v>
      </c>
      <c r="H3203" s="3">
        <v>1000</v>
      </c>
      <c r="I3203" t="s">
        <v>1129</v>
      </c>
    </row>
    <row r="3204" spans="1:9" x14ac:dyDescent="0.35">
      <c r="A3204" s="2">
        <v>45565</v>
      </c>
      <c r="B3204">
        <v>92</v>
      </c>
      <c r="C3204">
        <v>6121023</v>
      </c>
      <c r="D3204" t="s">
        <v>49</v>
      </c>
      <c r="E3204" t="s">
        <v>1132</v>
      </c>
      <c r="F3204" s="3">
        <v>80</v>
      </c>
      <c r="G3204" s="3">
        <v>0</v>
      </c>
      <c r="H3204" s="3">
        <v>80</v>
      </c>
      <c r="I3204" t="s">
        <v>1129</v>
      </c>
    </row>
    <row r="3205" spans="1:9" x14ac:dyDescent="0.35">
      <c r="A3205" s="2">
        <v>45565</v>
      </c>
      <c r="B3205">
        <v>92</v>
      </c>
      <c r="C3205">
        <v>2114001</v>
      </c>
      <c r="D3205" t="s">
        <v>97</v>
      </c>
      <c r="E3205" t="s">
        <v>1810</v>
      </c>
      <c r="F3205" s="3">
        <v>3400</v>
      </c>
      <c r="G3205" s="3">
        <v>0</v>
      </c>
      <c r="H3205" s="3">
        <v>3400</v>
      </c>
      <c r="I3205" t="s">
        <v>1129</v>
      </c>
    </row>
    <row r="3206" spans="1:9" x14ac:dyDescent="0.35">
      <c r="A3206" s="2">
        <v>45565</v>
      </c>
      <c r="B3206">
        <v>92</v>
      </c>
      <c r="C3206">
        <v>2114001</v>
      </c>
      <c r="D3206" t="s">
        <v>97</v>
      </c>
      <c r="E3206" t="s">
        <v>1811</v>
      </c>
      <c r="F3206" s="3">
        <v>6150</v>
      </c>
      <c r="G3206" s="3">
        <v>0</v>
      </c>
      <c r="H3206" s="3">
        <v>6150</v>
      </c>
      <c r="I3206" t="s">
        <v>1129</v>
      </c>
    </row>
    <row r="3207" spans="1:9" x14ac:dyDescent="0.35">
      <c r="A3207" s="2">
        <v>45565</v>
      </c>
      <c r="B3207">
        <v>92</v>
      </c>
      <c r="C3207">
        <v>1112002</v>
      </c>
      <c r="D3207" t="s">
        <v>21</v>
      </c>
      <c r="E3207" t="s">
        <v>758</v>
      </c>
      <c r="F3207" s="3">
        <v>0</v>
      </c>
      <c r="G3207" s="3">
        <v>94511.65</v>
      </c>
      <c r="H3207" s="3">
        <v>-94511.65</v>
      </c>
      <c r="I3207" t="s">
        <v>1129</v>
      </c>
    </row>
    <row r="3208" spans="1:9" x14ac:dyDescent="0.35">
      <c r="A3208" s="2">
        <v>45565</v>
      </c>
      <c r="B3208">
        <v>92</v>
      </c>
      <c r="C3208">
        <v>1112002</v>
      </c>
      <c r="D3208" t="s">
        <v>21</v>
      </c>
      <c r="E3208" t="s">
        <v>744</v>
      </c>
      <c r="F3208" s="3">
        <v>94537.59</v>
      </c>
      <c r="G3208" s="3">
        <v>0</v>
      </c>
      <c r="H3208" s="3">
        <v>94537.59</v>
      </c>
      <c r="I3208" t="s">
        <v>1129</v>
      </c>
    </row>
    <row r="3209" spans="1:9" x14ac:dyDescent="0.35">
      <c r="A3209" s="2">
        <v>45565</v>
      </c>
      <c r="B3209">
        <v>92</v>
      </c>
      <c r="C3209">
        <v>1111001</v>
      </c>
      <c r="D3209" t="s">
        <v>16</v>
      </c>
      <c r="E3209" t="s">
        <v>137</v>
      </c>
      <c r="F3209" s="3">
        <v>0</v>
      </c>
      <c r="G3209" s="3">
        <v>82960.800000000003</v>
      </c>
      <c r="H3209" s="3">
        <v>-82960.800000000003</v>
      </c>
      <c r="I3209" t="s">
        <v>1129</v>
      </c>
    </row>
    <row r="3210" spans="1:9" x14ac:dyDescent="0.35">
      <c r="A3210" s="2">
        <v>45565</v>
      </c>
      <c r="B3210">
        <v>92</v>
      </c>
      <c r="C3210">
        <v>1111001</v>
      </c>
      <c r="D3210" t="s">
        <v>16</v>
      </c>
      <c r="E3210" t="s">
        <v>139</v>
      </c>
      <c r="F3210" s="3">
        <v>0</v>
      </c>
      <c r="G3210" s="3">
        <v>7427.22</v>
      </c>
      <c r="H3210" s="3">
        <v>-7427.22</v>
      </c>
      <c r="I3210" t="s">
        <v>1129</v>
      </c>
    </row>
    <row r="3211" spans="1:9" x14ac:dyDescent="0.35">
      <c r="A3211" s="2">
        <v>45565</v>
      </c>
      <c r="B3211">
        <v>92</v>
      </c>
      <c r="C3211">
        <v>1111001</v>
      </c>
      <c r="D3211" t="s">
        <v>16</v>
      </c>
      <c r="E3211" t="s">
        <v>1133</v>
      </c>
      <c r="F3211" s="3">
        <v>0</v>
      </c>
      <c r="G3211" s="3">
        <v>297.62</v>
      </c>
      <c r="H3211" s="3">
        <v>-297.62</v>
      </c>
      <c r="I3211" t="s">
        <v>1129</v>
      </c>
    </row>
    <row r="3212" spans="1:9" x14ac:dyDescent="0.35">
      <c r="A3212" s="2">
        <v>45565</v>
      </c>
      <c r="B3212">
        <v>92</v>
      </c>
      <c r="C3212">
        <v>1111001</v>
      </c>
      <c r="D3212" t="s">
        <v>16</v>
      </c>
      <c r="E3212" t="s">
        <v>992</v>
      </c>
      <c r="F3212" s="3">
        <v>0</v>
      </c>
      <c r="G3212" s="3">
        <v>920.25</v>
      </c>
      <c r="H3212" s="3">
        <v>-920.25</v>
      </c>
      <c r="I3212" t="s">
        <v>1129</v>
      </c>
    </row>
    <row r="3213" spans="1:9" x14ac:dyDescent="0.35">
      <c r="A3213" s="2">
        <v>45565</v>
      </c>
      <c r="B3213">
        <v>92</v>
      </c>
      <c r="C3213">
        <v>1111001</v>
      </c>
      <c r="D3213" t="s">
        <v>16</v>
      </c>
      <c r="E3213" t="s">
        <v>1134</v>
      </c>
      <c r="F3213" s="3">
        <v>0</v>
      </c>
      <c r="G3213" s="3">
        <v>2760</v>
      </c>
      <c r="H3213" s="3">
        <v>-2760</v>
      </c>
      <c r="I3213" t="s">
        <v>1129</v>
      </c>
    </row>
    <row r="3214" spans="1:9" x14ac:dyDescent="0.35">
      <c r="A3214" s="2">
        <v>45565</v>
      </c>
      <c r="B3214">
        <v>92</v>
      </c>
      <c r="C3214">
        <v>4141003</v>
      </c>
      <c r="D3214" t="s">
        <v>141</v>
      </c>
      <c r="E3214" t="s">
        <v>142</v>
      </c>
      <c r="F3214" s="3">
        <v>0</v>
      </c>
      <c r="G3214" s="3">
        <v>171.7</v>
      </c>
      <c r="H3214" s="3">
        <v>-171.7</v>
      </c>
      <c r="I3214" t="s">
        <v>1129</v>
      </c>
    </row>
    <row r="3215" spans="1:9" x14ac:dyDescent="0.35">
      <c r="A3215" s="2">
        <v>45565</v>
      </c>
      <c r="B3215">
        <v>92</v>
      </c>
      <c r="C3215">
        <v>5131006</v>
      </c>
      <c r="D3215" t="s">
        <v>125</v>
      </c>
      <c r="E3215" t="s">
        <v>1135</v>
      </c>
      <c r="F3215" s="3">
        <v>900</v>
      </c>
      <c r="G3215" s="3">
        <v>0</v>
      </c>
      <c r="H3215" s="3">
        <v>900</v>
      </c>
      <c r="I3215" t="s">
        <v>1136</v>
      </c>
    </row>
    <row r="3216" spans="1:9" x14ac:dyDescent="0.35">
      <c r="A3216" s="2">
        <v>45565</v>
      </c>
      <c r="B3216">
        <v>92</v>
      </c>
      <c r="C3216">
        <v>2114001</v>
      </c>
      <c r="D3216" t="s">
        <v>97</v>
      </c>
      <c r="E3216" t="s">
        <v>1135</v>
      </c>
      <c r="F3216" s="3">
        <v>0</v>
      </c>
      <c r="G3216" s="3">
        <v>900</v>
      </c>
      <c r="H3216" s="3">
        <v>-900</v>
      </c>
      <c r="I3216" t="s">
        <v>1136</v>
      </c>
    </row>
    <row r="3217" spans="1:9" x14ac:dyDescent="0.35">
      <c r="A3217" s="2">
        <v>45565</v>
      </c>
      <c r="B3217">
        <v>92</v>
      </c>
      <c r="C3217">
        <v>5131016</v>
      </c>
      <c r="D3217" t="s">
        <v>238</v>
      </c>
      <c r="E3217" t="s">
        <v>1137</v>
      </c>
      <c r="F3217" s="3">
        <v>1090</v>
      </c>
      <c r="G3217" s="3">
        <v>0</v>
      </c>
      <c r="H3217" s="3">
        <v>1090</v>
      </c>
      <c r="I3217" t="s">
        <v>1136</v>
      </c>
    </row>
    <row r="3218" spans="1:9" x14ac:dyDescent="0.35">
      <c r="A3218" s="2">
        <v>45565</v>
      </c>
      <c r="B3218">
        <v>92</v>
      </c>
      <c r="C3218">
        <v>2114001</v>
      </c>
      <c r="D3218" t="s">
        <v>97</v>
      </c>
      <c r="E3218" t="s">
        <v>1137</v>
      </c>
      <c r="F3218" s="3">
        <v>0</v>
      </c>
      <c r="G3218" s="3">
        <v>1090</v>
      </c>
      <c r="H3218" s="3">
        <v>-1090</v>
      </c>
      <c r="I3218" t="s">
        <v>1136</v>
      </c>
    </row>
    <row r="3219" spans="1:9" x14ac:dyDescent="0.35">
      <c r="A3219" s="2">
        <v>45565</v>
      </c>
      <c r="B3219">
        <v>92</v>
      </c>
      <c r="C3219">
        <v>2114010</v>
      </c>
      <c r="D3219" t="s">
        <v>48</v>
      </c>
      <c r="E3219" t="s">
        <v>368</v>
      </c>
      <c r="F3219" s="3">
        <v>16350.88</v>
      </c>
      <c r="G3219" s="3">
        <v>0</v>
      </c>
      <c r="H3219" s="3">
        <v>16350.88</v>
      </c>
      <c r="I3219" t="s">
        <v>144</v>
      </c>
    </row>
    <row r="3220" spans="1:9" x14ac:dyDescent="0.35">
      <c r="A3220" s="2">
        <v>45565</v>
      </c>
      <c r="B3220">
        <v>92</v>
      </c>
      <c r="C3220">
        <v>2114001</v>
      </c>
      <c r="D3220" t="s">
        <v>97</v>
      </c>
      <c r="E3220" t="s">
        <v>368</v>
      </c>
      <c r="F3220" s="3">
        <v>0</v>
      </c>
      <c r="G3220" s="3">
        <v>16350.88</v>
      </c>
      <c r="H3220" s="3">
        <v>-16350.88</v>
      </c>
      <c r="I3220" t="s">
        <v>144</v>
      </c>
    </row>
    <row r="3221" spans="1:9" x14ac:dyDescent="0.35">
      <c r="A3221" s="2">
        <v>45565</v>
      </c>
      <c r="B3221">
        <v>92</v>
      </c>
      <c r="C3221">
        <v>2161001</v>
      </c>
      <c r="D3221" t="s">
        <v>93</v>
      </c>
      <c r="E3221" t="s">
        <v>1138</v>
      </c>
      <c r="F3221" s="3">
        <v>16375.6</v>
      </c>
      <c r="G3221" s="3">
        <v>0</v>
      </c>
      <c r="H3221" s="3">
        <v>16375.6</v>
      </c>
      <c r="I3221" t="s">
        <v>144</v>
      </c>
    </row>
    <row r="3222" spans="1:9" x14ac:dyDescent="0.35">
      <c r="A3222" s="2">
        <v>45565</v>
      </c>
      <c r="B3222">
        <v>92</v>
      </c>
      <c r="C3222">
        <v>2114001</v>
      </c>
      <c r="D3222" t="s">
        <v>97</v>
      </c>
      <c r="E3222" t="s">
        <v>1138</v>
      </c>
      <c r="F3222" s="3">
        <v>0</v>
      </c>
      <c r="G3222" s="3">
        <v>16375.6</v>
      </c>
      <c r="H3222" s="3">
        <v>-16375.6</v>
      </c>
      <c r="I3222" t="s">
        <v>144</v>
      </c>
    </row>
    <row r="3223" spans="1:9" x14ac:dyDescent="0.35">
      <c r="A3223" s="2">
        <v>45565</v>
      </c>
      <c r="B3223">
        <v>92</v>
      </c>
      <c r="C3223">
        <v>2114010</v>
      </c>
      <c r="D3223" t="s">
        <v>48</v>
      </c>
      <c r="E3223" t="s">
        <v>1139</v>
      </c>
      <c r="F3223" s="3">
        <v>9640.5300000000007</v>
      </c>
      <c r="G3223" s="3">
        <v>0</v>
      </c>
      <c r="H3223" s="3">
        <v>9640.5300000000007</v>
      </c>
      <c r="I3223" t="s">
        <v>144</v>
      </c>
    </row>
    <row r="3224" spans="1:9" x14ac:dyDescent="0.35">
      <c r="A3224" s="2">
        <v>45565</v>
      </c>
      <c r="B3224">
        <v>92</v>
      </c>
      <c r="C3224">
        <v>2114001</v>
      </c>
      <c r="D3224" t="s">
        <v>97</v>
      </c>
      <c r="E3224" t="s">
        <v>1139</v>
      </c>
      <c r="F3224" s="3">
        <v>0</v>
      </c>
      <c r="G3224" s="3">
        <v>9640.5300000000007</v>
      </c>
      <c r="H3224" s="3">
        <v>-9640.5300000000007</v>
      </c>
      <c r="I3224" t="s">
        <v>144</v>
      </c>
    </row>
    <row r="3225" spans="1:9" x14ac:dyDescent="0.35">
      <c r="A3225" s="2">
        <v>45580</v>
      </c>
      <c r="B3225">
        <v>93</v>
      </c>
      <c r="C3225">
        <v>6121023</v>
      </c>
      <c r="D3225" t="s">
        <v>49</v>
      </c>
      <c r="E3225" t="s">
        <v>52</v>
      </c>
      <c r="F3225" s="3">
        <v>298.64999999999998</v>
      </c>
      <c r="G3225" s="3">
        <v>0</v>
      </c>
      <c r="H3225" s="3">
        <v>298.64999999999998</v>
      </c>
      <c r="I3225" t="s">
        <v>1140</v>
      </c>
    </row>
    <row r="3226" spans="1:9" x14ac:dyDescent="0.35">
      <c r="A3226" s="2">
        <v>45580</v>
      </c>
      <c r="B3226">
        <v>93</v>
      </c>
      <c r="C3226">
        <v>2114010</v>
      </c>
      <c r="D3226" t="s">
        <v>48</v>
      </c>
      <c r="E3226" t="s">
        <v>52</v>
      </c>
      <c r="F3226" s="3">
        <v>0</v>
      </c>
      <c r="G3226" s="3">
        <v>298.64999999999998</v>
      </c>
      <c r="H3226" s="3">
        <v>-298.64999999999998</v>
      </c>
      <c r="I3226" t="s">
        <v>1140</v>
      </c>
    </row>
    <row r="3227" spans="1:9" x14ac:dyDescent="0.35">
      <c r="A3227" s="2">
        <v>45580</v>
      </c>
      <c r="B3227">
        <v>93</v>
      </c>
      <c r="C3227">
        <v>6121023</v>
      </c>
      <c r="D3227" t="s">
        <v>49</v>
      </c>
      <c r="E3227" t="s">
        <v>166</v>
      </c>
      <c r="F3227" s="3">
        <v>523.12</v>
      </c>
      <c r="G3227" s="3">
        <v>0</v>
      </c>
      <c r="H3227" s="3">
        <v>523.12</v>
      </c>
      <c r="I3227" t="s">
        <v>1141</v>
      </c>
    </row>
    <row r="3228" spans="1:9" x14ac:dyDescent="0.35">
      <c r="A3228" s="2">
        <v>45580</v>
      </c>
      <c r="B3228">
        <v>93</v>
      </c>
      <c r="C3228">
        <v>2114010</v>
      </c>
      <c r="D3228" t="s">
        <v>48</v>
      </c>
      <c r="E3228" t="s">
        <v>166</v>
      </c>
      <c r="F3228" s="3">
        <v>0</v>
      </c>
      <c r="G3228" s="3">
        <v>523.12</v>
      </c>
      <c r="H3228" s="3">
        <v>-523.12</v>
      </c>
      <c r="I3228" t="s">
        <v>1141</v>
      </c>
    </row>
    <row r="3229" spans="1:9" x14ac:dyDescent="0.35">
      <c r="A3229" s="2">
        <v>45580</v>
      </c>
      <c r="B3229">
        <v>93</v>
      </c>
      <c r="C3229">
        <v>6121023</v>
      </c>
      <c r="D3229" t="s">
        <v>49</v>
      </c>
      <c r="E3229" t="s">
        <v>52</v>
      </c>
      <c r="F3229" s="3">
        <v>2916.1</v>
      </c>
      <c r="G3229" s="3">
        <v>0</v>
      </c>
      <c r="H3229" s="3">
        <v>2916.1</v>
      </c>
      <c r="I3229" t="s">
        <v>1142</v>
      </c>
    </row>
    <row r="3230" spans="1:9" x14ac:dyDescent="0.35">
      <c r="A3230" s="2">
        <v>45580</v>
      </c>
      <c r="B3230">
        <v>93</v>
      </c>
      <c r="C3230">
        <v>2114010</v>
      </c>
      <c r="D3230" t="s">
        <v>48</v>
      </c>
      <c r="E3230" t="s">
        <v>52</v>
      </c>
      <c r="F3230" s="3">
        <v>0</v>
      </c>
      <c r="G3230" s="3">
        <v>2916.1</v>
      </c>
      <c r="H3230" s="3">
        <v>-2916.1</v>
      </c>
      <c r="I3230" t="s">
        <v>1142</v>
      </c>
    </row>
    <row r="3231" spans="1:9" x14ac:dyDescent="0.35">
      <c r="A3231" s="2">
        <v>45580</v>
      </c>
      <c r="B3231">
        <v>93</v>
      </c>
      <c r="C3231">
        <v>6121023</v>
      </c>
      <c r="D3231" t="s">
        <v>49</v>
      </c>
      <c r="E3231" t="s">
        <v>52</v>
      </c>
      <c r="F3231" s="3">
        <v>133.13999999999999</v>
      </c>
      <c r="G3231" s="3">
        <v>0</v>
      </c>
      <c r="H3231" s="3">
        <v>133.13999999999999</v>
      </c>
      <c r="I3231" t="s">
        <v>1143</v>
      </c>
    </row>
    <row r="3232" spans="1:9" x14ac:dyDescent="0.35">
      <c r="A3232" s="2">
        <v>45580</v>
      </c>
      <c r="B3232">
        <v>93</v>
      </c>
      <c r="C3232">
        <v>2114010</v>
      </c>
      <c r="D3232" t="s">
        <v>48</v>
      </c>
      <c r="E3232" t="s">
        <v>52</v>
      </c>
      <c r="F3232" s="3">
        <v>0</v>
      </c>
      <c r="G3232" s="3">
        <v>133.13999999999999</v>
      </c>
      <c r="H3232" s="3">
        <v>-133.13999999999999</v>
      </c>
      <c r="I3232" t="s">
        <v>1143</v>
      </c>
    </row>
    <row r="3233" spans="1:9" x14ac:dyDescent="0.35">
      <c r="A3233" s="2">
        <v>45580</v>
      </c>
      <c r="B3233">
        <v>93</v>
      </c>
      <c r="C3233">
        <v>6121018</v>
      </c>
      <c r="D3233" t="s">
        <v>150</v>
      </c>
      <c r="E3233" t="s">
        <v>151</v>
      </c>
      <c r="F3233" s="3">
        <v>6742.65</v>
      </c>
      <c r="G3233" s="3">
        <v>0</v>
      </c>
      <c r="H3233" s="3">
        <v>6742.65</v>
      </c>
      <c r="I3233" t="s">
        <v>1144</v>
      </c>
    </row>
    <row r="3234" spans="1:9" x14ac:dyDescent="0.35">
      <c r="A3234" s="2">
        <v>45580</v>
      </c>
      <c r="B3234">
        <v>93</v>
      </c>
      <c r="C3234">
        <v>1141001</v>
      </c>
      <c r="D3234" t="s">
        <v>153</v>
      </c>
      <c r="E3234" t="s">
        <v>151</v>
      </c>
      <c r="F3234" s="3">
        <v>1078.82</v>
      </c>
      <c r="G3234" s="3">
        <v>0</v>
      </c>
      <c r="H3234" s="3">
        <v>1078.82</v>
      </c>
      <c r="I3234" t="s">
        <v>1144</v>
      </c>
    </row>
    <row r="3235" spans="1:9" x14ac:dyDescent="0.35">
      <c r="A3235" s="2">
        <v>45580</v>
      </c>
      <c r="B3235">
        <v>93</v>
      </c>
      <c r="C3235">
        <v>2124009</v>
      </c>
      <c r="D3235" t="s">
        <v>154</v>
      </c>
      <c r="E3235" t="s">
        <v>151</v>
      </c>
      <c r="F3235" s="3">
        <v>0</v>
      </c>
      <c r="G3235" s="3">
        <v>809.12</v>
      </c>
      <c r="H3235" s="3">
        <v>-809.12</v>
      </c>
      <c r="I3235" t="s">
        <v>1438</v>
      </c>
    </row>
    <row r="3236" spans="1:9" x14ac:dyDescent="0.35">
      <c r="A3236" s="2">
        <v>45580</v>
      </c>
      <c r="B3236">
        <v>93</v>
      </c>
      <c r="C3236">
        <v>2122003</v>
      </c>
      <c r="D3236" t="s">
        <v>308</v>
      </c>
      <c r="E3236" t="s">
        <v>151</v>
      </c>
      <c r="F3236" s="3">
        <v>0</v>
      </c>
      <c r="G3236" s="3">
        <v>134.85</v>
      </c>
      <c r="H3236" s="3">
        <v>-134.85</v>
      </c>
      <c r="I3236" t="s">
        <v>1144</v>
      </c>
    </row>
    <row r="3237" spans="1:9" x14ac:dyDescent="0.35">
      <c r="A3237" s="2">
        <v>45580</v>
      </c>
      <c r="B3237">
        <v>93</v>
      </c>
      <c r="C3237">
        <v>2114010</v>
      </c>
      <c r="D3237" t="s">
        <v>48</v>
      </c>
      <c r="E3237" t="s">
        <v>151</v>
      </c>
      <c r="F3237" s="3">
        <v>0</v>
      </c>
      <c r="G3237" s="3">
        <v>6877.5</v>
      </c>
      <c r="H3237" s="3">
        <v>-6877.5</v>
      </c>
      <c r="I3237" t="s">
        <v>1144</v>
      </c>
    </row>
    <row r="3238" spans="1:9" x14ac:dyDescent="0.35">
      <c r="A3238" s="2">
        <v>45580</v>
      </c>
      <c r="B3238">
        <v>93</v>
      </c>
      <c r="C3238">
        <v>4112003</v>
      </c>
      <c r="D3238" t="s">
        <v>58</v>
      </c>
      <c r="E3238" t="s">
        <v>59</v>
      </c>
      <c r="F3238" s="3">
        <v>0</v>
      </c>
      <c r="G3238" s="3">
        <v>5595.44</v>
      </c>
      <c r="H3238" s="3">
        <v>-5595.44</v>
      </c>
      <c r="I3238" t="s">
        <v>1145</v>
      </c>
    </row>
    <row r="3239" spans="1:9" x14ac:dyDescent="0.35">
      <c r="A3239" s="2">
        <v>45580</v>
      </c>
      <c r="B3239">
        <v>93</v>
      </c>
      <c r="C3239">
        <v>2121001</v>
      </c>
      <c r="D3239" t="s">
        <v>27</v>
      </c>
      <c r="E3239" t="s">
        <v>59</v>
      </c>
      <c r="F3239" s="3">
        <v>0</v>
      </c>
      <c r="G3239" s="3">
        <v>895.27</v>
      </c>
      <c r="H3239" s="3">
        <v>-895.27</v>
      </c>
      <c r="I3239" t="s">
        <v>1145</v>
      </c>
    </row>
    <row r="3240" spans="1:9" x14ac:dyDescent="0.35">
      <c r="A3240" s="2">
        <v>45580</v>
      </c>
      <c r="B3240">
        <v>93</v>
      </c>
      <c r="C3240">
        <v>1111001</v>
      </c>
      <c r="D3240" t="s">
        <v>16</v>
      </c>
      <c r="E3240" t="s">
        <v>59</v>
      </c>
      <c r="F3240" s="3">
        <v>6490.71</v>
      </c>
      <c r="G3240" s="3">
        <v>0</v>
      </c>
      <c r="H3240" s="3">
        <v>6490.71</v>
      </c>
      <c r="I3240" t="s">
        <v>1145</v>
      </c>
    </row>
    <row r="3241" spans="1:9" x14ac:dyDescent="0.35">
      <c r="A3241" s="2">
        <v>45580</v>
      </c>
      <c r="B3241">
        <v>93</v>
      </c>
      <c r="C3241">
        <v>4112003</v>
      </c>
      <c r="D3241" t="s">
        <v>58</v>
      </c>
      <c r="E3241" t="s">
        <v>59</v>
      </c>
      <c r="F3241" s="3">
        <v>0</v>
      </c>
      <c r="G3241" s="3">
        <v>6354.07</v>
      </c>
      <c r="H3241" s="3">
        <v>-6354.07</v>
      </c>
      <c r="I3241" t="s">
        <v>1146</v>
      </c>
    </row>
    <row r="3242" spans="1:9" x14ac:dyDescent="0.35">
      <c r="A3242" s="2">
        <v>45580</v>
      </c>
      <c r="B3242">
        <v>93</v>
      </c>
      <c r="C3242">
        <v>2121001</v>
      </c>
      <c r="D3242" t="s">
        <v>27</v>
      </c>
      <c r="E3242" t="s">
        <v>59</v>
      </c>
      <c r="F3242" s="3">
        <v>0</v>
      </c>
      <c r="G3242" s="3">
        <v>1016.65</v>
      </c>
      <c r="H3242" s="3">
        <v>-1016.65</v>
      </c>
      <c r="I3242" t="s">
        <v>1146</v>
      </c>
    </row>
    <row r="3243" spans="1:9" x14ac:dyDescent="0.35">
      <c r="A3243" s="2">
        <v>45580</v>
      </c>
      <c r="B3243">
        <v>93</v>
      </c>
      <c r="C3243">
        <v>1111001</v>
      </c>
      <c r="D3243" t="s">
        <v>16</v>
      </c>
      <c r="E3243" t="s">
        <v>59</v>
      </c>
      <c r="F3243" s="3">
        <v>7370.72</v>
      </c>
      <c r="G3243" s="3">
        <v>0</v>
      </c>
      <c r="H3243" s="3">
        <v>7370.72</v>
      </c>
      <c r="I3243" t="s">
        <v>1146</v>
      </c>
    </row>
    <row r="3244" spans="1:9" x14ac:dyDescent="0.35">
      <c r="A3244" s="2">
        <v>45580</v>
      </c>
      <c r="B3244">
        <v>93</v>
      </c>
      <c r="C3244">
        <v>4112003</v>
      </c>
      <c r="D3244" t="s">
        <v>58</v>
      </c>
      <c r="E3244" t="s">
        <v>59</v>
      </c>
      <c r="F3244" s="3">
        <v>0</v>
      </c>
      <c r="G3244" s="3">
        <v>6448.8</v>
      </c>
      <c r="H3244" s="3">
        <v>-6448.8</v>
      </c>
      <c r="I3244" t="s">
        <v>1147</v>
      </c>
    </row>
    <row r="3245" spans="1:9" x14ac:dyDescent="0.35">
      <c r="A3245" s="2">
        <v>45580</v>
      </c>
      <c r="B3245">
        <v>93</v>
      </c>
      <c r="C3245">
        <v>2121001</v>
      </c>
      <c r="D3245" t="s">
        <v>27</v>
      </c>
      <c r="E3245" t="s">
        <v>59</v>
      </c>
      <c r="F3245" s="3">
        <v>0</v>
      </c>
      <c r="G3245" s="3">
        <v>1031.81</v>
      </c>
      <c r="H3245" s="3">
        <v>-1031.81</v>
      </c>
      <c r="I3245" t="s">
        <v>1147</v>
      </c>
    </row>
    <row r="3246" spans="1:9" x14ac:dyDescent="0.35">
      <c r="A3246" s="2">
        <v>45580</v>
      </c>
      <c r="B3246">
        <v>93</v>
      </c>
      <c r="C3246">
        <v>1111001</v>
      </c>
      <c r="D3246" t="s">
        <v>16</v>
      </c>
      <c r="E3246" t="s">
        <v>59</v>
      </c>
      <c r="F3246" s="3">
        <v>7480.61</v>
      </c>
      <c r="G3246" s="3">
        <v>0</v>
      </c>
      <c r="H3246" s="3">
        <v>7480.61</v>
      </c>
      <c r="I3246" t="s">
        <v>1147</v>
      </c>
    </row>
    <row r="3247" spans="1:9" x14ac:dyDescent="0.35">
      <c r="A3247" s="2">
        <v>45580</v>
      </c>
      <c r="B3247">
        <v>93</v>
      </c>
      <c r="C3247">
        <v>4112003</v>
      </c>
      <c r="D3247" t="s">
        <v>58</v>
      </c>
      <c r="E3247" t="s">
        <v>59</v>
      </c>
      <c r="F3247" s="3">
        <v>0</v>
      </c>
      <c r="G3247" s="3">
        <v>6354.15</v>
      </c>
      <c r="H3247" s="3">
        <v>-6354.15</v>
      </c>
      <c r="I3247" t="s">
        <v>1148</v>
      </c>
    </row>
    <row r="3248" spans="1:9" x14ac:dyDescent="0.35">
      <c r="A3248" s="2">
        <v>45580</v>
      </c>
      <c r="B3248">
        <v>93</v>
      </c>
      <c r="C3248">
        <v>2121001</v>
      </c>
      <c r="D3248" t="s">
        <v>27</v>
      </c>
      <c r="E3248" t="s">
        <v>59</v>
      </c>
      <c r="F3248" s="3">
        <v>0</v>
      </c>
      <c r="G3248" s="3">
        <v>1016.66</v>
      </c>
      <c r="H3248" s="3">
        <v>-1016.66</v>
      </c>
      <c r="I3248" t="s">
        <v>1148</v>
      </c>
    </row>
    <row r="3249" spans="1:9" x14ac:dyDescent="0.35">
      <c r="A3249" s="2">
        <v>45580</v>
      </c>
      <c r="B3249">
        <v>93</v>
      </c>
      <c r="C3249">
        <v>1111001</v>
      </c>
      <c r="D3249" t="s">
        <v>16</v>
      </c>
      <c r="E3249" t="s">
        <v>59</v>
      </c>
      <c r="F3249" s="3">
        <v>7370.81</v>
      </c>
      <c r="G3249" s="3">
        <v>0</v>
      </c>
      <c r="H3249" s="3">
        <v>7370.81</v>
      </c>
      <c r="I3249" t="s">
        <v>1148</v>
      </c>
    </row>
    <row r="3250" spans="1:9" x14ac:dyDescent="0.35">
      <c r="A3250" s="2">
        <v>45580</v>
      </c>
      <c r="B3250">
        <v>93</v>
      </c>
      <c r="C3250">
        <v>4112003</v>
      </c>
      <c r="D3250" t="s">
        <v>58</v>
      </c>
      <c r="E3250" t="s">
        <v>59</v>
      </c>
      <c r="F3250" s="3">
        <v>0</v>
      </c>
      <c r="G3250" s="3">
        <v>3026.11</v>
      </c>
      <c r="H3250" s="3">
        <v>-3026.11</v>
      </c>
      <c r="I3250" t="s">
        <v>1149</v>
      </c>
    </row>
    <row r="3251" spans="1:9" x14ac:dyDescent="0.35">
      <c r="A3251" s="2">
        <v>45580</v>
      </c>
      <c r="B3251">
        <v>93</v>
      </c>
      <c r="C3251">
        <v>2121001</v>
      </c>
      <c r="D3251" t="s">
        <v>27</v>
      </c>
      <c r="E3251" t="s">
        <v>59</v>
      </c>
      <c r="F3251" s="3">
        <v>0</v>
      </c>
      <c r="G3251" s="3">
        <v>484.18</v>
      </c>
      <c r="H3251" s="3">
        <v>-484.18</v>
      </c>
      <c r="I3251" t="s">
        <v>1149</v>
      </c>
    </row>
    <row r="3252" spans="1:9" x14ac:dyDescent="0.35">
      <c r="A3252" s="2">
        <v>45580</v>
      </c>
      <c r="B3252">
        <v>93</v>
      </c>
      <c r="C3252">
        <v>1111001</v>
      </c>
      <c r="D3252" t="s">
        <v>16</v>
      </c>
      <c r="E3252" t="s">
        <v>59</v>
      </c>
      <c r="F3252" s="3">
        <v>3510.29</v>
      </c>
      <c r="G3252" s="3">
        <v>0</v>
      </c>
      <c r="H3252" s="3">
        <v>3510.29</v>
      </c>
      <c r="I3252" t="s">
        <v>1149</v>
      </c>
    </row>
    <row r="3253" spans="1:9" x14ac:dyDescent="0.35">
      <c r="A3253" s="2">
        <v>45580</v>
      </c>
      <c r="B3253">
        <v>93</v>
      </c>
      <c r="C3253">
        <v>4112003</v>
      </c>
      <c r="D3253" t="s">
        <v>58</v>
      </c>
      <c r="E3253" t="s">
        <v>59</v>
      </c>
      <c r="F3253" s="3">
        <v>0</v>
      </c>
      <c r="G3253" s="3">
        <v>948.3</v>
      </c>
      <c r="H3253" s="3">
        <v>-948.3</v>
      </c>
      <c r="I3253" t="s">
        <v>1150</v>
      </c>
    </row>
    <row r="3254" spans="1:9" x14ac:dyDescent="0.35">
      <c r="A3254" s="2">
        <v>45580</v>
      </c>
      <c r="B3254">
        <v>93</v>
      </c>
      <c r="C3254">
        <v>2121001</v>
      </c>
      <c r="D3254" t="s">
        <v>27</v>
      </c>
      <c r="E3254" t="s">
        <v>59</v>
      </c>
      <c r="F3254" s="3">
        <v>0</v>
      </c>
      <c r="G3254" s="3">
        <v>151.72999999999999</v>
      </c>
      <c r="H3254" s="3">
        <v>-151.72999999999999</v>
      </c>
      <c r="I3254" t="s">
        <v>1150</v>
      </c>
    </row>
    <row r="3255" spans="1:9" x14ac:dyDescent="0.35">
      <c r="A3255" s="2">
        <v>45580</v>
      </c>
      <c r="B3255">
        <v>93</v>
      </c>
      <c r="C3255">
        <v>1111001</v>
      </c>
      <c r="D3255" t="s">
        <v>16</v>
      </c>
      <c r="E3255" t="s">
        <v>59</v>
      </c>
      <c r="F3255" s="3">
        <v>1100.03</v>
      </c>
      <c r="G3255" s="3">
        <v>0</v>
      </c>
      <c r="H3255" s="3">
        <v>1100.03</v>
      </c>
      <c r="I3255" t="s">
        <v>1150</v>
      </c>
    </row>
    <row r="3256" spans="1:9" x14ac:dyDescent="0.35">
      <c r="A3256" s="2">
        <v>45580</v>
      </c>
      <c r="B3256">
        <v>93</v>
      </c>
      <c r="C3256">
        <v>4112003</v>
      </c>
      <c r="D3256" t="s">
        <v>58</v>
      </c>
      <c r="E3256" t="s">
        <v>59</v>
      </c>
      <c r="F3256" s="3">
        <v>0</v>
      </c>
      <c r="G3256" s="3">
        <v>5500.72</v>
      </c>
      <c r="H3256" s="3">
        <v>-5500.72</v>
      </c>
      <c r="I3256" t="s">
        <v>1151</v>
      </c>
    </row>
    <row r="3257" spans="1:9" x14ac:dyDescent="0.35">
      <c r="A3257" s="2">
        <v>45580</v>
      </c>
      <c r="B3257">
        <v>93</v>
      </c>
      <c r="C3257">
        <v>2121001</v>
      </c>
      <c r="D3257" t="s">
        <v>27</v>
      </c>
      <c r="E3257" t="s">
        <v>59</v>
      </c>
      <c r="F3257" s="3">
        <v>0</v>
      </c>
      <c r="G3257" s="3">
        <v>880.12</v>
      </c>
      <c r="H3257" s="3">
        <v>-880.12</v>
      </c>
      <c r="I3257" t="s">
        <v>1151</v>
      </c>
    </row>
    <row r="3258" spans="1:9" x14ac:dyDescent="0.35">
      <c r="A3258" s="2">
        <v>45580</v>
      </c>
      <c r="B3258">
        <v>93</v>
      </c>
      <c r="C3258">
        <v>1111001</v>
      </c>
      <c r="D3258" t="s">
        <v>16</v>
      </c>
      <c r="E3258" t="s">
        <v>59</v>
      </c>
      <c r="F3258" s="3">
        <v>6380.84</v>
      </c>
      <c r="G3258" s="3">
        <v>0</v>
      </c>
      <c r="H3258" s="3">
        <v>6380.84</v>
      </c>
      <c r="I3258" t="s">
        <v>1151</v>
      </c>
    </row>
    <row r="3259" spans="1:9" x14ac:dyDescent="0.35">
      <c r="A3259" s="2">
        <v>45580</v>
      </c>
      <c r="B3259">
        <v>93</v>
      </c>
      <c r="C3259">
        <v>4112003</v>
      </c>
      <c r="D3259" t="s">
        <v>58</v>
      </c>
      <c r="E3259" t="s">
        <v>59</v>
      </c>
      <c r="F3259" s="3">
        <v>0</v>
      </c>
      <c r="G3259" s="3">
        <v>6733.39</v>
      </c>
      <c r="H3259" s="3">
        <v>-6733.39</v>
      </c>
      <c r="I3259" t="s">
        <v>1152</v>
      </c>
    </row>
    <row r="3260" spans="1:9" x14ac:dyDescent="0.35">
      <c r="A3260" s="2">
        <v>45580</v>
      </c>
      <c r="B3260">
        <v>93</v>
      </c>
      <c r="C3260">
        <v>2121001</v>
      </c>
      <c r="D3260" t="s">
        <v>27</v>
      </c>
      <c r="E3260" t="s">
        <v>59</v>
      </c>
      <c r="F3260" s="3">
        <v>0</v>
      </c>
      <c r="G3260" s="3">
        <v>1077.3399999999999</v>
      </c>
      <c r="H3260" s="3">
        <v>-1077.3399999999999</v>
      </c>
      <c r="I3260" t="s">
        <v>1152</v>
      </c>
    </row>
    <row r="3261" spans="1:9" x14ac:dyDescent="0.35">
      <c r="A3261" s="2">
        <v>45580</v>
      </c>
      <c r="B3261">
        <v>93</v>
      </c>
      <c r="C3261">
        <v>1111001</v>
      </c>
      <c r="D3261" t="s">
        <v>16</v>
      </c>
      <c r="E3261" t="s">
        <v>59</v>
      </c>
      <c r="F3261" s="3">
        <v>7810.73</v>
      </c>
      <c r="G3261" s="3">
        <v>0</v>
      </c>
      <c r="H3261" s="3">
        <v>7810.73</v>
      </c>
      <c r="I3261" t="s">
        <v>1152</v>
      </c>
    </row>
    <row r="3262" spans="1:9" x14ac:dyDescent="0.35">
      <c r="A3262" s="2">
        <v>45580</v>
      </c>
      <c r="B3262">
        <v>93</v>
      </c>
      <c r="C3262">
        <v>4112003</v>
      </c>
      <c r="D3262" t="s">
        <v>58</v>
      </c>
      <c r="E3262" t="s">
        <v>59</v>
      </c>
      <c r="F3262" s="3">
        <v>0</v>
      </c>
      <c r="G3262" s="3">
        <v>6259.41</v>
      </c>
      <c r="H3262" s="3">
        <v>-6259.41</v>
      </c>
      <c r="I3262" t="s">
        <v>1153</v>
      </c>
    </row>
    <row r="3263" spans="1:9" x14ac:dyDescent="0.35">
      <c r="A3263" s="2">
        <v>45580</v>
      </c>
      <c r="B3263">
        <v>93</v>
      </c>
      <c r="C3263">
        <v>2121001</v>
      </c>
      <c r="D3263" t="s">
        <v>27</v>
      </c>
      <c r="E3263" t="s">
        <v>59</v>
      </c>
      <c r="F3263" s="3">
        <v>0</v>
      </c>
      <c r="G3263" s="3">
        <v>1001.51</v>
      </c>
      <c r="H3263" s="3">
        <v>-1001.51</v>
      </c>
      <c r="I3263" t="s">
        <v>1153</v>
      </c>
    </row>
    <row r="3264" spans="1:9" x14ac:dyDescent="0.35">
      <c r="A3264" s="2">
        <v>45580</v>
      </c>
      <c r="B3264">
        <v>93</v>
      </c>
      <c r="C3264">
        <v>1111001</v>
      </c>
      <c r="D3264" t="s">
        <v>16</v>
      </c>
      <c r="E3264" t="s">
        <v>59</v>
      </c>
      <c r="F3264" s="3">
        <v>7260.92</v>
      </c>
      <c r="G3264" s="3">
        <v>0</v>
      </c>
      <c r="H3264" s="3">
        <v>7260.92</v>
      </c>
      <c r="I3264" t="s">
        <v>1153</v>
      </c>
    </row>
    <row r="3265" spans="1:9" x14ac:dyDescent="0.35">
      <c r="A3265" s="2">
        <v>45580</v>
      </c>
      <c r="B3265">
        <v>93</v>
      </c>
      <c r="C3265">
        <v>4112003</v>
      </c>
      <c r="D3265" t="s">
        <v>58</v>
      </c>
      <c r="E3265" t="s">
        <v>59</v>
      </c>
      <c r="F3265" s="3">
        <v>0</v>
      </c>
      <c r="G3265" s="3">
        <v>8060.89</v>
      </c>
      <c r="H3265" s="3">
        <v>-8060.89</v>
      </c>
      <c r="I3265" t="s">
        <v>1154</v>
      </c>
    </row>
    <row r="3266" spans="1:9" x14ac:dyDescent="0.35">
      <c r="A3266" s="2">
        <v>45580</v>
      </c>
      <c r="B3266">
        <v>93</v>
      </c>
      <c r="C3266">
        <v>2121001</v>
      </c>
      <c r="D3266" t="s">
        <v>27</v>
      </c>
      <c r="E3266" t="s">
        <v>59</v>
      </c>
      <c r="F3266" s="3">
        <v>0</v>
      </c>
      <c r="G3266" s="3">
        <v>1289.74</v>
      </c>
      <c r="H3266" s="3">
        <v>-1289.74</v>
      </c>
      <c r="I3266" t="s">
        <v>1154</v>
      </c>
    </row>
    <row r="3267" spans="1:9" x14ac:dyDescent="0.35">
      <c r="A3267" s="2">
        <v>45580</v>
      </c>
      <c r="B3267">
        <v>93</v>
      </c>
      <c r="C3267">
        <v>1111001</v>
      </c>
      <c r="D3267" t="s">
        <v>16</v>
      </c>
      <c r="E3267" t="s">
        <v>59</v>
      </c>
      <c r="F3267" s="3">
        <v>9350.6299999999992</v>
      </c>
      <c r="G3267" s="3">
        <v>0</v>
      </c>
      <c r="H3267" s="3">
        <v>9350.6299999999992</v>
      </c>
      <c r="I3267" t="s">
        <v>1154</v>
      </c>
    </row>
    <row r="3268" spans="1:9" x14ac:dyDescent="0.35">
      <c r="A3268" s="2">
        <v>45580</v>
      </c>
      <c r="B3268">
        <v>93</v>
      </c>
      <c r="C3268">
        <v>4112003</v>
      </c>
      <c r="D3268" t="s">
        <v>58</v>
      </c>
      <c r="E3268" t="s">
        <v>59</v>
      </c>
      <c r="F3268" s="3">
        <v>0</v>
      </c>
      <c r="G3268" s="3">
        <v>5595.54</v>
      </c>
      <c r="H3268" s="3">
        <v>-5595.54</v>
      </c>
      <c r="I3268" t="s">
        <v>1155</v>
      </c>
    </row>
    <row r="3269" spans="1:9" x14ac:dyDescent="0.35">
      <c r="A3269" s="2">
        <v>45580</v>
      </c>
      <c r="B3269">
        <v>93</v>
      </c>
      <c r="C3269">
        <v>2121001</v>
      </c>
      <c r="D3269" t="s">
        <v>27</v>
      </c>
      <c r="E3269" t="s">
        <v>59</v>
      </c>
      <c r="F3269" s="3">
        <v>0</v>
      </c>
      <c r="G3269" s="3">
        <v>895.29</v>
      </c>
      <c r="H3269" s="3">
        <v>-895.29</v>
      </c>
      <c r="I3269" t="s">
        <v>1155</v>
      </c>
    </row>
    <row r="3270" spans="1:9" x14ac:dyDescent="0.35">
      <c r="A3270" s="2">
        <v>45580</v>
      </c>
      <c r="B3270">
        <v>93</v>
      </c>
      <c r="C3270">
        <v>1111001</v>
      </c>
      <c r="D3270" t="s">
        <v>16</v>
      </c>
      <c r="E3270" t="s">
        <v>59</v>
      </c>
      <c r="F3270" s="3">
        <v>6490.83</v>
      </c>
      <c r="G3270" s="3">
        <v>0</v>
      </c>
      <c r="H3270" s="3">
        <v>6490.83</v>
      </c>
      <c r="I3270" t="s">
        <v>1155</v>
      </c>
    </row>
    <row r="3271" spans="1:9" x14ac:dyDescent="0.35">
      <c r="A3271" s="2">
        <v>45580</v>
      </c>
      <c r="B3271">
        <v>93</v>
      </c>
      <c r="C3271">
        <v>4112003</v>
      </c>
      <c r="D3271" t="s">
        <v>58</v>
      </c>
      <c r="E3271" t="s">
        <v>59</v>
      </c>
      <c r="F3271" s="3">
        <v>0</v>
      </c>
      <c r="G3271" s="3">
        <v>4836.46</v>
      </c>
      <c r="H3271" s="3">
        <v>-4836.46</v>
      </c>
      <c r="I3271" t="s">
        <v>1156</v>
      </c>
    </row>
    <row r="3272" spans="1:9" x14ac:dyDescent="0.35">
      <c r="A3272" s="2">
        <v>45580</v>
      </c>
      <c r="B3272">
        <v>93</v>
      </c>
      <c r="C3272">
        <v>2121001</v>
      </c>
      <c r="D3272" t="s">
        <v>27</v>
      </c>
      <c r="E3272" t="s">
        <v>59</v>
      </c>
      <c r="F3272" s="3">
        <v>0</v>
      </c>
      <c r="G3272" s="3">
        <v>773.83</v>
      </c>
      <c r="H3272" s="3">
        <v>-773.83</v>
      </c>
      <c r="I3272" t="s">
        <v>1156</v>
      </c>
    </row>
    <row r="3273" spans="1:9" x14ac:dyDescent="0.35">
      <c r="A3273" s="2">
        <v>45580</v>
      </c>
      <c r="B3273">
        <v>93</v>
      </c>
      <c r="C3273">
        <v>1111001</v>
      </c>
      <c r="D3273" t="s">
        <v>16</v>
      </c>
      <c r="E3273" t="s">
        <v>59</v>
      </c>
      <c r="F3273" s="3">
        <v>5610.29</v>
      </c>
      <c r="G3273" s="3">
        <v>0</v>
      </c>
      <c r="H3273" s="3">
        <v>5610.29</v>
      </c>
      <c r="I3273" t="s">
        <v>1156</v>
      </c>
    </row>
    <row r="3274" spans="1:9" x14ac:dyDescent="0.35">
      <c r="A3274" s="2">
        <v>45580</v>
      </c>
      <c r="B3274">
        <v>93</v>
      </c>
      <c r="C3274">
        <v>4112003</v>
      </c>
      <c r="D3274" t="s">
        <v>58</v>
      </c>
      <c r="E3274" t="s">
        <v>59</v>
      </c>
      <c r="F3274" s="3">
        <v>0</v>
      </c>
      <c r="G3274" s="3">
        <v>948.37</v>
      </c>
      <c r="H3274" s="3">
        <v>-948.37</v>
      </c>
      <c r="I3274" t="s">
        <v>1157</v>
      </c>
    </row>
    <row r="3275" spans="1:9" x14ac:dyDescent="0.35">
      <c r="A3275" s="2">
        <v>45580</v>
      </c>
      <c r="B3275">
        <v>93</v>
      </c>
      <c r="C3275">
        <v>2121001</v>
      </c>
      <c r="D3275" t="s">
        <v>27</v>
      </c>
      <c r="E3275" t="s">
        <v>59</v>
      </c>
      <c r="F3275" s="3">
        <v>0</v>
      </c>
      <c r="G3275" s="3">
        <v>151.74</v>
      </c>
      <c r="H3275" s="3">
        <v>-151.74</v>
      </c>
      <c r="I3275" t="s">
        <v>1157</v>
      </c>
    </row>
    <row r="3276" spans="1:9" x14ac:dyDescent="0.35">
      <c r="A3276" s="2">
        <v>45580</v>
      </c>
      <c r="B3276">
        <v>93</v>
      </c>
      <c r="C3276">
        <v>1111001</v>
      </c>
      <c r="D3276" t="s">
        <v>16</v>
      </c>
      <c r="E3276" t="s">
        <v>59</v>
      </c>
      <c r="F3276" s="3">
        <v>1100.1099999999999</v>
      </c>
      <c r="G3276" s="3">
        <v>0</v>
      </c>
      <c r="H3276" s="3">
        <v>1100.1099999999999</v>
      </c>
      <c r="I3276" t="s">
        <v>1157</v>
      </c>
    </row>
    <row r="3277" spans="1:9" x14ac:dyDescent="0.35">
      <c r="A3277" s="2">
        <v>45580</v>
      </c>
      <c r="B3277">
        <v>93</v>
      </c>
      <c r="C3277">
        <v>4112003</v>
      </c>
      <c r="D3277" t="s">
        <v>58</v>
      </c>
      <c r="E3277" t="s">
        <v>59</v>
      </c>
      <c r="F3277" s="3">
        <v>0</v>
      </c>
      <c r="G3277" s="3">
        <v>6500.66</v>
      </c>
      <c r="H3277" s="3">
        <v>-6500.66</v>
      </c>
      <c r="I3277" t="s">
        <v>1158</v>
      </c>
    </row>
    <row r="3278" spans="1:9" x14ac:dyDescent="0.35">
      <c r="A3278" s="2">
        <v>45580</v>
      </c>
      <c r="B3278">
        <v>93</v>
      </c>
      <c r="C3278">
        <v>2121001</v>
      </c>
      <c r="D3278" t="s">
        <v>27</v>
      </c>
      <c r="E3278" t="s">
        <v>59</v>
      </c>
      <c r="F3278" s="3">
        <v>0</v>
      </c>
      <c r="G3278" s="3">
        <v>1040.1099999999999</v>
      </c>
      <c r="H3278" s="3">
        <v>-1040.1099999999999</v>
      </c>
      <c r="I3278" t="s">
        <v>1158</v>
      </c>
    </row>
    <row r="3279" spans="1:9" x14ac:dyDescent="0.35">
      <c r="A3279" s="2">
        <v>45580</v>
      </c>
      <c r="B3279">
        <v>93</v>
      </c>
      <c r="C3279">
        <v>1111001</v>
      </c>
      <c r="D3279" t="s">
        <v>16</v>
      </c>
      <c r="E3279" t="s">
        <v>59</v>
      </c>
      <c r="F3279" s="3">
        <v>7540.77</v>
      </c>
      <c r="G3279" s="3">
        <v>0</v>
      </c>
      <c r="H3279" s="3">
        <v>7540.77</v>
      </c>
      <c r="I3279" t="s">
        <v>1158</v>
      </c>
    </row>
    <row r="3280" spans="1:9" x14ac:dyDescent="0.35">
      <c r="A3280" s="2">
        <v>45580</v>
      </c>
      <c r="B3280">
        <v>93</v>
      </c>
      <c r="C3280">
        <v>4112003</v>
      </c>
      <c r="D3280" t="s">
        <v>58</v>
      </c>
      <c r="E3280" t="s">
        <v>59</v>
      </c>
      <c r="F3280" s="3">
        <v>0</v>
      </c>
      <c r="G3280" s="3">
        <v>9000.9599999999991</v>
      </c>
      <c r="H3280" s="3">
        <v>-9000.9599999999991</v>
      </c>
      <c r="I3280" t="s">
        <v>1159</v>
      </c>
    </row>
    <row r="3281" spans="1:9" x14ac:dyDescent="0.35">
      <c r="A3281" s="2">
        <v>45580</v>
      </c>
      <c r="B3281">
        <v>93</v>
      </c>
      <c r="C3281">
        <v>2121001</v>
      </c>
      <c r="D3281" t="s">
        <v>27</v>
      </c>
      <c r="E3281" t="s">
        <v>59</v>
      </c>
      <c r="F3281" s="3">
        <v>0</v>
      </c>
      <c r="G3281" s="3">
        <v>1440.15</v>
      </c>
      <c r="H3281" s="3">
        <v>-1440.15</v>
      </c>
      <c r="I3281" t="s">
        <v>1159</v>
      </c>
    </row>
    <row r="3282" spans="1:9" x14ac:dyDescent="0.35">
      <c r="A3282" s="2">
        <v>45580</v>
      </c>
      <c r="B3282">
        <v>93</v>
      </c>
      <c r="C3282">
        <v>1111001</v>
      </c>
      <c r="D3282" t="s">
        <v>16</v>
      </c>
      <c r="E3282" t="s">
        <v>59</v>
      </c>
      <c r="F3282" s="3">
        <v>10441.11</v>
      </c>
      <c r="G3282" s="3">
        <v>0</v>
      </c>
      <c r="H3282" s="3">
        <v>10441.11</v>
      </c>
      <c r="I3282" t="s">
        <v>1159</v>
      </c>
    </row>
    <row r="3283" spans="1:9" x14ac:dyDescent="0.35">
      <c r="A3283" s="2">
        <v>45580</v>
      </c>
      <c r="B3283">
        <v>93</v>
      </c>
      <c r="C3283">
        <v>4112004</v>
      </c>
      <c r="D3283" t="s">
        <v>74</v>
      </c>
      <c r="E3283" t="s">
        <v>195</v>
      </c>
      <c r="F3283" s="3">
        <v>0</v>
      </c>
      <c r="G3283" s="3">
        <v>3087.28</v>
      </c>
      <c r="H3283" s="3">
        <v>-3087.28</v>
      </c>
      <c r="I3283" t="s">
        <v>1160</v>
      </c>
    </row>
    <row r="3284" spans="1:9" x14ac:dyDescent="0.35">
      <c r="A3284" s="2">
        <v>45580</v>
      </c>
      <c r="B3284">
        <v>93</v>
      </c>
      <c r="C3284">
        <v>2121001</v>
      </c>
      <c r="D3284" t="s">
        <v>27</v>
      </c>
      <c r="E3284" t="s">
        <v>195</v>
      </c>
      <c r="F3284" s="3">
        <v>0</v>
      </c>
      <c r="G3284" s="3">
        <v>493.96</v>
      </c>
      <c r="H3284" s="3">
        <v>-493.96</v>
      </c>
      <c r="I3284" t="s">
        <v>1160</v>
      </c>
    </row>
    <row r="3285" spans="1:9" x14ac:dyDescent="0.35">
      <c r="A3285" s="2">
        <v>45580</v>
      </c>
      <c r="B3285">
        <v>93</v>
      </c>
      <c r="C3285">
        <v>1141002</v>
      </c>
      <c r="D3285" t="s">
        <v>23</v>
      </c>
      <c r="E3285" t="s">
        <v>195</v>
      </c>
      <c r="F3285" s="3">
        <v>370.47</v>
      </c>
      <c r="G3285" s="3">
        <v>0</v>
      </c>
      <c r="H3285" s="3">
        <v>370.47</v>
      </c>
      <c r="I3285" t="s">
        <v>1160</v>
      </c>
    </row>
    <row r="3286" spans="1:9" x14ac:dyDescent="0.35">
      <c r="A3286" s="2">
        <v>45580</v>
      </c>
      <c r="B3286">
        <v>93</v>
      </c>
      <c r="C3286">
        <v>1142001</v>
      </c>
      <c r="D3286" t="s">
        <v>199</v>
      </c>
      <c r="E3286" t="s">
        <v>195</v>
      </c>
      <c r="F3286" s="3">
        <v>61.75</v>
      </c>
      <c r="G3286" s="3">
        <v>0</v>
      </c>
      <c r="H3286" s="3">
        <v>61.75</v>
      </c>
      <c r="I3286" t="s">
        <v>1160</v>
      </c>
    </row>
    <row r="3287" spans="1:9" x14ac:dyDescent="0.35">
      <c r="A3287" s="2">
        <v>45580</v>
      </c>
      <c r="B3287">
        <v>93</v>
      </c>
      <c r="C3287">
        <v>1111003</v>
      </c>
      <c r="D3287" t="s">
        <v>19</v>
      </c>
      <c r="E3287" t="s">
        <v>195</v>
      </c>
      <c r="F3287" s="3">
        <v>107.44</v>
      </c>
      <c r="G3287" s="3">
        <v>0</v>
      </c>
      <c r="H3287" s="3">
        <v>107.44</v>
      </c>
      <c r="I3287" t="s">
        <v>1160</v>
      </c>
    </row>
    <row r="3288" spans="1:9" x14ac:dyDescent="0.35">
      <c r="A3288" s="2">
        <v>45580</v>
      </c>
      <c r="B3288">
        <v>93</v>
      </c>
      <c r="C3288">
        <v>2124007</v>
      </c>
      <c r="D3288" t="s">
        <v>30</v>
      </c>
      <c r="E3288" t="s">
        <v>195</v>
      </c>
      <c r="F3288" s="3">
        <v>0</v>
      </c>
      <c r="G3288" s="3">
        <v>107.44</v>
      </c>
      <c r="H3288" s="3">
        <v>-107.44</v>
      </c>
      <c r="I3288" t="s">
        <v>1160</v>
      </c>
    </row>
    <row r="3289" spans="1:9" x14ac:dyDescent="0.35">
      <c r="A3289" s="2">
        <v>45580</v>
      </c>
      <c r="B3289">
        <v>93</v>
      </c>
      <c r="C3289">
        <v>1111001</v>
      </c>
      <c r="D3289" t="s">
        <v>16</v>
      </c>
      <c r="E3289" t="s">
        <v>195</v>
      </c>
      <c r="F3289" s="3">
        <v>3149.02</v>
      </c>
      <c r="G3289" s="3">
        <v>0</v>
      </c>
      <c r="H3289" s="3">
        <v>3149.02</v>
      </c>
      <c r="I3289" t="s">
        <v>1160</v>
      </c>
    </row>
    <row r="3290" spans="1:9" x14ac:dyDescent="0.35">
      <c r="A3290" s="2">
        <v>45580</v>
      </c>
      <c r="B3290">
        <v>93</v>
      </c>
      <c r="C3290">
        <v>4112004</v>
      </c>
      <c r="D3290" t="s">
        <v>74</v>
      </c>
      <c r="E3290" t="s">
        <v>197</v>
      </c>
      <c r="F3290" s="3">
        <v>0</v>
      </c>
      <c r="G3290" s="3">
        <v>7451.06</v>
      </c>
      <c r="H3290" s="3">
        <v>-7451.06</v>
      </c>
      <c r="I3290" t="s">
        <v>1161</v>
      </c>
    </row>
    <row r="3291" spans="1:9" x14ac:dyDescent="0.35">
      <c r="A3291" s="2">
        <v>45580</v>
      </c>
      <c r="B3291">
        <v>93</v>
      </c>
      <c r="C3291">
        <v>2121001</v>
      </c>
      <c r="D3291" t="s">
        <v>27</v>
      </c>
      <c r="E3291" t="s">
        <v>197</v>
      </c>
      <c r="F3291" s="3">
        <v>0</v>
      </c>
      <c r="G3291" s="3">
        <v>1192.17</v>
      </c>
      <c r="H3291" s="3">
        <v>-1192.17</v>
      </c>
      <c r="I3291" t="s">
        <v>1161</v>
      </c>
    </row>
    <row r="3292" spans="1:9" x14ac:dyDescent="0.35">
      <c r="A3292" s="2">
        <v>45580</v>
      </c>
      <c r="B3292">
        <v>93</v>
      </c>
      <c r="C3292">
        <v>1141002</v>
      </c>
      <c r="D3292" t="s">
        <v>23</v>
      </c>
      <c r="E3292" t="s">
        <v>197</v>
      </c>
      <c r="F3292" s="3">
        <v>894.13</v>
      </c>
      <c r="G3292" s="3">
        <v>0</v>
      </c>
      <c r="H3292" s="3">
        <v>894.13</v>
      </c>
      <c r="I3292" t="s">
        <v>1439</v>
      </c>
    </row>
    <row r="3293" spans="1:9" x14ac:dyDescent="0.35">
      <c r="A3293" s="2">
        <v>45580</v>
      </c>
      <c r="B3293">
        <v>93</v>
      </c>
      <c r="C3293">
        <v>1142001</v>
      </c>
      <c r="D3293" t="s">
        <v>199</v>
      </c>
      <c r="E3293" t="s">
        <v>197</v>
      </c>
      <c r="F3293" s="3">
        <v>149.01</v>
      </c>
      <c r="G3293" s="3">
        <v>0</v>
      </c>
      <c r="H3293" s="3">
        <v>149.01</v>
      </c>
      <c r="I3293" t="s">
        <v>1439</v>
      </c>
    </row>
    <row r="3294" spans="1:9" x14ac:dyDescent="0.35">
      <c r="A3294" s="2">
        <v>45580</v>
      </c>
      <c r="B3294">
        <v>93</v>
      </c>
      <c r="C3294">
        <v>6121040</v>
      </c>
      <c r="D3294" t="s">
        <v>98</v>
      </c>
      <c r="E3294" t="s">
        <v>197</v>
      </c>
      <c r="F3294" s="3">
        <v>172.86</v>
      </c>
      <c r="G3294" s="3">
        <v>0</v>
      </c>
      <c r="H3294" s="3">
        <v>172.86</v>
      </c>
      <c r="I3294" t="s">
        <v>1161</v>
      </c>
    </row>
    <row r="3295" spans="1:9" x14ac:dyDescent="0.35">
      <c r="A3295" s="2">
        <v>45580</v>
      </c>
      <c r="B3295">
        <v>93</v>
      </c>
      <c r="C3295">
        <v>1111001</v>
      </c>
      <c r="D3295" t="s">
        <v>16</v>
      </c>
      <c r="E3295" t="s">
        <v>197</v>
      </c>
      <c r="F3295" s="3">
        <v>7427.23</v>
      </c>
      <c r="G3295" s="3">
        <v>0</v>
      </c>
      <c r="H3295" s="3">
        <v>7427.23</v>
      </c>
      <c r="I3295" t="s">
        <v>1161</v>
      </c>
    </row>
    <row r="3296" spans="1:9" x14ac:dyDescent="0.35">
      <c r="A3296" s="2">
        <v>45580</v>
      </c>
      <c r="B3296">
        <v>93</v>
      </c>
      <c r="C3296">
        <v>4112004</v>
      </c>
      <c r="D3296" t="s">
        <v>74</v>
      </c>
      <c r="E3296" t="s">
        <v>197</v>
      </c>
      <c r="F3296" s="3">
        <v>0</v>
      </c>
      <c r="G3296" s="3">
        <v>12175.95</v>
      </c>
      <c r="H3296" s="3">
        <v>-12175.95</v>
      </c>
      <c r="I3296" t="s">
        <v>1162</v>
      </c>
    </row>
    <row r="3297" spans="1:9" x14ac:dyDescent="0.35">
      <c r="A3297" s="2">
        <v>45580</v>
      </c>
      <c r="B3297">
        <v>93</v>
      </c>
      <c r="C3297">
        <v>2121001</v>
      </c>
      <c r="D3297" t="s">
        <v>27</v>
      </c>
      <c r="E3297" t="s">
        <v>197</v>
      </c>
      <c r="F3297" s="3">
        <v>0</v>
      </c>
      <c r="G3297" s="3">
        <v>1948.15</v>
      </c>
      <c r="H3297" s="3">
        <v>-1948.15</v>
      </c>
      <c r="I3297" t="s">
        <v>1162</v>
      </c>
    </row>
    <row r="3298" spans="1:9" x14ac:dyDescent="0.35">
      <c r="A3298" s="2">
        <v>45580</v>
      </c>
      <c r="B3298">
        <v>93</v>
      </c>
      <c r="C3298">
        <v>1141002</v>
      </c>
      <c r="D3298" t="s">
        <v>23</v>
      </c>
      <c r="E3298" t="s">
        <v>197</v>
      </c>
      <c r="F3298" s="3">
        <v>1461.11</v>
      </c>
      <c r="G3298" s="3">
        <v>0</v>
      </c>
      <c r="H3298" s="3">
        <v>1461.11</v>
      </c>
      <c r="I3298" t="s">
        <v>1439</v>
      </c>
    </row>
    <row r="3299" spans="1:9" x14ac:dyDescent="0.35">
      <c r="A3299" s="2">
        <v>45580</v>
      </c>
      <c r="B3299">
        <v>93</v>
      </c>
      <c r="C3299">
        <v>1142001</v>
      </c>
      <c r="D3299" t="s">
        <v>199</v>
      </c>
      <c r="E3299" t="s">
        <v>197</v>
      </c>
      <c r="F3299" s="3">
        <v>243.52</v>
      </c>
      <c r="G3299" s="3">
        <v>0</v>
      </c>
      <c r="H3299" s="3">
        <v>243.52</v>
      </c>
      <c r="I3299" t="s">
        <v>1439</v>
      </c>
    </row>
    <row r="3300" spans="1:9" x14ac:dyDescent="0.35">
      <c r="A3300" s="2">
        <v>45580</v>
      </c>
      <c r="B3300">
        <v>93</v>
      </c>
      <c r="C3300">
        <v>6121040</v>
      </c>
      <c r="D3300" t="s">
        <v>98</v>
      </c>
      <c r="E3300" t="s">
        <v>197</v>
      </c>
      <c r="F3300" s="3">
        <v>282.48</v>
      </c>
      <c r="G3300" s="3">
        <v>0</v>
      </c>
      <c r="H3300" s="3">
        <v>282.48</v>
      </c>
      <c r="I3300" t="s">
        <v>1162</v>
      </c>
    </row>
    <row r="3301" spans="1:9" x14ac:dyDescent="0.35">
      <c r="A3301" s="2">
        <v>45580</v>
      </c>
      <c r="B3301">
        <v>93</v>
      </c>
      <c r="C3301">
        <v>1111001</v>
      </c>
      <c r="D3301" t="s">
        <v>16</v>
      </c>
      <c r="E3301" t="s">
        <v>197</v>
      </c>
      <c r="F3301" s="3">
        <v>12136.99</v>
      </c>
      <c r="G3301" s="3">
        <v>0</v>
      </c>
      <c r="H3301" s="3">
        <v>12136.99</v>
      </c>
      <c r="I3301" t="s">
        <v>1162</v>
      </c>
    </row>
    <row r="3302" spans="1:9" x14ac:dyDescent="0.35">
      <c r="A3302" s="2">
        <v>45580</v>
      </c>
      <c r="B3302">
        <v>93</v>
      </c>
      <c r="C3302">
        <v>5131001</v>
      </c>
      <c r="D3302" t="s">
        <v>86</v>
      </c>
      <c r="E3302" t="s">
        <v>1163</v>
      </c>
      <c r="F3302" s="3">
        <v>455</v>
      </c>
      <c r="G3302" s="3">
        <v>0</v>
      </c>
      <c r="H3302" s="3">
        <v>455</v>
      </c>
      <c r="I3302" t="s">
        <v>574</v>
      </c>
    </row>
    <row r="3303" spans="1:9" x14ac:dyDescent="0.35">
      <c r="A3303" s="2">
        <v>45580</v>
      </c>
      <c r="B3303">
        <v>93</v>
      </c>
      <c r="C3303">
        <v>5131005</v>
      </c>
      <c r="D3303" t="s">
        <v>205</v>
      </c>
      <c r="E3303" t="s">
        <v>1163</v>
      </c>
      <c r="F3303" s="3">
        <v>5443.2</v>
      </c>
      <c r="G3303" s="3">
        <v>0</v>
      </c>
      <c r="H3303" s="3">
        <v>5443.2</v>
      </c>
      <c r="I3303" t="s">
        <v>574</v>
      </c>
    </row>
    <row r="3304" spans="1:9" x14ac:dyDescent="0.35">
      <c r="A3304" s="2">
        <v>45580</v>
      </c>
      <c r="B3304">
        <v>93</v>
      </c>
      <c r="C3304">
        <v>5131008</v>
      </c>
      <c r="D3304" t="s">
        <v>89</v>
      </c>
      <c r="E3304" t="s">
        <v>1163</v>
      </c>
      <c r="F3304" s="3">
        <v>95.55</v>
      </c>
      <c r="G3304" s="3">
        <v>0</v>
      </c>
      <c r="H3304" s="3">
        <v>95.55</v>
      </c>
      <c r="I3304" t="s">
        <v>574</v>
      </c>
    </row>
    <row r="3305" spans="1:9" x14ac:dyDescent="0.35">
      <c r="A3305" s="2">
        <v>45580</v>
      </c>
      <c r="B3305">
        <v>93</v>
      </c>
      <c r="C3305">
        <v>5131009</v>
      </c>
      <c r="D3305" t="s">
        <v>90</v>
      </c>
      <c r="E3305" t="s">
        <v>1163</v>
      </c>
      <c r="F3305" s="3">
        <v>18.958333329999999</v>
      </c>
      <c r="G3305" s="3">
        <v>0</v>
      </c>
      <c r="H3305" s="3">
        <v>18.958333329999999</v>
      </c>
      <c r="I3305" t="s">
        <v>574</v>
      </c>
    </row>
    <row r="3306" spans="1:9" x14ac:dyDescent="0.35">
      <c r="A3306" s="2">
        <v>45580</v>
      </c>
      <c r="B3306">
        <v>93</v>
      </c>
      <c r="C3306">
        <v>5131010</v>
      </c>
      <c r="D3306" t="s">
        <v>91</v>
      </c>
      <c r="E3306" t="s">
        <v>1163</v>
      </c>
      <c r="F3306" s="3">
        <v>37.916666669999998</v>
      </c>
      <c r="G3306" s="3">
        <v>0</v>
      </c>
      <c r="H3306" s="3">
        <v>37.916666669999998</v>
      </c>
      <c r="I3306" t="s">
        <v>574</v>
      </c>
    </row>
    <row r="3307" spans="1:9" x14ac:dyDescent="0.35">
      <c r="A3307" s="2">
        <v>45580</v>
      </c>
      <c r="B3307">
        <v>93</v>
      </c>
      <c r="C3307">
        <v>5131012</v>
      </c>
      <c r="D3307" t="s">
        <v>206</v>
      </c>
      <c r="E3307" t="s">
        <v>1163</v>
      </c>
      <c r="F3307" s="3">
        <v>50.05</v>
      </c>
      <c r="G3307" s="3">
        <v>0</v>
      </c>
      <c r="H3307" s="3">
        <v>50.05</v>
      </c>
      <c r="I3307" t="s">
        <v>574</v>
      </c>
    </row>
    <row r="3308" spans="1:9" x14ac:dyDescent="0.35">
      <c r="A3308" s="2">
        <v>45580</v>
      </c>
      <c r="B3308">
        <v>93</v>
      </c>
      <c r="C3308">
        <v>5131013</v>
      </c>
      <c r="D3308" t="s">
        <v>92</v>
      </c>
      <c r="E3308" t="s">
        <v>1163</v>
      </c>
      <c r="F3308" s="3">
        <v>9.1</v>
      </c>
      <c r="G3308" s="3">
        <v>0</v>
      </c>
      <c r="H3308" s="3">
        <v>9.1</v>
      </c>
      <c r="I3308" t="s">
        <v>574</v>
      </c>
    </row>
    <row r="3309" spans="1:9" x14ac:dyDescent="0.35">
      <c r="A3309" s="2">
        <v>45580</v>
      </c>
      <c r="B3309">
        <v>93</v>
      </c>
      <c r="C3309">
        <v>5131014</v>
      </c>
      <c r="D3309" t="s">
        <v>207</v>
      </c>
      <c r="E3309" t="s">
        <v>1163</v>
      </c>
      <c r="F3309" s="3">
        <v>9.1</v>
      </c>
      <c r="G3309" s="3">
        <v>0</v>
      </c>
      <c r="H3309" s="3">
        <v>9.1</v>
      </c>
      <c r="I3309" t="s">
        <v>574</v>
      </c>
    </row>
    <row r="3310" spans="1:9" x14ac:dyDescent="0.35">
      <c r="A3310" s="2">
        <v>45580</v>
      </c>
      <c r="B3310">
        <v>93</v>
      </c>
      <c r="C3310">
        <v>2131002</v>
      </c>
      <c r="D3310" t="s">
        <v>31</v>
      </c>
      <c r="E3310" t="s">
        <v>1163</v>
      </c>
      <c r="F3310" s="3">
        <v>0</v>
      </c>
      <c r="G3310" s="3">
        <v>18.2</v>
      </c>
      <c r="H3310" s="3">
        <v>-18.2</v>
      </c>
      <c r="I3310" t="s">
        <v>574</v>
      </c>
    </row>
    <row r="3311" spans="1:9" x14ac:dyDescent="0.35">
      <c r="A3311" s="2">
        <v>45580</v>
      </c>
      <c r="B3311">
        <v>93</v>
      </c>
      <c r="C3311">
        <v>2131003</v>
      </c>
      <c r="D3311" t="s">
        <v>32</v>
      </c>
      <c r="E3311" t="s">
        <v>1163</v>
      </c>
      <c r="F3311" s="3">
        <v>0</v>
      </c>
      <c r="G3311" s="3">
        <v>2.2749999999999999</v>
      </c>
      <c r="H3311" s="3">
        <v>-2.2749999999999999</v>
      </c>
      <c r="I3311" t="s">
        <v>574</v>
      </c>
    </row>
    <row r="3312" spans="1:9" x14ac:dyDescent="0.35">
      <c r="A3312" s="2">
        <v>45580</v>
      </c>
      <c r="B3312">
        <v>93</v>
      </c>
      <c r="C3312">
        <v>2131004</v>
      </c>
      <c r="D3312" t="s">
        <v>33</v>
      </c>
      <c r="E3312" t="s">
        <v>1163</v>
      </c>
      <c r="F3312" s="3">
        <v>0</v>
      </c>
      <c r="G3312" s="3">
        <v>4.55</v>
      </c>
      <c r="H3312" s="3">
        <v>-4.55</v>
      </c>
      <c r="I3312" t="s">
        <v>574</v>
      </c>
    </row>
    <row r="3313" spans="1:9" x14ac:dyDescent="0.35">
      <c r="A3313" s="2">
        <v>45580</v>
      </c>
      <c r="B3313">
        <v>93</v>
      </c>
      <c r="C3313">
        <v>2141001</v>
      </c>
      <c r="D3313" t="s">
        <v>35</v>
      </c>
      <c r="E3313" t="s">
        <v>1163</v>
      </c>
      <c r="F3313" s="3">
        <v>0</v>
      </c>
      <c r="G3313" s="3">
        <v>50.05</v>
      </c>
      <c r="H3313" s="3">
        <v>-50.05</v>
      </c>
      <c r="I3313" t="s">
        <v>574</v>
      </c>
    </row>
    <row r="3314" spans="1:9" x14ac:dyDescent="0.35">
      <c r="A3314" s="2">
        <v>45580</v>
      </c>
      <c r="B3314">
        <v>93</v>
      </c>
      <c r="C3314">
        <v>2141002</v>
      </c>
      <c r="D3314" t="s">
        <v>36</v>
      </c>
      <c r="E3314" t="s">
        <v>1163</v>
      </c>
      <c r="F3314" s="3">
        <v>0</v>
      </c>
      <c r="G3314" s="3">
        <v>9.1</v>
      </c>
      <c r="H3314" s="3">
        <v>-9.1</v>
      </c>
      <c r="I3314" t="s">
        <v>574</v>
      </c>
    </row>
    <row r="3315" spans="1:9" x14ac:dyDescent="0.35">
      <c r="A3315" s="2">
        <v>45580</v>
      </c>
      <c r="B3315">
        <v>93</v>
      </c>
      <c r="C3315">
        <v>2141003</v>
      </c>
      <c r="D3315" t="s">
        <v>37</v>
      </c>
      <c r="E3315" t="s">
        <v>1163</v>
      </c>
      <c r="F3315" s="3">
        <v>0</v>
      </c>
      <c r="G3315" s="3">
        <v>9.1</v>
      </c>
      <c r="H3315" s="3">
        <v>-9.1</v>
      </c>
      <c r="I3315" t="s">
        <v>574</v>
      </c>
    </row>
    <row r="3316" spans="1:9" x14ac:dyDescent="0.35">
      <c r="A3316" s="2">
        <v>45580</v>
      </c>
      <c r="B3316">
        <v>93</v>
      </c>
      <c r="C3316">
        <v>2161004</v>
      </c>
      <c r="D3316" t="s">
        <v>38</v>
      </c>
      <c r="E3316" t="s">
        <v>1163</v>
      </c>
      <c r="F3316" s="3">
        <v>0</v>
      </c>
      <c r="G3316" s="3">
        <v>18.958333329999999</v>
      </c>
      <c r="H3316" s="3">
        <v>-18.958333329999999</v>
      </c>
      <c r="I3316" t="s">
        <v>574</v>
      </c>
    </row>
    <row r="3317" spans="1:9" x14ac:dyDescent="0.35">
      <c r="A3317" s="2">
        <v>45580</v>
      </c>
      <c r="B3317">
        <v>93</v>
      </c>
      <c r="C3317">
        <v>2161005</v>
      </c>
      <c r="D3317" t="s">
        <v>39</v>
      </c>
      <c r="E3317" t="s">
        <v>1163</v>
      </c>
      <c r="F3317" s="3">
        <v>0</v>
      </c>
      <c r="G3317" s="3">
        <v>37.916666669999998</v>
      </c>
      <c r="H3317" s="3">
        <v>-37.916666669999998</v>
      </c>
      <c r="I3317" t="s">
        <v>574</v>
      </c>
    </row>
    <row r="3318" spans="1:9" x14ac:dyDescent="0.35">
      <c r="A3318" s="2">
        <v>45580</v>
      </c>
      <c r="B3318">
        <v>93</v>
      </c>
      <c r="C3318">
        <v>2241001</v>
      </c>
      <c r="D3318" t="s">
        <v>40</v>
      </c>
      <c r="E3318" t="s">
        <v>1163</v>
      </c>
      <c r="F3318" s="3">
        <v>0</v>
      </c>
      <c r="G3318" s="3">
        <v>95.55</v>
      </c>
      <c r="H3318" s="3">
        <v>-95.55</v>
      </c>
      <c r="I3318" t="s">
        <v>574</v>
      </c>
    </row>
    <row r="3319" spans="1:9" x14ac:dyDescent="0.35">
      <c r="A3319" s="2">
        <v>45580</v>
      </c>
      <c r="B3319">
        <v>93</v>
      </c>
      <c r="C3319">
        <v>2161001</v>
      </c>
      <c r="D3319" t="s">
        <v>93</v>
      </c>
      <c r="E3319" t="s">
        <v>1163</v>
      </c>
      <c r="F3319" s="3">
        <v>0</v>
      </c>
      <c r="G3319" s="3">
        <v>5873.18</v>
      </c>
      <c r="H3319" s="3">
        <v>-5873.18</v>
      </c>
      <c r="I3319" t="s">
        <v>574</v>
      </c>
    </row>
    <row r="3320" spans="1:9" x14ac:dyDescent="0.35">
      <c r="A3320" s="2">
        <v>45580</v>
      </c>
      <c r="B3320">
        <v>93</v>
      </c>
      <c r="C3320">
        <v>5131006</v>
      </c>
      <c r="D3320" t="s">
        <v>125</v>
      </c>
      <c r="E3320" t="s">
        <v>1164</v>
      </c>
      <c r="F3320" s="3">
        <v>28071.15</v>
      </c>
      <c r="G3320" s="3">
        <v>0</v>
      </c>
      <c r="H3320" s="3">
        <v>28071.15</v>
      </c>
      <c r="I3320" t="s">
        <v>574</v>
      </c>
    </row>
    <row r="3321" spans="1:9" x14ac:dyDescent="0.35">
      <c r="A3321" s="2">
        <v>45580</v>
      </c>
      <c r="B3321">
        <v>93</v>
      </c>
      <c r="C3321">
        <v>2161001</v>
      </c>
      <c r="D3321" t="s">
        <v>93</v>
      </c>
      <c r="E3321" t="s">
        <v>1164</v>
      </c>
      <c r="F3321" s="3">
        <v>0</v>
      </c>
      <c r="G3321" s="3">
        <v>28071.15</v>
      </c>
      <c r="H3321" s="3">
        <v>-28071.15</v>
      </c>
      <c r="I3321" t="s">
        <v>574</v>
      </c>
    </row>
    <row r="3322" spans="1:9" x14ac:dyDescent="0.35">
      <c r="A3322" s="2">
        <v>45580</v>
      </c>
      <c r="B3322">
        <v>93</v>
      </c>
      <c r="C3322">
        <v>2121001</v>
      </c>
      <c r="D3322" t="s">
        <v>27</v>
      </c>
      <c r="E3322" t="s">
        <v>1165</v>
      </c>
      <c r="F3322" s="3">
        <v>16780.41</v>
      </c>
      <c r="G3322" s="3">
        <v>0</v>
      </c>
      <c r="H3322" s="3">
        <v>16780.41</v>
      </c>
      <c r="I3322" t="s">
        <v>544</v>
      </c>
    </row>
    <row r="3323" spans="1:9" x14ac:dyDescent="0.35">
      <c r="A3323" s="2">
        <v>45580</v>
      </c>
      <c r="B3323">
        <v>93</v>
      </c>
      <c r="C3323">
        <v>1141001</v>
      </c>
      <c r="D3323" t="s">
        <v>153</v>
      </c>
      <c r="E3323" t="s">
        <v>1165</v>
      </c>
      <c r="F3323" s="3">
        <v>0</v>
      </c>
      <c r="G3323" s="3">
        <v>1078.82</v>
      </c>
      <c r="H3323" s="3">
        <v>-1078.82</v>
      </c>
      <c r="I3323" t="s">
        <v>544</v>
      </c>
    </row>
    <row r="3324" spans="1:9" x14ac:dyDescent="0.35">
      <c r="A3324" s="2">
        <v>45580</v>
      </c>
      <c r="B3324">
        <v>93</v>
      </c>
      <c r="C3324">
        <v>1141002</v>
      </c>
      <c r="D3324" t="s">
        <v>23</v>
      </c>
      <c r="E3324" t="s">
        <v>1165</v>
      </c>
      <c r="F3324" s="3">
        <v>0</v>
      </c>
      <c r="G3324" s="3">
        <v>2725.71</v>
      </c>
      <c r="H3324" s="3">
        <v>-2725.71</v>
      </c>
      <c r="I3324" t="s">
        <v>544</v>
      </c>
    </row>
    <row r="3325" spans="1:9" x14ac:dyDescent="0.35">
      <c r="A3325" s="2">
        <v>45580</v>
      </c>
      <c r="B3325">
        <v>93</v>
      </c>
      <c r="C3325">
        <v>2121003</v>
      </c>
      <c r="D3325" t="s">
        <v>28</v>
      </c>
      <c r="E3325" t="s">
        <v>1165</v>
      </c>
      <c r="F3325" s="3">
        <v>0</v>
      </c>
      <c r="G3325" s="3">
        <v>12975.88</v>
      </c>
      <c r="H3325" s="3">
        <v>-12975.88</v>
      </c>
      <c r="I3325" t="s">
        <v>544</v>
      </c>
    </row>
    <row r="3326" spans="1:9" x14ac:dyDescent="0.35">
      <c r="A3326" s="2">
        <v>45580</v>
      </c>
      <c r="B3326">
        <v>93</v>
      </c>
      <c r="C3326">
        <v>1142004</v>
      </c>
      <c r="D3326" t="s">
        <v>83</v>
      </c>
      <c r="E3326" t="s">
        <v>502</v>
      </c>
      <c r="F3326" s="3">
        <v>1048.78</v>
      </c>
      <c r="G3326" s="3">
        <v>0</v>
      </c>
      <c r="H3326" s="3">
        <v>1048.78</v>
      </c>
      <c r="I3326" t="s">
        <v>503</v>
      </c>
    </row>
    <row r="3327" spans="1:9" x14ac:dyDescent="0.35">
      <c r="A3327" s="2">
        <v>45580</v>
      </c>
      <c r="B3327">
        <v>93</v>
      </c>
      <c r="C3327">
        <v>2124004</v>
      </c>
      <c r="D3327" t="s">
        <v>29</v>
      </c>
      <c r="E3327" t="s">
        <v>502</v>
      </c>
      <c r="F3327" s="3">
        <v>0</v>
      </c>
      <c r="G3327" s="3">
        <v>1048.78</v>
      </c>
      <c r="H3327" s="3">
        <v>-1048.78</v>
      </c>
      <c r="I3327" t="s">
        <v>503</v>
      </c>
    </row>
    <row r="3328" spans="1:9" x14ac:dyDescent="0.35">
      <c r="A3328" s="2">
        <v>45596</v>
      </c>
      <c r="B3328">
        <v>94</v>
      </c>
      <c r="C3328">
        <v>6121023</v>
      </c>
      <c r="D3328" t="s">
        <v>49</v>
      </c>
      <c r="E3328" t="s">
        <v>1091</v>
      </c>
      <c r="F3328" s="3">
        <v>591.36</v>
      </c>
      <c r="G3328" s="3">
        <v>0</v>
      </c>
      <c r="H3328" s="3">
        <v>591.36</v>
      </c>
      <c r="I3328" t="s">
        <v>1166</v>
      </c>
    </row>
    <row r="3329" spans="1:9" x14ac:dyDescent="0.35">
      <c r="A3329" s="2">
        <v>45596</v>
      </c>
      <c r="B3329">
        <v>94</v>
      </c>
      <c r="C3329">
        <v>2114010</v>
      </c>
      <c r="D3329" t="s">
        <v>48</v>
      </c>
      <c r="E3329" t="s">
        <v>1091</v>
      </c>
      <c r="F3329" s="3">
        <v>0</v>
      </c>
      <c r="G3329" s="3">
        <v>591.36</v>
      </c>
      <c r="H3329" s="3">
        <v>-591.36</v>
      </c>
      <c r="I3329" t="s">
        <v>1166</v>
      </c>
    </row>
    <row r="3330" spans="1:9" x14ac:dyDescent="0.35">
      <c r="A3330" s="2">
        <v>45596</v>
      </c>
      <c r="B3330">
        <v>94</v>
      </c>
      <c r="C3330">
        <v>6121023</v>
      </c>
      <c r="D3330" t="s">
        <v>49</v>
      </c>
      <c r="E3330" t="s">
        <v>660</v>
      </c>
      <c r="F3330" s="3">
        <v>1328.58</v>
      </c>
      <c r="G3330" s="3">
        <v>0</v>
      </c>
      <c r="H3330" s="3">
        <v>1328.58</v>
      </c>
      <c r="I3330" t="s">
        <v>1167</v>
      </c>
    </row>
    <row r="3331" spans="1:9" x14ac:dyDescent="0.35">
      <c r="A3331" s="2">
        <v>45596</v>
      </c>
      <c r="B3331">
        <v>94</v>
      </c>
      <c r="C3331">
        <v>2114010</v>
      </c>
      <c r="D3331" t="s">
        <v>48</v>
      </c>
      <c r="E3331" t="s">
        <v>660</v>
      </c>
      <c r="F3331" s="3">
        <v>0</v>
      </c>
      <c r="G3331" s="3">
        <v>1328.58</v>
      </c>
      <c r="H3331" s="3">
        <v>-1328.58</v>
      </c>
      <c r="I3331" t="s">
        <v>1167</v>
      </c>
    </row>
    <row r="3332" spans="1:9" x14ac:dyDescent="0.35">
      <c r="A3332" s="2">
        <v>45596</v>
      </c>
      <c r="B3332">
        <v>94</v>
      </c>
      <c r="C3332">
        <v>6121023</v>
      </c>
      <c r="D3332" t="s">
        <v>49</v>
      </c>
      <c r="E3332" t="s">
        <v>1168</v>
      </c>
      <c r="F3332" s="3">
        <v>391.8</v>
      </c>
      <c r="G3332" s="3">
        <v>0</v>
      </c>
      <c r="H3332" s="3">
        <v>391.8</v>
      </c>
      <c r="I3332" t="s">
        <v>1169</v>
      </c>
    </row>
    <row r="3333" spans="1:9" x14ac:dyDescent="0.35">
      <c r="A3333" s="2">
        <v>45596</v>
      </c>
      <c r="B3333">
        <v>94</v>
      </c>
      <c r="C3333">
        <v>2114010</v>
      </c>
      <c r="D3333" t="s">
        <v>48</v>
      </c>
      <c r="E3333" t="s">
        <v>1168</v>
      </c>
      <c r="F3333" s="3">
        <v>0</v>
      </c>
      <c r="G3333" s="3">
        <v>391.8</v>
      </c>
      <c r="H3333" s="3">
        <v>-391.8</v>
      </c>
      <c r="I3333" t="s">
        <v>1169</v>
      </c>
    </row>
    <row r="3334" spans="1:9" x14ac:dyDescent="0.35">
      <c r="A3334" s="2">
        <v>45596</v>
      </c>
      <c r="B3334">
        <v>94</v>
      </c>
      <c r="C3334">
        <v>6121023</v>
      </c>
      <c r="D3334" t="s">
        <v>49</v>
      </c>
      <c r="E3334" t="s">
        <v>166</v>
      </c>
      <c r="F3334" s="3">
        <v>378</v>
      </c>
      <c r="G3334" s="3">
        <v>0</v>
      </c>
      <c r="H3334" s="3">
        <v>378</v>
      </c>
      <c r="I3334" t="s">
        <v>1170</v>
      </c>
    </row>
    <row r="3335" spans="1:9" x14ac:dyDescent="0.35">
      <c r="A3335" s="2">
        <v>45596</v>
      </c>
      <c r="B3335">
        <v>94</v>
      </c>
      <c r="C3335">
        <v>2114010</v>
      </c>
      <c r="D3335" t="s">
        <v>48</v>
      </c>
      <c r="E3335" t="s">
        <v>166</v>
      </c>
      <c r="F3335" s="3">
        <v>0</v>
      </c>
      <c r="G3335" s="3">
        <v>378</v>
      </c>
      <c r="H3335" s="3">
        <v>-378</v>
      </c>
      <c r="I3335" t="s">
        <v>1170</v>
      </c>
    </row>
    <row r="3336" spans="1:9" x14ac:dyDescent="0.35">
      <c r="A3336" s="2">
        <v>45596</v>
      </c>
      <c r="B3336">
        <v>94</v>
      </c>
      <c r="C3336">
        <v>6121023</v>
      </c>
      <c r="D3336" t="s">
        <v>49</v>
      </c>
      <c r="E3336" t="s">
        <v>52</v>
      </c>
      <c r="F3336" s="3">
        <v>717.73</v>
      </c>
      <c r="G3336" s="3">
        <v>0</v>
      </c>
      <c r="H3336" s="3">
        <v>717.73</v>
      </c>
      <c r="I3336" t="s">
        <v>1171</v>
      </c>
    </row>
    <row r="3337" spans="1:9" x14ac:dyDescent="0.35">
      <c r="A3337" s="2">
        <v>45596</v>
      </c>
      <c r="B3337">
        <v>94</v>
      </c>
      <c r="C3337">
        <v>2114010</v>
      </c>
      <c r="D3337" t="s">
        <v>48</v>
      </c>
      <c r="E3337" t="s">
        <v>52</v>
      </c>
      <c r="F3337" s="3">
        <v>0</v>
      </c>
      <c r="G3337" s="3">
        <v>717.73</v>
      </c>
      <c r="H3337" s="3">
        <v>-717.73</v>
      </c>
      <c r="I3337" t="s">
        <v>1171</v>
      </c>
    </row>
    <row r="3338" spans="1:9" x14ac:dyDescent="0.35">
      <c r="A3338" s="2">
        <v>45596</v>
      </c>
      <c r="B3338">
        <v>94</v>
      </c>
      <c r="C3338">
        <v>6121023</v>
      </c>
      <c r="D3338" t="s">
        <v>49</v>
      </c>
      <c r="E3338" t="s">
        <v>52</v>
      </c>
      <c r="F3338" s="3">
        <v>520.17999999999995</v>
      </c>
      <c r="G3338" s="3">
        <v>0</v>
      </c>
      <c r="H3338" s="3">
        <v>520.17999999999995</v>
      </c>
      <c r="I3338" t="s">
        <v>1172</v>
      </c>
    </row>
    <row r="3339" spans="1:9" x14ac:dyDescent="0.35">
      <c r="A3339" s="2">
        <v>45596</v>
      </c>
      <c r="B3339">
        <v>94</v>
      </c>
      <c r="C3339">
        <v>2114010</v>
      </c>
      <c r="D3339" t="s">
        <v>48</v>
      </c>
      <c r="E3339" t="s">
        <v>52</v>
      </c>
      <c r="F3339" s="3">
        <v>0</v>
      </c>
      <c r="G3339" s="3">
        <v>520.17999999999995</v>
      </c>
      <c r="H3339" s="3">
        <v>-520.17999999999995</v>
      </c>
      <c r="I3339" t="s">
        <v>1172</v>
      </c>
    </row>
    <row r="3340" spans="1:9" x14ac:dyDescent="0.35">
      <c r="A3340" s="2">
        <v>45596</v>
      </c>
      <c r="B3340">
        <v>94</v>
      </c>
      <c r="C3340">
        <v>6121023</v>
      </c>
      <c r="D3340" t="s">
        <v>49</v>
      </c>
      <c r="E3340" t="s">
        <v>52</v>
      </c>
      <c r="F3340" s="3">
        <v>1307.46</v>
      </c>
      <c r="G3340" s="3">
        <v>0</v>
      </c>
      <c r="H3340" s="3">
        <v>1307.46</v>
      </c>
      <c r="I3340" t="s">
        <v>1173</v>
      </c>
    </row>
    <row r="3341" spans="1:9" x14ac:dyDescent="0.35">
      <c r="A3341" s="2">
        <v>45596</v>
      </c>
      <c r="B3341">
        <v>94</v>
      </c>
      <c r="C3341">
        <v>2114010</v>
      </c>
      <c r="D3341" t="s">
        <v>48</v>
      </c>
      <c r="E3341" t="s">
        <v>52</v>
      </c>
      <c r="F3341" s="3">
        <v>0</v>
      </c>
      <c r="G3341" s="3">
        <v>1307.46</v>
      </c>
      <c r="H3341" s="3">
        <v>-1307.46</v>
      </c>
      <c r="I3341" t="s">
        <v>1173</v>
      </c>
    </row>
    <row r="3342" spans="1:9" x14ac:dyDescent="0.35">
      <c r="A3342" s="2">
        <v>45596</v>
      </c>
      <c r="B3342">
        <v>94</v>
      </c>
      <c r="C3342">
        <v>6121023</v>
      </c>
      <c r="D3342" t="s">
        <v>49</v>
      </c>
      <c r="E3342" t="s">
        <v>166</v>
      </c>
      <c r="F3342" s="3">
        <v>1018.11</v>
      </c>
      <c r="G3342" s="3">
        <v>0</v>
      </c>
      <c r="H3342" s="3">
        <v>1018.11</v>
      </c>
      <c r="I3342" t="s">
        <v>1174</v>
      </c>
    </row>
    <row r="3343" spans="1:9" x14ac:dyDescent="0.35">
      <c r="A3343" s="2">
        <v>45596</v>
      </c>
      <c r="B3343">
        <v>94</v>
      </c>
      <c r="C3343">
        <v>2114010</v>
      </c>
      <c r="D3343" t="s">
        <v>48</v>
      </c>
      <c r="E3343" t="s">
        <v>166</v>
      </c>
      <c r="F3343" s="3">
        <v>0</v>
      </c>
      <c r="G3343" s="3">
        <v>1018.11</v>
      </c>
      <c r="H3343" s="3">
        <v>-1018.11</v>
      </c>
      <c r="I3343" t="s">
        <v>1174</v>
      </c>
    </row>
    <row r="3344" spans="1:9" x14ac:dyDescent="0.35">
      <c r="A3344" s="2">
        <v>45596</v>
      </c>
      <c r="B3344">
        <v>94</v>
      </c>
      <c r="C3344">
        <v>6121023</v>
      </c>
      <c r="D3344" t="s">
        <v>49</v>
      </c>
      <c r="E3344" t="s">
        <v>52</v>
      </c>
      <c r="F3344" s="3">
        <v>178.81</v>
      </c>
      <c r="G3344" s="3">
        <v>0</v>
      </c>
      <c r="H3344" s="3">
        <v>178.81</v>
      </c>
      <c r="I3344" t="s">
        <v>1175</v>
      </c>
    </row>
    <row r="3345" spans="1:9" x14ac:dyDescent="0.35">
      <c r="A3345" s="2">
        <v>45596</v>
      </c>
      <c r="B3345">
        <v>94</v>
      </c>
      <c r="C3345">
        <v>2114010</v>
      </c>
      <c r="D3345" t="s">
        <v>48</v>
      </c>
      <c r="E3345" t="s">
        <v>52</v>
      </c>
      <c r="F3345" s="3">
        <v>0</v>
      </c>
      <c r="G3345" s="3">
        <v>178.81</v>
      </c>
      <c r="H3345" s="3">
        <v>-178.81</v>
      </c>
      <c r="I3345" t="s">
        <v>1175</v>
      </c>
    </row>
    <row r="3346" spans="1:9" x14ac:dyDescent="0.35">
      <c r="A3346" s="2">
        <v>45596</v>
      </c>
      <c r="B3346">
        <v>94</v>
      </c>
      <c r="C3346">
        <v>4112003</v>
      </c>
      <c r="D3346" t="s">
        <v>58</v>
      </c>
      <c r="E3346" t="s">
        <v>59</v>
      </c>
      <c r="F3346" s="3">
        <v>0</v>
      </c>
      <c r="G3346" s="3">
        <v>7750.52</v>
      </c>
      <c r="H3346" s="3">
        <v>-7750.52</v>
      </c>
      <c r="I3346" t="s">
        <v>1176</v>
      </c>
    </row>
    <row r="3347" spans="1:9" x14ac:dyDescent="0.35">
      <c r="A3347" s="2">
        <v>45596</v>
      </c>
      <c r="B3347">
        <v>94</v>
      </c>
      <c r="C3347">
        <v>2121001</v>
      </c>
      <c r="D3347" t="s">
        <v>27</v>
      </c>
      <c r="E3347" t="s">
        <v>59</v>
      </c>
      <c r="F3347" s="3">
        <v>0</v>
      </c>
      <c r="G3347" s="3">
        <v>1240.08</v>
      </c>
      <c r="H3347" s="3">
        <v>-1240.08</v>
      </c>
      <c r="I3347" t="s">
        <v>1176</v>
      </c>
    </row>
    <row r="3348" spans="1:9" x14ac:dyDescent="0.35">
      <c r="A3348" s="2">
        <v>45596</v>
      </c>
      <c r="B3348">
        <v>94</v>
      </c>
      <c r="C3348">
        <v>1111001</v>
      </c>
      <c r="D3348" t="s">
        <v>16</v>
      </c>
      <c r="E3348" t="s">
        <v>59</v>
      </c>
      <c r="F3348" s="3">
        <v>8990.6</v>
      </c>
      <c r="G3348" s="3">
        <v>0</v>
      </c>
      <c r="H3348" s="3">
        <v>8990.6</v>
      </c>
      <c r="I3348" t="s">
        <v>1176</v>
      </c>
    </row>
    <row r="3349" spans="1:9" x14ac:dyDescent="0.35">
      <c r="A3349" s="2">
        <v>45596</v>
      </c>
      <c r="B3349">
        <v>94</v>
      </c>
      <c r="C3349">
        <v>4112003</v>
      </c>
      <c r="D3349" t="s">
        <v>58</v>
      </c>
      <c r="E3349" t="s">
        <v>59</v>
      </c>
      <c r="F3349" s="3">
        <v>0</v>
      </c>
      <c r="G3349" s="3">
        <v>9457.34</v>
      </c>
      <c r="H3349" s="3">
        <v>-9457.34</v>
      </c>
      <c r="I3349" t="s">
        <v>1177</v>
      </c>
    </row>
    <row r="3350" spans="1:9" x14ac:dyDescent="0.35">
      <c r="A3350" s="2">
        <v>45596</v>
      </c>
      <c r="B3350">
        <v>94</v>
      </c>
      <c r="C3350">
        <v>2121001</v>
      </c>
      <c r="D3350" t="s">
        <v>27</v>
      </c>
      <c r="E3350" t="s">
        <v>59</v>
      </c>
      <c r="F3350" s="3">
        <v>0</v>
      </c>
      <c r="G3350" s="3">
        <v>1513.17</v>
      </c>
      <c r="H3350" s="3">
        <v>-1513.17</v>
      </c>
      <c r="I3350" t="s">
        <v>1177</v>
      </c>
    </row>
    <row r="3351" spans="1:9" x14ac:dyDescent="0.35">
      <c r="A3351" s="2">
        <v>45596</v>
      </c>
      <c r="B3351">
        <v>94</v>
      </c>
      <c r="C3351">
        <v>1111001</v>
      </c>
      <c r="D3351" t="s">
        <v>16</v>
      </c>
      <c r="E3351" t="s">
        <v>59</v>
      </c>
      <c r="F3351" s="3">
        <v>10970.51</v>
      </c>
      <c r="G3351" s="3">
        <v>0</v>
      </c>
      <c r="H3351" s="3">
        <v>10970.51</v>
      </c>
      <c r="I3351" t="s">
        <v>1177</v>
      </c>
    </row>
    <row r="3352" spans="1:9" x14ac:dyDescent="0.35">
      <c r="A3352" s="2">
        <v>45596</v>
      </c>
      <c r="B3352">
        <v>94</v>
      </c>
      <c r="C3352">
        <v>4112003</v>
      </c>
      <c r="D3352" t="s">
        <v>58</v>
      </c>
      <c r="E3352" t="s">
        <v>59</v>
      </c>
      <c r="F3352" s="3">
        <v>0</v>
      </c>
      <c r="G3352" s="3">
        <v>5683.34</v>
      </c>
      <c r="H3352" s="3">
        <v>-5683.34</v>
      </c>
      <c r="I3352" t="s">
        <v>1178</v>
      </c>
    </row>
    <row r="3353" spans="1:9" x14ac:dyDescent="0.35">
      <c r="A3353" s="2">
        <v>45596</v>
      </c>
      <c r="B3353">
        <v>94</v>
      </c>
      <c r="C3353">
        <v>2121001</v>
      </c>
      <c r="D3353" t="s">
        <v>27</v>
      </c>
      <c r="E3353" t="s">
        <v>59</v>
      </c>
      <c r="F3353" s="3">
        <v>0</v>
      </c>
      <c r="G3353" s="3">
        <v>909.33</v>
      </c>
      <c r="H3353" s="3">
        <v>-909.33</v>
      </c>
      <c r="I3353" t="s">
        <v>1178</v>
      </c>
    </row>
    <row r="3354" spans="1:9" x14ac:dyDescent="0.35">
      <c r="A3354" s="2">
        <v>45596</v>
      </c>
      <c r="B3354">
        <v>94</v>
      </c>
      <c r="C3354">
        <v>1111001</v>
      </c>
      <c r="D3354" t="s">
        <v>16</v>
      </c>
      <c r="E3354" t="s">
        <v>59</v>
      </c>
      <c r="F3354" s="3">
        <v>6592.67</v>
      </c>
      <c r="G3354" s="3">
        <v>0</v>
      </c>
      <c r="H3354" s="3">
        <v>6592.67</v>
      </c>
      <c r="I3354" t="s">
        <v>1178</v>
      </c>
    </row>
    <row r="3355" spans="1:9" x14ac:dyDescent="0.35">
      <c r="A3355" s="2">
        <v>45596</v>
      </c>
      <c r="B3355">
        <v>94</v>
      </c>
      <c r="C3355">
        <v>4112003</v>
      </c>
      <c r="D3355" t="s">
        <v>58</v>
      </c>
      <c r="E3355" t="s">
        <v>59</v>
      </c>
      <c r="F3355" s="3">
        <v>0</v>
      </c>
      <c r="G3355" s="3">
        <v>8484.3700000000008</v>
      </c>
      <c r="H3355" s="3">
        <v>-8484.3700000000008</v>
      </c>
      <c r="I3355" t="s">
        <v>1179</v>
      </c>
    </row>
    <row r="3356" spans="1:9" x14ac:dyDescent="0.35">
      <c r="A3356" s="2">
        <v>45596</v>
      </c>
      <c r="B3356">
        <v>94</v>
      </c>
      <c r="C3356">
        <v>2121001</v>
      </c>
      <c r="D3356" t="s">
        <v>27</v>
      </c>
      <c r="E3356" t="s">
        <v>59</v>
      </c>
      <c r="F3356" s="3">
        <v>0</v>
      </c>
      <c r="G3356" s="3">
        <v>1357.5</v>
      </c>
      <c r="H3356" s="3">
        <v>-1357.5</v>
      </c>
      <c r="I3356" t="s">
        <v>1179</v>
      </c>
    </row>
    <row r="3357" spans="1:9" x14ac:dyDescent="0.35">
      <c r="A3357" s="2">
        <v>45596</v>
      </c>
      <c r="B3357">
        <v>94</v>
      </c>
      <c r="C3357">
        <v>1111001</v>
      </c>
      <c r="D3357" t="s">
        <v>16</v>
      </c>
      <c r="E3357" t="s">
        <v>59</v>
      </c>
      <c r="F3357" s="3">
        <v>9841.8700000000008</v>
      </c>
      <c r="G3357" s="3">
        <v>0</v>
      </c>
      <c r="H3357" s="3">
        <v>9841.8700000000008</v>
      </c>
      <c r="I3357" t="s">
        <v>1179</v>
      </c>
    </row>
    <row r="3358" spans="1:9" x14ac:dyDescent="0.35">
      <c r="A3358" s="2">
        <v>45596</v>
      </c>
      <c r="B3358">
        <v>94</v>
      </c>
      <c r="C3358">
        <v>4112003</v>
      </c>
      <c r="D3358" t="s">
        <v>58</v>
      </c>
      <c r="E3358" t="s">
        <v>59</v>
      </c>
      <c r="F3358" s="3">
        <v>0</v>
      </c>
      <c r="G3358" s="3">
        <v>1551.77</v>
      </c>
      <c r="H3358" s="3">
        <v>-1551.77</v>
      </c>
      <c r="I3358" t="s">
        <v>1180</v>
      </c>
    </row>
    <row r="3359" spans="1:9" x14ac:dyDescent="0.35">
      <c r="A3359" s="2">
        <v>45596</v>
      </c>
      <c r="B3359">
        <v>94</v>
      </c>
      <c r="C3359">
        <v>2121001</v>
      </c>
      <c r="D3359" t="s">
        <v>27</v>
      </c>
      <c r="E3359" t="s">
        <v>59</v>
      </c>
      <c r="F3359" s="3">
        <v>0</v>
      </c>
      <c r="G3359" s="3">
        <v>248.28</v>
      </c>
      <c r="H3359" s="3">
        <v>-248.28</v>
      </c>
      <c r="I3359" t="s">
        <v>1180</v>
      </c>
    </row>
    <row r="3360" spans="1:9" x14ac:dyDescent="0.35">
      <c r="A3360" s="2">
        <v>45596</v>
      </c>
      <c r="B3360">
        <v>94</v>
      </c>
      <c r="C3360">
        <v>1111001</v>
      </c>
      <c r="D3360" t="s">
        <v>16</v>
      </c>
      <c r="E3360" t="s">
        <v>59</v>
      </c>
      <c r="F3360" s="3">
        <v>1800.05</v>
      </c>
      <c r="G3360" s="3">
        <v>0</v>
      </c>
      <c r="H3360" s="3">
        <v>1800.05</v>
      </c>
      <c r="I3360" t="s">
        <v>1180</v>
      </c>
    </row>
    <row r="3361" spans="1:9" x14ac:dyDescent="0.35">
      <c r="A3361" s="2">
        <v>45596</v>
      </c>
      <c r="B3361">
        <v>94</v>
      </c>
      <c r="C3361">
        <v>4112003</v>
      </c>
      <c r="D3361" t="s">
        <v>58</v>
      </c>
      <c r="E3361" t="s">
        <v>59</v>
      </c>
      <c r="F3361" s="3">
        <v>0</v>
      </c>
      <c r="G3361" s="3">
        <v>6517.76</v>
      </c>
      <c r="H3361" s="3">
        <v>-6517.76</v>
      </c>
      <c r="I3361" t="s">
        <v>1181</v>
      </c>
    </row>
    <row r="3362" spans="1:9" x14ac:dyDescent="0.35">
      <c r="A3362" s="2">
        <v>45596</v>
      </c>
      <c r="B3362">
        <v>94</v>
      </c>
      <c r="C3362">
        <v>2121001</v>
      </c>
      <c r="D3362" t="s">
        <v>27</v>
      </c>
      <c r="E3362" t="s">
        <v>59</v>
      </c>
      <c r="F3362" s="3">
        <v>0</v>
      </c>
      <c r="G3362" s="3">
        <v>1042.8399999999999</v>
      </c>
      <c r="H3362" s="3">
        <v>-1042.8399999999999</v>
      </c>
      <c r="I3362" t="s">
        <v>1181</v>
      </c>
    </row>
    <row r="3363" spans="1:9" x14ac:dyDescent="0.35">
      <c r="A3363" s="2">
        <v>45596</v>
      </c>
      <c r="B3363">
        <v>94</v>
      </c>
      <c r="C3363">
        <v>1111001</v>
      </c>
      <c r="D3363" t="s">
        <v>16</v>
      </c>
      <c r="E3363" t="s">
        <v>59</v>
      </c>
      <c r="F3363" s="3">
        <v>7560.6</v>
      </c>
      <c r="G3363" s="3">
        <v>0</v>
      </c>
      <c r="H3363" s="3">
        <v>7560.6</v>
      </c>
      <c r="I3363" t="s">
        <v>1181</v>
      </c>
    </row>
    <row r="3364" spans="1:9" x14ac:dyDescent="0.35">
      <c r="A3364" s="2">
        <v>45596</v>
      </c>
      <c r="B3364">
        <v>94</v>
      </c>
      <c r="C3364">
        <v>4112003</v>
      </c>
      <c r="D3364" t="s">
        <v>58</v>
      </c>
      <c r="E3364" t="s">
        <v>59</v>
      </c>
      <c r="F3364" s="3">
        <v>0</v>
      </c>
      <c r="G3364" s="3">
        <v>4966.6000000000004</v>
      </c>
      <c r="H3364" s="3">
        <v>-4966.6000000000004</v>
      </c>
      <c r="I3364" t="s">
        <v>1182</v>
      </c>
    </row>
    <row r="3365" spans="1:9" x14ac:dyDescent="0.35">
      <c r="A3365" s="2">
        <v>45596</v>
      </c>
      <c r="B3365">
        <v>94</v>
      </c>
      <c r="C3365">
        <v>2121001</v>
      </c>
      <c r="D3365" t="s">
        <v>27</v>
      </c>
      <c r="E3365" t="s">
        <v>59</v>
      </c>
      <c r="F3365" s="3">
        <v>0</v>
      </c>
      <c r="G3365" s="3">
        <v>794.66</v>
      </c>
      <c r="H3365" s="3">
        <v>-794.66</v>
      </c>
      <c r="I3365" t="s">
        <v>1182</v>
      </c>
    </row>
    <row r="3366" spans="1:9" x14ac:dyDescent="0.35">
      <c r="A3366" s="2">
        <v>45596</v>
      </c>
      <c r="B3366">
        <v>94</v>
      </c>
      <c r="C3366">
        <v>1111001</v>
      </c>
      <c r="D3366" t="s">
        <v>16</v>
      </c>
      <c r="E3366" t="s">
        <v>59</v>
      </c>
      <c r="F3366" s="3">
        <v>5761.26</v>
      </c>
      <c r="G3366" s="3">
        <v>0</v>
      </c>
      <c r="H3366" s="3">
        <v>5761.26</v>
      </c>
      <c r="I3366" t="s">
        <v>1182</v>
      </c>
    </row>
    <row r="3367" spans="1:9" x14ac:dyDescent="0.35">
      <c r="A3367" s="2">
        <v>45596</v>
      </c>
      <c r="B3367">
        <v>94</v>
      </c>
      <c r="C3367">
        <v>4112003</v>
      </c>
      <c r="D3367" t="s">
        <v>58</v>
      </c>
      <c r="E3367" t="s">
        <v>59</v>
      </c>
      <c r="F3367" s="3">
        <v>0</v>
      </c>
      <c r="G3367" s="3">
        <v>6414.29</v>
      </c>
      <c r="H3367" s="3">
        <v>-6414.29</v>
      </c>
      <c r="I3367" t="s">
        <v>1183</v>
      </c>
    </row>
    <row r="3368" spans="1:9" x14ac:dyDescent="0.35">
      <c r="A3368" s="2">
        <v>45596</v>
      </c>
      <c r="B3368">
        <v>94</v>
      </c>
      <c r="C3368">
        <v>2121001</v>
      </c>
      <c r="D3368" t="s">
        <v>27</v>
      </c>
      <c r="E3368" t="s">
        <v>59</v>
      </c>
      <c r="F3368" s="3">
        <v>0</v>
      </c>
      <c r="G3368" s="3">
        <v>1026.29</v>
      </c>
      <c r="H3368" s="3">
        <v>-1026.29</v>
      </c>
      <c r="I3368" t="s">
        <v>1183</v>
      </c>
    </row>
    <row r="3369" spans="1:9" x14ac:dyDescent="0.35">
      <c r="A3369" s="2">
        <v>45596</v>
      </c>
      <c r="B3369">
        <v>94</v>
      </c>
      <c r="C3369">
        <v>1111001</v>
      </c>
      <c r="D3369" t="s">
        <v>16</v>
      </c>
      <c r="E3369" t="s">
        <v>59</v>
      </c>
      <c r="F3369" s="3">
        <v>7440.58</v>
      </c>
      <c r="G3369" s="3">
        <v>0</v>
      </c>
      <c r="H3369" s="3">
        <v>7440.58</v>
      </c>
      <c r="I3369" t="s">
        <v>1183</v>
      </c>
    </row>
    <row r="3370" spans="1:9" x14ac:dyDescent="0.35">
      <c r="A3370" s="2">
        <v>45596</v>
      </c>
      <c r="B3370">
        <v>94</v>
      </c>
      <c r="C3370">
        <v>4112003</v>
      </c>
      <c r="D3370" t="s">
        <v>58</v>
      </c>
      <c r="E3370" t="s">
        <v>59</v>
      </c>
      <c r="F3370" s="3">
        <v>0</v>
      </c>
      <c r="G3370" s="3">
        <v>6517.72</v>
      </c>
      <c r="H3370" s="3">
        <v>-6517.72</v>
      </c>
      <c r="I3370" t="s">
        <v>1184</v>
      </c>
    </row>
    <row r="3371" spans="1:9" x14ac:dyDescent="0.35">
      <c r="A3371" s="2">
        <v>45596</v>
      </c>
      <c r="B3371">
        <v>94</v>
      </c>
      <c r="C3371">
        <v>2121001</v>
      </c>
      <c r="D3371" t="s">
        <v>27</v>
      </c>
      <c r="E3371" t="s">
        <v>59</v>
      </c>
      <c r="F3371" s="3">
        <v>0</v>
      </c>
      <c r="G3371" s="3">
        <v>1042.8399999999999</v>
      </c>
      <c r="H3371" s="3">
        <v>-1042.8399999999999</v>
      </c>
      <c r="I3371" t="s">
        <v>1184</v>
      </c>
    </row>
    <row r="3372" spans="1:9" x14ac:dyDescent="0.35">
      <c r="A3372" s="2">
        <v>45596</v>
      </c>
      <c r="B3372">
        <v>94</v>
      </c>
      <c r="C3372">
        <v>1111001</v>
      </c>
      <c r="D3372" t="s">
        <v>16</v>
      </c>
      <c r="E3372" t="s">
        <v>59</v>
      </c>
      <c r="F3372" s="3">
        <v>7560.56</v>
      </c>
      <c r="G3372" s="3">
        <v>0</v>
      </c>
      <c r="H3372" s="3">
        <v>7560.56</v>
      </c>
      <c r="I3372" t="s">
        <v>1184</v>
      </c>
    </row>
    <row r="3373" spans="1:9" x14ac:dyDescent="0.35">
      <c r="A3373" s="2">
        <v>45596</v>
      </c>
      <c r="B3373">
        <v>94</v>
      </c>
      <c r="C3373">
        <v>4112003</v>
      </c>
      <c r="D3373" t="s">
        <v>58</v>
      </c>
      <c r="E3373" t="s">
        <v>59</v>
      </c>
      <c r="F3373" s="3">
        <v>0</v>
      </c>
      <c r="G3373" s="3">
        <v>4965.99</v>
      </c>
      <c r="H3373" s="3">
        <v>-4965.99</v>
      </c>
      <c r="I3373" t="s">
        <v>1185</v>
      </c>
    </row>
    <row r="3374" spans="1:9" x14ac:dyDescent="0.35">
      <c r="A3374" s="2">
        <v>45596</v>
      </c>
      <c r="B3374">
        <v>94</v>
      </c>
      <c r="C3374">
        <v>2121001</v>
      </c>
      <c r="D3374" t="s">
        <v>27</v>
      </c>
      <c r="E3374" t="s">
        <v>59</v>
      </c>
      <c r="F3374" s="3">
        <v>0</v>
      </c>
      <c r="G3374" s="3">
        <v>794.56</v>
      </c>
      <c r="H3374" s="3">
        <v>-794.56</v>
      </c>
      <c r="I3374" t="s">
        <v>1185</v>
      </c>
    </row>
    <row r="3375" spans="1:9" x14ac:dyDescent="0.35">
      <c r="A3375" s="2">
        <v>45596</v>
      </c>
      <c r="B3375">
        <v>94</v>
      </c>
      <c r="C3375">
        <v>1111001</v>
      </c>
      <c r="D3375" t="s">
        <v>16</v>
      </c>
      <c r="E3375" t="s">
        <v>59</v>
      </c>
      <c r="F3375" s="3">
        <v>5760.55</v>
      </c>
      <c r="G3375" s="3">
        <v>0</v>
      </c>
      <c r="H3375" s="3">
        <v>5760.55</v>
      </c>
      <c r="I3375" t="s">
        <v>1185</v>
      </c>
    </row>
    <row r="3376" spans="1:9" x14ac:dyDescent="0.35">
      <c r="A3376" s="2">
        <v>45596</v>
      </c>
      <c r="B3376">
        <v>94</v>
      </c>
      <c r="C3376">
        <v>4112003</v>
      </c>
      <c r="D3376" t="s">
        <v>58</v>
      </c>
      <c r="E3376" t="s">
        <v>59</v>
      </c>
      <c r="F3376" s="3">
        <v>0</v>
      </c>
      <c r="G3376" s="3">
        <v>4554.3500000000004</v>
      </c>
      <c r="H3376" s="3">
        <v>-4554.3500000000004</v>
      </c>
      <c r="I3376" t="s">
        <v>1186</v>
      </c>
    </row>
    <row r="3377" spans="1:9" x14ac:dyDescent="0.35">
      <c r="A3377" s="2">
        <v>45596</v>
      </c>
      <c r="B3377">
        <v>94</v>
      </c>
      <c r="C3377">
        <v>2121001</v>
      </c>
      <c r="D3377" t="s">
        <v>27</v>
      </c>
      <c r="E3377" t="s">
        <v>59</v>
      </c>
      <c r="F3377" s="3">
        <v>0</v>
      </c>
      <c r="G3377" s="3">
        <v>728.7</v>
      </c>
      <c r="H3377" s="3">
        <v>-728.7</v>
      </c>
      <c r="I3377" t="s">
        <v>1186</v>
      </c>
    </row>
    <row r="3378" spans="1:9" x14ac:dyDescent="0.35">
      <c r="A3378" s="2">
        <v>45596</v>
      </c>
      <c r="B3378">
        <v>94</v>
      </c>
      <c r="C3378">
        <v>1111001</v>
      </c>
      <c r="D3378" t="s">
        <v>16</v>
      </c>
      <c r="E3378" t="s">
        <v>59</v>
      </c>
      <c r="F3378" s="3">
        <v>5283.05</v>
      </c>
      <c r="G3378" s="3">
        <v>0</v>
      </c>
      <c r="H3378" s="3">
        <v>5283.05</v>
      </c>
      <c r="I3378" t="s">
        <v>1186</v>
      </c>
    </row>
    <row r="3379" spans="1:9" x14ac:dyDescent="0.35">
      <c r="A3379" s="2">
        <v>45596</v>
      </c>
      <c r="B3379">
        <v>94</v>
      </c>
      <c r="C3379">
        <v>4112003</v>
      </c>
      <c r="D3379" t="s">
        <v>58</v>
      </c>
      <c r="E3379" t="s">
        <v>59</v>
      </c>
      <c r="F3379" s="3">
        <v>0</v>
      </c>
      <c r="G3379" s="3">
        <v>3923.18</v>
      </c>
      <c r="H3379" s="3">
        <v>-3923.18</v>
      </c>
      <c r="I3379" t="s">
        <v>1187</v>
      </c>
    </row>
    <row r="3380" spans="1:9" x14ac:dyDescent="0.35">
      <c r="A3380" s="2">
        <v>45596</v>
      </c>
      <c r="B3380">
        <v>94</v>
      </c>
      <c r="C3380">
        <v>2121001</v>
      </c>
      <c r="D3380" t="s">
        <v>27</v>
      </c>
      <c r="E3380" t="s">
        <v>59</v>
      </c>
      <c r="F3380" s="3">
        <v>0</v>
      </c>
      <c r="G3380" s="3">
        <v>627.71</v>
      </c>
      <c r="H3380" s="3">
        <v>-627.71</v>
      </c>
      <c r="I3380" t="s">
        <v>1187</v>
      </c>
    </row>
    <row r="3381" spans="1:9" x14ac:dyDescent="0.35">
      <c r="A3381" s="2">
        <v>45596</v>
      </c>
      <c r="B3381">
        <v>94</v>
      </c>
      <c r="C3381">
        <v>1111001</v>
      </c>
      <c r="D3381" t="s">
        <v>16</v>
      </c>
      <c r="E3381" t="s">
        <v>59</v>
      </c>
      <c r="F3381" s="3">
        <v>4550.8900000000003</v>
      </c>
      <c r="G3381" s="3">
        <v>0</v>
      </c>
      <c r="H3381" s="3">
        <v>4550.8900000000003</v>
      </c>
      <c r="I3381" t="s">
        <v>1187</v>
      </c>
    </row>
    <row r="3382" spans="1:9" x14ac:dyDescent="0.35">
      <c r="A3382" s="2">
        <v>45596</v>
      </c>
      <c r="B3382">
        <v>94</v>
      </c>
      <c r="C3382">
        <v>4112003</v>
      </c>
      <c r="D3382" t="s">
        <v>58</v>
      </c>
      <c r="E3382" t="s">
        <v>59</v>
      </c>
      <c r="F3382" s="3">
        <v>0</v>
      </c>
      <c r="G3382" s="3">
        <v>5193.2</v>
      </c>
      <c r="H3382" s="3">
        <v>-5193.2</v>
      </c>
      <c r="I3382" t="s">
        <v>1188</v>
      </c>
    </row>
    <row r="3383" spans="1:9" x14ac:dyDescent="0.35">
      <c r="A3383" s="2">
        <v>45596</v>
      </c>
      <c r="B3383">
        <v>94</v>
      </c>
      <c r="C3383">
        <v>2121001</v>
      </c>
      <c r="D3383" t="s">
        <v>27</v>
      </c>
      <c r="E3383" t="s">
        <v>59</v>
      </c>
      <c r="F3383" s="3">
        <v>0</v>
      </c>
      <c r="G3383" s="3">
        <v>830.91</v>
      </c>
      <c r="H3383" s="3">
        <v>-830.91</v>
      </c>
      <c r="I3383" t="s">
        <v>1188</v>
      </c>
    </row>
    <row r="3384" spans="1:9" x14ac:dyDescent="0.35">
      <c r="A3384" s="2">
        <v>45596</v>
      </c>
      <c r="B3384">
        <v>94</v>
      </c>
      <c r="C3384">
        <v>1111001</v>
      </c>
      <c r="D3384" t="s">
        <v>16</v>
      </c>
      <c r="E3384" t="s">
        <v>59</v>
      </c>
      <c r="F3384" s="3">
        <v>6024.11</v>
      </c>
      <c r="G3384" s="3">
        <v>0</v>
      </c>
      <c r="H3384" s="3">
        <v>6024.11</v>
      </c>
      <c r="I3384" t="s">
        <v>1188</v>
      </c>
    </row>
    <row r="3385" spans="1:9" x14ac:dyDescent="0.35">
      <c r="A3385" s="2">
        <v>45596</v>
      </c>
      <c r="B3385">
        <v>94</v>
      </c>
      <c r="C3385">
        <v>4112003</v>
      </c>
      <c r="D3385" t="s">
        <v>58</v>
      </c>
      <c r="E3385" t="s">
        <v>59</v>
      </c>
      <c r="F3385" s="3">
        <v>0</v>
      </c>
      <c r="G3385" s="3">
        <v>6948.74</v>
      </c>
      <c r="H3385" s="3">
        <v>-6948.74</v>
      </c>
      <c r="I3385" t="s">
        <v>1189</v>
      </c>
    </row>
    <row r="3386" spans="1:9" x14ac:dyDescent="0.35">
      <c r="A3386" s="2">
        <v>45596</v>
      </c>
      <c r="B3386">
        <v>94</v>
      </c>
      <c r="C3386">
        <v>2121001</v>
      </c>
      <c r="D3386" t="s">
        <v>27</v>
      </c>
      <c r="E3386" t="s">
        <v>59</v>
      </c>
      <c r="F3386" s="3">
        <v>0</v>
      </c>
      <c r="G3386" s="3">
        <v>1111.8</v>
      </c>
      <c r="H3386" s="3">
        <v>-1111.8</v>
      </c>
      <c r="I3386" t="s">
        <v>1189</v>
      </c>
    </row>
    <row r="3387" spans="1:9" x14ac:dyDescent="0.35">
      <c r="A3387" s="2">
        <v>45596</v>
      </c>
      <c r="B3387">
        <v>94</v>
      </c>
      <c r="C3387">
        <v>1111001</v>
      </c>
      <c r="D3387" t="s">
        <v>16</v>
      </c>
      <c r="E3387" t="s">
        <v>59</v>
      </c>
      <c r="F3387" s="3">
        <v>8060.54</v>
      </c>
      <c r="G3387" s="3">
        <v>0</v>
      </c>
      <c r="H3387" s="3">
        <v>8060.54</v>
      </c>
      <c r="I3387" t="s">
        <v>1189</v>
      </c>
    </row>
    <row r="3388" spans="1:9" x14ac:dyDescent="0.35">
      <c r="A3388" s="2">
        <v>45596</v>
      </c>
      <c r="B3388">
        <v>94</v>
      </c>
      <c r="C3388">
        <v>4112003</v>
      </c>
      <c r="D3388" t="s">
        <v>58</v>
      </c>
      <c r="E3388" t="s">
        <v>59</v>
      </c>
      <c r="F3388" s="3">
        <v>0</v>
      </c>
      <c r="G3388" s="3">
        <v>8293.65</v>
      </c>
      <c r="H3388" s="3">
        <v>-8293.65</v>
      </c>
      <c r="I3388" t="s">
        <v>1190</v>
      </c>
    </row>
    <row r="3389" spans="1:9" x14ac:dyDescent="0.35">
      <c r="A3389" s="2">
        <v>45596</v>
      </c>
      <c r="B3389">
        <v>94</v>
      </c>
      <c r="C3389">
        <v>2121001</v>
      </c>
      <c r="D3389" t="s">
        <v>27</v>
      </c>
      <c r="E3389" t="s">
        <v>59</v>
      </c>
      <c r="F3389" s="3">
        <v>0</v>
      </c>
      <c r="G3389" s="3">
        <v>1326.98</v>
      </c>
      <c r="H3389" s="3">
        <v>-1326.98</v>
      </c>
      <c r="I3389" t="s">
        <v>1190</v>
      </c>
    </row>
    <row r="3390" spans="1:9" x14ac:dyDescent="0.35">
      <c r="A3390" s="2">
        <v>45596</v>
      </c>
      <c r="B3390">
        <v>94</v>
      </c>
      <c r="C3390">
        <v>1111001</v>
      </c>
      <c r="D3390" t="s">
        <v>16</v>
      </c>
      <c r="E3390" t="s">
        <v>59</v>
      </c>
      <c r="F3390" s="3">
        <v>9620.6299999999992</v>
      </c>
      <c r="G3390" s="3">
        <v>0</v>
      </c>
      <c r="H3390" s="3">
        <v>9620.6299999999992</v>
      </c>
      <c r="I3390" t="s">
        <v>1190</v>
      </c>
    </row>
    <row r="3391" spans="1:9" x14ac:dyDescent="0.35">
      <c r="A3391" s="2">
        <v>45596</v>
      </c>
      <c r="B3391">
        <v>94</v>
      </c>
      <c r="C3391">
        <v>4112003</v>
      </c>
      <c r="D3391" t="s">
        <v>58</v>
      </c>
      <c r="E3391" t="s">
        <v>59</v>
      </c>
      <c r="F3391" s="3">
        <v>0</v>
      </c>
      <c r="G3391" s="3">
        <v>7845.34</v>
      </c>
      <c r="H3391" s="3">
        <v>-7845.34</v>
      </c>
      <c r="I3391" t="s">
        <v>1191</v>
      </c>
    </row>
    <row r="3392" spans="1:9" x14ac:dyDescent="0.35">
      <c r="A3392" s="2">
        <v>45596</v>
      </c>
      <c r="B3392">
        <v>94</v>
      </c>
      <c r="C3392">
        <v>2121001</v>
      </c>
      <c r="D3392" t="s">
        <v>27</v>
      </c>
      <c r="E3392" t="s">
        <v>59</v>
      </c>
      <c r="F3392" s="3">
        <v>0</v>
      </c>
      <c r="G3392" s="3">
        <v>1255.25</v>
      </c>
      <c r="H3392" s="3">
        <v>-1255.25</v>
      </c>
      <c r="I3392" t="s">
        <v>1191</v>
      </c>
    </row>
    <row r="3393" spans="1:9" x14ac:dyDescent="0.35">
      <c r="A3393" s="2">
        <v>45596</v>
      </c>
      <c r="B3393">
        <v>94</v>
      </c>
      <c r="C3393">
        <v>1111001</v>
      </c>
      <c r="D3393" t="s">
        <v>16</v>
      </c>
      <c r="E3393" t="s">
        <v>59</v>
      </c>
      <c r="F3393" s="3">
        <v>9100.59</v>
      </c>
      <c r="G3393" s="3">
        <v>0</v>
      </c>
      <c r="H3393" s="3">
        <v>9100.59</v>
      </c>
      <c r="I3393" t="s">
        <v>1191</v>
      </c>
    </row>
    <row r="3394" spans="1:9" x14ac:dyDescent="0.35">
      <c r="A3394" s="2">
        <v>45596</v>
      </c>
      <c r="B3394">
        <v>94</v>
      </c>
      <c r="C3394">
        <v>4112004</v>
      </c>
      <c r="D3394" t="s">
        <v>74</v>
      </c>
      <c r="E3394" t="s">
        <v>740</v>
      </c>
      <c r="F3394" s="3">
        <v>0</v>
      </c>
      <c r="G3394" s="3">
        <v>5707.1</v>
      </c>
      <c r="H3394" s="3">
        <v>-5707.1</v>
      </c>
      <c r="I3394" t="s">
        <v>1192</v>
      </c>
    </row>
    <row r="3395" spans="1:9" x14ac:dyDescent="0.35">
      <c r="A3395" s="2">
        <v>45596</v>
      </c>
      <c r="B3395">
        <v>94</v>
      </c>
      <c r="C3395">
        <v>2121001</v>
      </c>
      <c r="D3395" t="s">
        <v>27</v>
      </c>
      <c r="E3395" t="s">
        <v>740</v>
      </c>
      <c r="F3395" s="3">
        <v>0</v>
      </c>
      <c r="G3395" s="3">
        <v>913.14</v>
      </c>
      <c r="H3395" s="3">
        <v>-913.14</v>
      </c>
      <c r="I3395" t="s">
        <v>1192</v>
      </c>
    </row>
    <row r="3396" spans="1:9" x14ac:dyDescent="0.35">
      <c r="A3396" s="2">
        <v>45596</v>
      </c>
      <c r="B3396">
        <v>94</v>
      </c>
      <c r="C3396">
        <v>1111001</v>
      </c>
      <c r="D3396" t="s">
        <v>16</v>
      </c>
      <c r="E3396" t="s">
        <v>740</v>
      </c>
      <c r="F3396" s="3">
        <v>198.61</v>
      </c>
      <c r="G3396" s="3">
        <v>0</v>
      </c>
      <c r="H3396" s="3">
        <v>198.61</v>
      </c>
      <c r="I3396" t="s">
        <v>1192</v>
      </c>
    </row>
    <row r="3397" spans="1:9" x14ac:dyDescent="0.35">
      <c r="A3397" s="2">
        <v>45596</v>
      </c>
      <c r="B3397">
        <v>94</v>
      </c>
      <c r="C3397">
        <v>2124007</v>
      </c>
      <c r="D3397" t="s">
        <v>30</v>
      </c>
      <c r="E3397" t="s">
        <v>740</v>
      </c>
      <c r="F3397" s="3">
        <v>0</v>
      </c>
      <c r="G3397" s="3">
        <v>198.61</v>
      </c>
      <c r="H3397" s="3">
        <v>-198.61</v>
      </c>
      <c r="I3397" t="s">
        <v>1192</v>
      </c>
    </row>
    <row r="3398" spans="1:9" x14ac:dyDescent="0.35">
      <c r="A3398" s="2">
        <v>45596</v>
      </c>
      <c r="B3398">
        <v>94</v>
      </c>
      <c r="C3398">
        <v>1111001</v>
      </c>
      <c r="D3398" t="s">
        <v>16</v>
      </c>
      <c r="E3398" t="s">
        <v>740</v>
      </c>
      <c r="F3398" s="3">
        <v>6620.24</v>
      </c>
      <c r="G3398" s="3">
        <v>0</v>
      </c>
      <c r="H3398" s="3">
        <v>6620.24</v>
      </c>
      <c r="I3398" t="s">
        <v>1192</v>
      </c>
    </row>
    <row r="3399" spans="1:9" x14ac:dyDescent="0.35">
      <c r="A3399" s="2">
        <v>45596</v>
      </c>
      <c r="B3399">
        <v>94</v>
      </c>
      <c r="C3399">
        <v>4112004</v>
      </c>
      <c r="D3399" t="s">
        <v>74</v>
      </c>
      <c r="E3399" t="s">
        <v>79</v>
      </c>
      <c r="F3399" s="3">
        <v>0</v>
      </c>
      <c r="G3399" s="3">
        <v>2531.91</v>
      </c>
      <c r="H3399" s="3">
        <v>-2531.91</v>
      </c>
      <c r="I3399" t="s">
        <v>1193</v>
      </c>
    </row>
    <row r="3400" spans="1:9" x14ac:dyDescent="0.35">
      <c r="A3400" s="2">
        <v>45596</v>
      </c>
      <c r="B3400">
        <v>94</v>
      </c>
      <c r="C3400">
        <v>2121001</v>
      </c>
      <c r="D3400" t="s">
        <v>27</v>
      </c>
      <c r="E3400" t="s">
        <v>79</v>
      </c>
      <c r="F3400" s="3">
        <v>0</v>
      </c>
      <c r="G3400" s="3">
        <v>405.11</v>
      </c>
      <c r="H3400" s="3">
        <v>-405.11</v>
      </c>
      <c r="I3400" t="s">
        <v>1193</v>
      </c>
    </row>
    <row r="3401" spans="1:9" x14ac:dyDescent="0.35">
      <c r="A3401" s="2">
        <v>45596</v>
      </c>
      <c r="B3401">
        <v>94</v>
      </c>
      <c r="C3401">
        <v>1111001</v>
      </c>
      <c r="D3401" t="s">
        <v>16</v>
      </c>
      <c r="E3401" t="s">
        <v>79</v>
      </c>
      <c r="F3401" s="3">
        <v>2937.02</v>
      </c>
      <c r="G3401" s="3">
        <v>0</v>
      </c>
      <c r="H3401" s="3">
        <v>2937.02</v>
      </c>
      <c r="I3401" t="s">
        <v>1193</v>
      </c>
    </row>
    <row r="3402" spans="1:9" x14ac:dyDescent="0.35">
      <c r="A3402" s="2">
        <v>45596</v>
      </c>
      <c r="B3402">
        <v>94</v>
      </c>
      <c r="C3402">
        <v>4112004</v>
      </c>
      <c r="D3402" t="s">
        <v>74</v>
      </c>
      <c r="E3402" t="s">
        <v>195</v>
      </c>
      <c r="F3402" s="3">
        <v>0</v>
      </c>
      <c r="G3402" s="3">
        <v>3479.72</v>
      </c>
      <c r="H3402" s="3">
        <v>-3479.72</v>
      </c>
      <c r="I3402" t="s">
        <v>1194</v>
      </c>
    </row>
    <row r="3403" spans="1:9" x14ac:dyDescent="0.35">
      <c r="A3403" s="2">
        <v>45596</v>
      </c>
      <c r="B3403">
        <v>94</v>
      </c>
      <c r="C3403">
        <v>2121001</v>
      </c>
      <c r="D3403" t="s">
        <v>27</v>
      </c>
      <c r="E3403" t="s">
        <v>195</v>
      </c>
      <c r="F3403" s="3">
        <v>0</v>
      </c>
      <c r="G3403" s="3">
        <v>556.76</v>
      </c>
      <c r="H3403" s="3">
        <v>-556.76</v>
      </c>
      <c r="I3403" t="s">
        <v>1194</v>
      </c>
    </row>
    <row r="3404" spans="1:9" x14ac:dyDescent="0.35">
      <c r="A3404" s="2">
        <v>45596</v>
      </c>
      <c r="B3404">
        <v>94</v>
      </c>
      <c r="C3404">
        <v>1111001</v>
      </c>
      <c r="D3404" t="s">
        <v>16</v>
      </c>
      <c r="E3404" t="s">
        <v>195</v>
      </c>
      <c r="F3404" s="3">
        <v>4036.48</v>
      </c>
      <c r="G3404" s="3">
        <v>0</v>
      </c>
      <c r="H3404" s="3">
        <v>4036.48</v>
      </c>
      <c r="I3404" t="s">
        <v>1194</v>
      </c>
    </row>
    <row r="3405" spans="1:9" x14ac:dyDescent="0.35">
      <c r="A3405" s="2">
        <v>45596</v>
      </c>
      <c r="B3405">
        <v>94</v>
      </c>
      <c r="C3405">
        <v>4112004</v>
      </c>
      <c r="D3405" t="s">
        <v>74</v>
      </c>
      <c r="E3405" t="s">
        <v>200</v>
      </c>
      <c r="F3405" s="3">
        <v>0</v>
      </c>
      <c r="G3405" s="3">
        <v>1799.12</v>
      </c>
      <c r="H3405" s="3">
        <v>-1799.12</v>
      </c>
      <c r="I3405" t="s">
        <v>1195</v>
      </c>
    </row>
    <row r="3406" spans="1:9" x14ac:dyDescent="0.35">
      <c r="A3406" s="2">
        <v>45596</v>
      </c>
      <c r="B3406">
        <v>94</v>
      </c>
      <c r="C3406">
        <v>2121001</v>
      </c>
      <c r="D3406" t="s">
        <v>27</v>
      </c>
      <c r="E3406" t="s">
        <v>200</v>
      </c>
      <c r="F3406" s="3">
        <v>0</v>
      </c>
      <c r="G3406" s="3">
        <v>287.86</v>
      </c>
      <c r="H3406" s="3">
        <v>-287.86</v>
      </c>
      <c r="I3406" t="s">
        <v>1195</v>
      </c>
    </row>
    <row r="3407" spans="1:9" x14ac:dyDescent="0.35">
      <c r="A3407" s="2">
        <v>45596</v>
      </c>
      <c r="B3407">
        <v>94</v>
      </c>
      <c r="C3407">
        <v>1111001</v>
      </c>
      <c r="D3407" t="s">
        <v>16</v>
      </c>
      <c r="E3407" t="s">
        <v>200</v>
      </c>
      <c r="F3407" s="3">
        <v>2086.98</v>
      </c>
      <c r="G3407" s="3">
        <v>0</v>
      </c>
      <c r="H3407" s="3">
        <v>2086.98</v>
      </c>
      <c r="I3407" t="s">
        <v>1195</v>
      </c>
    </row>
    <row r="3408" spans="1:9" x14ac:dyDescent="0.35">
      <c r="A3408" s="2">
        <v>45596</v>
      </c>
      <c r="B3408">
        <v>94</v>
      </c>
      <c r="C3408">
        <v>4112004</v>
      </c>
      <c r="D3408" t="s">
        <v>74</v>
      </c>
      <c r="E3408" t="s">
        <v>197</v>
      </c>
      <c r="F3408" s="3">
        <v>0</v>
      </c>
      <c r="G3408" s="3">
        <v>12895.51</v>
      </c>
      <c r="H3408" s="3">
        <v>-12895.51</v>
      </c>
      <c r="I3408" t="s">
        <v>1196</v>
      </c>
    </row>
    <row r="3409" spans="1:9" x14ac:dyDescent="0.35">
      <c r="A3409" s="2">
        <v>45596</v>
      </c>
      <c r="B3409">
        <v>94</v>
      </c>
      <c r="C3409">
        <v>2121001</v>
      </c>
      <c r="D3409" t="s">
        <v>27</v>
      </c>
      <c r="E3409" t="s">
        <v>197</v>
      </c>
      <c r="F3409" s="3">
        <v>0</v>
      </c>
      <c r="G3409" s="3">
        <v>2063.2800000000002</v>
      </c>
      <c r="H3409" s="3">
        <v>-2063.2800000000002</v>
      </c>
      <c r="I3409" t="s">
        <v>1196</v>
      </c>
    </row>
    <row r="3410" spans="1:9" x14ac:dyDescent="0.35">
      <c r="A3410" s="2">
        <v>45596</v>
      </c>
      <c r="B3410">
        <v>94</v>
      </c>
      <c r="C3410">
        <v>1141002</v>
      </c>
      <c r="D3410" t="s">
        <v>23</v>
      </c>
      <c r="E3410" t="s">
        <v>197</v>
      </c>
      <c r="F3410" s="3">
        <v>1547.46</v>
      </c>
      <c r="G3410" s="3">
        <v>0</v>
      </c>
      <c r="H3410" s="3">
        <v>1547.46</v>
      </c>
      <c r="I3410" t="s">
        <v>1196</v>
      </c>
    </row>
    <row r="3411" spans="1:9" x14ac:dyDescent="0.35">
      <c r="A3411" s="2">
        <v>45596</v>
      </c>
      <c r="B3411">
        <v>94</v>
      </c>
      <c r="C3411">
        <v>1142001</v>
      </c>
      <c r="D3411" t="s">
        <v>199</v>
      </c>
      <c r="E3411" t="s">
        <v>197</v>
      </c>
      <c r="F3411" s="3">
        <v>257.91000000000003</v>
      </c>
      <c r="G3411" s="3">
        <v>0</v>
      </c>
      <c r="H3411" s="3">
        <v>257.91000000000003</v>
      </c>
      <c r="I3411" t="s">
        <v>1196</v>
      </c>
    </row>
    <row r="3412" spans="1:9" x14ac:dyDescent="0.35">
      <c r="A3412" s="2">
        <v>45596</v>
      </c>
      <c r="B3412">
        <v>94</v>
      </c>
      <c r="C3412">
        <v>6121040</v>
      </c>
      <c r="D3412" t="s">
        <v>98</v>
      </c>
      <c r="E3412" t="s">
        <v>197</v>
      </c>
      <c r="F3412" s="3">
        <v>299.18</v>
      </c>
      <c r="G3412" s="3">
        <v>0</v>
      </c>
      <c r="H3412" s="3">
        <v>299.18</v>
      </c>
      <c r="I3412" t="s">
        <v>1196</v>
      </c>
    </row>
    <row r="3413" spans="1:9" x14ac:dyDescent="0.35">
      <c r="A3413" s="2">
        <v>45596</v>
      </c>
      <c r="B3413">
        <v>94</v>
      </c>
      <c r="C3413">
        <v>1111001</v>
      </c>
      <c r="D3413" t="s">
        <v>16</v>
      </c>
      <c r="E3413" t="s">
        <v>197</v>
      </c>
      <c r="F3413" s="3">
        <v>12854.24</v>
      </c>
      <c r="G3413" s="3">
        <v>0</v>
      </c>
      <c r="H3413" s="3">
        <v>12854.24</v>
      </c>
      <c r="I3413" t="s">
        <v>1196</v>
      </c>
    </row>
    <row r="3414" spans="1:9" x14ac:dyDescent="0.35">
      <c r="A3414" s="2">
        <v>45596</v>
      </c>
      <c r="B3414">
        <v>94</v>
      </c>
      <c r="C3414">
        <v>5131001</v>
      </c>
      <c r="D3414" t="s">
        <v>86</v>
      </c>
      <c r="E3414" t="s">
        <v>1197</v>
      </c>
      <c r="F3414" s="3">
        <v>455</v>
      </c>
      <c r="G3414" s="3">
        <v>0</v>
      </c>
      <c r="H3414" s="3">
        <v>455</v>
      </c>
      <c r="I3414" t="s">
        <v>574</v>
      </c>
    </row>
    <row r="3415" spans="1:9" x14ac:dyDescent="0.35">
      <c r="A3415" s="2">
        <v>45596</v>
      </c>
      <c r="B3415">
        <v>94</v>
      </c>
      <c r="C3415">
        <v>5131005</v>
      </c>
      <c r="D3415" t="s">
        <v>205</v>
      </c>
      <c r="E3415" t="s">
        <v>1197</v>
      </c>
      <c r="F3415" s="3">
        <v>5910.8</v>
      </c>
      <c r="G3415" s="3">
        <v>0</v>
      </c>
      <c r="H3415" s="3">
        <v>5910.8</v>
      </c>
      <c r="I3415" t="s">
        <v>574</v>
      </c>
    </row>
    <row r="3416" spans="1:9" x14ac:dyDescent="0.35">
      <c r="A3416" s="2">
        <v>45596</v>
      </c>
      <c r="B3416">
        <v>94</v>
      </c>
      <c r="C3416">
        <v>5131008</v>
      </c>
      <c r="D3416" t="s">
        <v>89</v>
      </c>
      <c r="E3416" t="s">
        <v>1197</v>
      </c>
      <c r="F3416" s="3">
        <v>95.55</v>
      </c>
      <c r="G3416" s="3">
        <v>0</v>
      </c>
      <c r="H3416" s="3">
        <v>95.55</v>
      </c>
      <c r="I3416" t="s">
        <v>574</v>
      </c>
    </row>
    <row r="3417" spans="1:9" x14ac:dyDescent="0.35">
      <c r="A3417" s="2">
        <v>45596</v>
      </c>
      <c r="B3417">
        <v>94</v>
      </c>
      <c r="C3417">
        <v>5131009</v>
      </c>
      <c r="D3417" t="s">
        <v>90</v>
      </c>
      <c r="E3417" t="s">
        <v>1197</v>
      </c>
      <c r="F3417" s="3">
        <v>18.96</v>
      </c>
      <c r="G3417" s="3">
        <v>0</v>
      </c>
      <c r="H3417" s="3">
        <v>18.96</v>
      </c>
      <c r="I3417" t="s">
        <v>574</v>
      </c>
    </row>
    <row r="3418" spans="1:9" x14ac:dyDescent="0.35">
      <c r="A3418" s="2">
        <v>45596</v>
      </c>
      <c r="B3418">
        <v>94</v>
      </c>
      <c r="C3418">
        <v>5131010</v>
      </c>
      <c r="D3418" t="s">
        <v>91</v>
      </c>
      <c r="E3418" t="s">
        <v>1197</v>
      </c>
      <c r="F3418" s="3">
        <v>37.92</v>
      </c>
      <c r="G3418" s="3">
        <v>0</v>
      </c>
      <c r="H3418" s="3">
        <v>37.92</v>
      </c>
      <c r="I3418" t="s">
        <v>574</v>
      </c>
    </row>
    <row r="3419" spans="1:9" x14ac:dyDescent="0.35">
      <c r="A3419" s="2">
        <v>45596</v>
      </c>
      <c r="B3419">
        <v>94</v>
      </c>
      <c r="C3419">
        <v>5131012</v>
      </c>
      <c r="D3419" t="s">
        <v>206</v>
      </c>
      <c r="E3419" t="s">
        <v>1197</v>
      </c>
      <c r="F3419" s="3">
        <v>50.05</v>
      </c>
      <c r="G3419" s="3">
        <v>0</v>
      </c>
      <c r="H3419" s="3">
        <v>50.05</v>
      </c>
      <c r="I3419" t="s">
        <v>574</v>
      </c>
    </row>
    <row r="3420" spans="1:9" x14ac:dyDescent="0.35">
      <c r="A3420" s="2">
        <v>45596</v>
      </c>
      <c r="B3420">
        <v>94</v>
      </c>
      <c r="C3420">
        <v>5131013</v>
      </c>
      <c r="D3420" t="s">
        <v>92</v>
      </c>
      <c r="E3420" t="s">
        <v>1197</v>
      </c>
      <c r="F3420" s="3">
        <v>9.1</v>
      </c>
      <c r="G3420" s="3">
        <v>0</v>
      </c>
      <c r="H3420" s="3">
        <v>9.1</v>
      </c>
      <c r="I3420" t="s">
        <v>574</v>
      </c>
    </row>
    <row r="3421" spans="1:9" x14ac:dyDescent="0.35">
      <c r="A3421" s="2">
        <v>45596</v>
      </c>
      <c r="B3421">
        <v>94</v>
      </c>
      <c r="C3421">
        <v>5131014</v>
      </c>
      <c r="D3421" t="s">
        <v>207</v>
      </c>
      <c r="E3421" t="s">
        <v>1197</v>
      </c>
      <c r="F3421" s="3">
        <v>9.1</v>
      </c>
      <c r="G3421" s="3">
        <v>0</v>
      </c>
      <c r="H3421" s="3">
        <v>9.1</v>
      </c>
      <c r="I3421" t="s">
        <v>574</v>
      </c>
    </row>
    <row r="3422" spans="1:9" x14ac:dyDescent="0.35">
      <c r="A3422" s="2">
        <v>45596</v>
      </c>
      <c r="B3422">
        <v>94</v>
      </c>
      <c r="C3422">
        <v>5131006</v>
      </c>
      <c r="D3422" t="s">
        <v>125</v>
      </c>
      <c r="E3422" t="s">
        <v>1197</v>
      </c>
      <c r="F3422" s="3">
        <v>26380.35</v>
      </c>
      <c r="G3422" s="3">
        <v>0</v>
      </c>
      <c r="H3422" s="3">
        <v>26380.35</v>
      </c>
      <c r="I3422" t="s">
        <v>574</v>
      </c>
    </row>
    <row r="3423" spans="1:9" x14ac:dyDescent="0.35">
      <c r="A3423" s="2">
        <v>45596</v>
      </c>
      <c r="B3423">
        <v>94</v>
      </c>
      <c r="C3423">
        <v>2131002</v>
      </c>
      <c r="D3423" t="s">
        <v>31</v>
      </c>
      <c r="E3423" t="s">
        <v>1197</v>
      </c>
      <c r="F3423" s="3">
        <v>0</v>
      </c>
      <c r="G3423" s="3">
        <v>18.2</v>
      </c>
      <c r="H3423" s="3">
        <v>-18.2</v>
      </c>
      <c r="I3423" t="s">
        <v>574</v>
      </c>
    </row>
    <row r="3424" spans="1:9" x14ac:dyDescent="0.35">
      <c r="A3424" s="2">
        <v>45596</v>
      </c>
      <c r="B3424">
        <v>94</v>
      </c>
      <c r="C3424">
        <v>2131003</v>
      </c>
      <c r="D3424" t="s">
        <v>32</v>
      </c>
      <c r="E3424" t="s">
        <v>1197</v>
      </c>
      <c r="F3424" s="3">
        <v>0</v>
      </c>
      <c r="G3424" s="3">
        <v>2.2799999999999998</v>
      </c>
      <c r="H3424" s="3">
        <v>-2.2799999999999998</v>
      </c>
      <c r="I3424" t="s">
        <v>574</v>
      </c>
    </row>
    <row r="3425" spans="1:9" x14ac:dyDescent="0.35">
      <c r="A3425" s="2">
        <v>45596</v>
      </c>
      <c r="B3425">
        <v>94</v>
      </c>
      <c r="C3425">
        <v>2131004</v>
      </c>
      <c r="D3425" t="s">
        <v>33</v>
      </c>
      <c r="E3425" t="s">
        <v>1197</v>
      </c>
      <c r="F3425" s="3">
        <v>0</v>
      </c>
      <c r="G3425" s="3">
        <v>4.55</v>
      </c>
      <c r="H3425" s="3">
        <v>-4.55</v>
      </c>
      <c r="I3425" t="s">
        <v>574</v>
      </c>
    </row>
    <row r="3426" spans="1:9" x14ac:dyDescent="0.35">
      <c r="A3426" s="2">
        <v>45596</v>
      </c>
      <c r="B3426">
        <v>94</v>
      </c>
      <c r="C3426">
        <v>2141001</v>
      </c>
      <c r="D3426" t="s">
        <v>35</v>
      </c>
      <c r="E3426" t="s">
        <v>1197</v>
      </c>
      <c r="F3426" s="3">
        <v>0</v>
      </c>
      <c r="G3426" s="3">
        <v>50.05</v>
      </c>
      <c r="H3426" s="3">
        <v>-50.05</v>
      </c>
      <c r="I3426" t="s">
        <v>574</v>
      </c>
    </row>
    <row r="3427" spans="1:9" x14ac:dyDescent="0.35">
      <c r="A3427" s="2">
        <v>45596</v>
      </c>
      <c r="B3427">
        <v>94</v>
      </c>
      <c r="C3427">
        <v>2141002</v>
      </c>
      <c r="D3427" t="s">
        <v>36</v>
      </c>
      <c r="E3427" t="s">
        <v>1197</v>
      </c>
      <c r="F3427" s="3">
        <v>0</v>
      </c>
      <c r="G3427" s="3">
        <v>9.1</v>
      </c>
      <c r="H3427" s="3">
        <v>-9.1</v>
      </c>
      <c r="I3427" t="s">
        <v>574</v>
      </c>
    </row>
    <row r="3428" spans="1:9" x14ac:dyDescent="0.35">
      <c r="A3428" s="2">
        <v>45596</v>
      </c>
      <c r="B3428">
        <v>94</v>
      </c>
      <c r="C3428">
        <v>2141003</v>
      </c>
      <c r="D3428" t="s">
        <v>37</v>
      </c>
      <c r="E3428" t="s">
        <v>1197</v>
      </c>
      <c r="F3428" s="3">
        <v>0</v>
      </c>
      <c r="G3428" s="3">
        <v>9.1</v>
      </c>
      <c r="H3428" s="3">
        <v>-9.1</v>
      </c>
      <c r="I3428" t="s">
        <v>574</v>
      </c>
    </row>
    <row r="3429" spans="1:9" x14ac:dyDescent="0.35">
      <c r="A3429" s="2">
        <v>45596</v>
      </c>
      <c r="B3429">
        <v>94</v>
      </c>
      <c r="C3429">
        <v>2161004</v>
      </c>
      <c r="D3429" t="s">
        <v>38</v>
      </c>
      <c r="E3429" t="s">
        <v>1197</v>
      </c>
      <c r="F3429" s="3">
        <v>0</v>
      </c>
      <c r="G3429" s="3">
        <v>18.96</v>
      </c>
      <c r="H3429" s="3">
        <v>-18.96</v>
      </c>
      <c r="I3429" t="s">
        <v>574</v>
      </c>
    </row>
    <row r="3430" spans="1:9" x14ac:dyDescent="0.35">
      <c r="A3430" s="2">
        <v>45596</v>
      </c>
      <c r="B3430">
        <v>94</v>
      </c>
      <c r="C3430">
        <v>2161005</v>
      </c>
      <c r="D3430" t="s">
        <v>39</v>
      </c>
      <c r="E3430" t="s">
        <v>1197</v>
      </c>
      <c r="F3430" s="3">
        <v>0</v>
      </c>
      <c r="G3430" s="3">
        <v>37.92</v>
      </c>
      <c r="H3430" s="3">
        <v>-37.92</v>
      </c>
      <c r="I3430" t="s">
        <v>574</v>
      </c>
    </row>
    <row r="3431" spans="1:9" x14ac:dyDescent="0.35">
      <c r="A3431" s="2">
        <v>45596</v>
      </c>
      <c r="B3431">
        <v>94</v>
      </c>
      <c r="C3431">
        <v>2241001</v>
      </c>
      <c r="D3431" t="s">
        <v>40</v>
      </c>
      <c r="E3431" t="s">
        <v>1197</v>
      </c>
      <c r="F3431" s="3">
        <v>0</v>
      </c>
      <c r="G3431" s="3">
        <v>95.55</v>
      </c>
      <c r="H3431" s="3">
        <v>-95.55</v>
      </c>
      <c r="I3431" t="s">
        <v>574</v>
      </c>
    </row>
    <row r="3432" spans="1:9" x14ac:dyDescent="0.35">
      <c r="A3432" s="2">
        <v>45596</v>
      </c>
      <c r="B3432">
        <v>94</v>
      </c>
      <c r="C3432">
        <v>2161001</v>
      </c>
      <c r="D3432" t="s">
        <v>93</v>
      </c>
      <c r="E3432" t="s">
        <v>1197</v>
      </c>
      <c r="F3432" s="3">
        <v>0</v>
      </c>
      <c r="G3432" s="3">
        <v>32721.119999999999</v>
      </c>
      <c r="H3432" s="3">
        <v>-32721.119999999999</v>
      </c>
      <c r="I3432" t="s">
        <v>574</v>
      </c>
    </row>
    <row r="3433" spans="1:9" x14ac:dyDescent="0.35">
      <c r="A3433" s="2">
        <v>45596</v>
      </c>
      <c r="B3433">
        <v>94</v>
      </c>
      <c r="C3433">
        <v>6121040</v>
      </c>
      <c r="D3433" t="s">
        <v>98</v>
      </c>
      <c r="E3433" t="s">
        <v>99</v>
      </c>
      <c r="F3433" s="3">
        <v>6045.33</v>
      </c>
      <c r="G3433" s="3">
        <v>0</v>
      </c>
      <c r="H3433" s="3">
        <v>6045.33</v>
      </c>
      <c r="I3433" t="s">
        <v>554</v>
      </c>
    </row>
    <row r="3434" spans="1:9" x14ac:dyDescent="0.35">
      <c r="A3434" s="2">
        <v>45596</v>
      </c>
      <c r="B3434">
        <v>94</v>
      </c>
      <c r="C3434">
        <v>1111001</v>
      </c>
      <c r="D3434" t="s">
        <v>16</v>
      </c>
      <c r="E3434" t="s">
        <v>1198</v>
      </c>
      <c r="F3434" s="3">
        <v>856.84</v>
      </c>
      <c r="G3434" s="3">
        <v>0</v>
      </c>
      <c r="H3434" s="3">
        <v>856.84</v>
      </c>
      <c r="I3434" t="s">
        <v>554</v>
      </c>
    </row>
    <row r="3435" spans="1:9" x14ac:dyDescent="0.35">
      <c r="A3435" s="2">
        <v>45596</v>
      </c>
      <c r="B3435">
        <v>94</v>
      </c>
      <c r="C3435">
        <v>2114001</v>
      </c>
      <c r="D3435" t="s">
        <v>97</v>
      </c>
      <c r="E3435" t="s">
        <v>1768</v>
      </c>
      <c r="F3435" s="3">
        <v>80105</v>
      </c>
      <c r="G3435" s="3">
        <v>0</v>
      </c>
      <c r="H3435" s="3">
        <v>80105</v>
      </c>
      <c r="I3435" t="s">
        <v>554</v>
      </c>
    </row>
    <row r="3436" spans="1:9" x14ac:dyDescent="0.35">
      <c r="A3436" s="2">
        <v>45596</v>
      </c>
      <c r="B3436">
        <v>94</v>
      </c>
      <c r="C3436">
        <v>2124007</v>
      </c>
      <c r="D3436" t="s">
        <v>30</v>
      </c>
      <c r="E3436" t="s">
        <v>214</v>
      </c>
      <c r="F3436" s="3">
        <v>293.72000000000003</v>
      </c>
      <c r="G3436" s="3">
        <v>0</v>
      </c>
      <c r="H3436" s="3">
        <v>293.72000000000003</v>
      </c>
      <c r="I3436" t="s">
        <v>554</v>
      </c>
    </row>
    <row r="3437" spans="1:9" x14ac:dyDescent="0.35">
      <c r="A3437" s="2">
        <v>45596</v>
      </c>
      <c r="B3437">
        <v>94</v>
      </c>
      <c r="C3437">
        <v>2124009</v>
      </c>
      <c r="D3437" t="s">
        <v>154</v>
      </c>
      <c r="E3437" t="s">
        <v>296</v>
      </c>
      <c r="F3437" s="3">
        <v>810.91</v>
      </c>
      <c r="G3437" s="3">
        <v>0</v>
      </c>
      <c r="H3437" s="3">
        <v>810.91</v>
      </c>
      <c r="I3437" t="s">
        <v>554</v>
      </c>
    </row>
    <row r="3438" spans="1:9" x14ac:dyDescent="0.35">
      <c r="A3438" s="2">
        <v>45596</v>
      </c>
      <c r="B3438">
        <v>94</v>
      </c>
      <c r="C3438">
        <v>2124004</v>
      </c>
      <c r="D3438" t="s">
        <v>29</v>
      </c>
      <c r="E3438" t="s">
        <v>119</v>
      </c>
      <c r="F3438" s="3">
        <v>2168.6999999999998</v>
      </c>
      <c r="G3438" s="3">
        <v>0</v>
      </c>
      <c r="H3438" s="3">
        <v>2168.6999999999998</v>
      </c>
      <c r="I3438" t="s">
        <v>554</v>
      </c>
    </row>
    <row r="3439" spans="1:9" x14ac:dyDescent="0.35">
      <c r="A3439" s="2">
        <v>45596</v>
      </c>
      <c r="B3439">
        <v>94</v>
      </c>
      <c r="C3439">
        <v>5132002</v>
      </c>
      <c r="D3439" t="s">
        <v>115</v>
      </c>
      <c r="E3439" t="s">
        <v>1199</v>
      </c>
      <c r="F3439" s="3">
        <v>23000</v>
      </c>
      <c r="G3439" s="3">
        <v>0</v>
      </c>
      <c r="H3439" s="3">
        <v>23000</v>
      </c>
      <c r="I3439" t="s">
        <v>554</v>
      </c>
    </row>
    <row r="3440" spans="1:9" x14ac:dyDescent="0.35">
      <c r="A3440" s="2">
        <v>45596</v>
      </c>
      <c r="B3440">
        <v>94</v>
      </c>
      <c r="C3440">
        <v>5132002</v>
      </c>
      <c r="D3440" t="s">
        <v>115</v>
      </c>
      <c r="E3440" t="s">
        <v>1200</v>
      </c>
      <c r="F3440" s="3">
        <v>4096.08</v>
      </c>
      <c r="G3440" s="3">
        <v>0</v>
      </c>
      <c r="H3440" s="3">
        <v>4096.08</v>
      </c>
      <c r="I3440" t="s">
        <v>554</v>
      </c>
    </row>
    <row r="3441" spans="1:9" x14ac:dyDescent="0.35">
      <c r="A3441" s="2">
        <v>45596</v>
      </c>
      <c r="B3441">
        <v>94</v>
      </c>
      <c r="C3441">
        <v>2114010</v>
      </c>
      <c r="D3441" t="s">
        <v>48</v>
      </c>
      <c r="E3441" t="s">
        <v>105</v>
      </c>
      <c r="F3441" s="3">
        <v>6877.5</v>
      </c>
      <c r="G3441" s="3">
        <v>0</v>
      </c>
      <c r="H3441" s="3">
        <v>6877.5</v>
      </c>
      <c r="I3441" t="s">
        <v>554</v>
      </c>
    </row>
    <row r="3442" spans="1:9" x14ac:dyDescent="0.35">
      <c r="A3442" s="2">
        <v>45596</v>
      </c>
      <c r="B3442">
        <v>94</v>
      </c>
      <c r="C3442">
        <v>6121025</v>
      </c>
      <c r="D3442" t="s">
        <v>134</v>
      </c>
      <c r="E3442" t="s">
        <v>419</v>
      </c>
      <c r="F3442" s="3">
        <v>4120.5600000000004</v>
      </c>
      <c r="G3442" s="3">
        <v>0</v>
      </c>
      <c r="H3442" s="3">
        <v>4120.5600000000004</v>
      </c>
      <c r="I3442" t="s">
        <v>554</v>
      </c>
    </row>
    <row r="3443" spans="1:9" x14ac:dyDescent="0.35">
      <c r="A3443" s="2">
        <v>45596</v>
      </c>
      <c r="B3443">
        <v>94</v>
      </c>
      <c r="C3443">
        <v>6121023</v>
      </c>
      <c r="D3443" t="s">
        <v>49</v>
      </c>
      <c r="E3443" t="s">
        <v>1201</v>
      </c>
      <c r="F3443" s="3">
        <v>320</v>
      </c>
      <c r="G3443" s="3">
        <v>0</v>
      </c>
      <c r="H3443" s="3">
        <v>320</v>
      </c>
      <c r="I3443" t="s">
        <v>554</v>
      </c>
    </row>
    <row r="3444" spans="1:9" x14ac:dyDescent="0.35">
      <c r="A3444" s="2">
        <v>45596</v>
      </c>
      <c r="B3444">
        <v>94</v>
      </c>
      <c r="C3444">
        <v>5131016</v>
      </c>
      <c r="D3444" t="s">
        <v>238</v>
      </c>
      <c r="E3444" t="s">
        <v>811</v>
      </c>
      <c r="F3444" s="3">
        <v>860</v>
      </c>
      <c r="G3444" s="3">
        <v>0</v>
      </c>
      <c r="H3444" s="3">
        <v>860</v>
      </c>
      <c r="I3444" t="s">
        <v>554</v>
      </c>
    </row>
    <row r="3445" spans="1:9" x14ac:dyDescent="0.35">
      <c r="A3445" s="2">
        <v>45596</v>
      </c>
      <c r="B3445">
        <v>94</v>
      </c>
      <c r="C3445">
        <v>1111001</v>
      </c>
      <c r="D3445" t="s">
        <v>16</v>
      </c>
      <c r="E3445" t="s">
        <v>1202</v>
      </c>
      <c r="F3445" s="3">
        <v>6850</v>
      </c>
      <c r="G3445" s="3">
        <v>0</v>
      </c>
      <c r="H3445" s="3">
        <v>6850</v>
      </c>
      <c r="I3445" t="s">
        <v>554</v>
      </c>
    </row>
    <row r="3446" spans="1:9" x14ac:dyDescent="0.35">
      <c r="A3446" s="2">
        <v>45596</v>
      </c>
      <c r="B3446">
        <v>94</v>
      </c>
      <c r="C3446">
        <v>1111001</v>
      </c>
      <c r="D3446" t="s">
        <v>16</v>
      </c>
      <c r="E3446" t="s">
        <v>213</v>
      </c>
      <c r="F3446" s="3">
        <v>38220</v>
      </c>
      <c r="G3446" s="3">
        <v>0</v>
      </c>
      <c r="H3446" s="3">
        <v>38220</v>
      </c>
      <c r="I3446" t="s">
        <v>554</v>
      </c>
    </row>
    <row r="3447" spans="1:9" x14ac:dyDescent="0.35">
      <c r="A3447" s="2">
        <v>45596</v>
      </c>
      <c r="B3447">
        <v>94</v>
      </c>
      <c r="C3447">
        <v>2161001</v>
      </c>
      <c r="D3447" t="s">
        <v>93</v>
      </c>
      <c r="E3447" t="s">
        <v>1771</v>
      </c>
      <c r="F3447" s="3">
        <v>5504</v>
      </c>
      <c r="G3447" s="3">
        <v>0</v>
      </c>
      <c r="H3447" s="3">
        <v>5504</v>
      </c>
      <c r="I3447" t="s">
        <v>554</v>
      </c>
    </row>
    <row r="3448" spans="1:9" x14ac:dyDescent="0.35">
      <c r="A3448" s="2">
        <v>45596</v>
      </c>
      <c r="B3448">
        <v>94</v>
      </c>
      <c r="C3448">
        <v>2161001</v>
      </c>
      <c r="D3448" t="s">
        <v>93</v>
      </c>
      <c r="E3448" t="s">
        <v>1778</v>
      </c>
      <c r="F3448" s="3">
        <v>5590</v>
      </c>
      <c r="G3448" s="3">
        <v>0</v>
      </c>
      <c r="H3448" s="3">
        <v>5590</v>
      </c>
      <c r="I3448" t="s">
        <v>554</v>
      </c>
    </row>
    <row r="3449" spans="1:9" x14ac:dyDescent="0.35">
      <c r="A3449" s="2">
        <v>45596</v>
      </c>
      <c r="B3449">
        <v>94</v>
      </c>
      <c r="C3449">
        <v>2161001</v>
      </c>
      <c r="D3449" t="s">
        <v>93</v>
      </c>
      <c r="E3449" t="s">
        <v>1073</v>
      </c>
      <c r="F3449" s="3">
        <v>8600</v>
      </c>
      <c r="G3449" s="3">
        <v>0</v>
      </c>
      <c r="H3449" s="3">
        <v>8600</v>
      </c>
      <c r="I3449" t="s">
        <v>554</v>
      </c>
    </row>
    <row r="3450" spans="1:9" x14ac:dyDescent="0.35">
      <c r="A3450" s="2">
        <v>45596</v>
      </c>
      <c r="B3450">
        <v>94</v>
      </c>
      <c r="C3450">
        <v>2161001</v>
      </c>
      <c r="D3450" t="s">
        <v>93</v>
      </c>
      <c r="E3450" t="s">
        <v>1771</v>
      </c>
      <c r="F3450" s="3">
        <v>906</v>
      </c>
      <c r="G3450" s="3">
        <v>0</v>
      </c>
      <c r="H3450" s="3">
        <v>906</v>
      </c>
      <c r="I3450" t="s">
        <v>554</v>
      </c>
    </row>
    <row r="3451" spans="1:9" x14ac:dyDescent="0.35">
      <c r="A3451" s="2">
        <v>45596</v>
      </c>
      <c r="B3451">
        <v>94</v>
      </c>
      <c r="C3451">
        <v>5132007</v>
      </c>
      <c r="D3451" t="s">
        <v>355</v>
      </c>
      <c r="E3451" t="s">
        <v>558</v>
      </c>
      <c r="F3451" s="3">
        <v>700</v>
      </c>
      <c r="G3451" s="3">
        <v>0</v>
      </c>
      <c r="H3451" s="3">
        <v>700</v>
      </c>
      <c r="I3451" t="s">
        <v>554</v>
      </c>
    </row>
    <row r="3452" spans="1:9" x14ac:dyDescent="0.35">
      <c r="A3452" s="2">
        <v>45596</v>
      </c>
      <c r="B3452">
        <v>94</v>
      </c>
      <c r="C3452">
        <v>2124010</v>
      </c>
      <c r="D3452" t="s">
        <v>769</v>
      </c>
      <c r="E3452" t="s">
        <v>858</v>
      </c>
      <c r="F3452" s="3">
        <v>3114.66</v>
      </c>
      <c r="G3452" s="3">
        <v>0</v>
      </c>
      <c r="H3452" s="3">
        <v>3114.66</v>
      </c>
      <c r="I3452" t="s">
        <v>554</v>
      </c>
    </row>
    <row r="3453" spans="1:9" x14ac:dyDescent="0.35">
      <c r="A3453" s="2">
        <v>45596</v>
      </c>
      <c r="B3453">
        <v>94</v>
      </c>
      <c r="C3453">
        <v>2122003</v>
      </c>
      <c r="D3453" t="s">
        <v>308</v>
      </c>
      <c r="E3453" t="s">
        <v>548</v>
      </c>
      <c r="F3453" s="3">
        <v>135.15</v>
      </c>
      <c r="G3453" s="3">
        <v>0</v>
      </c>
      <c r="H3453" s="3">
        <v>135.15</v>
      </c>
      <c r="I3453" t="s">
        <v>554</v>
      </c>
    </row>
    <row r="3454" spans="1:9" x14ac:dyDescent="0.35">
      <c r="A3454" s="2">
        <v>45596</v>
      </c>
      <c r="B3454">
        <v>94</v>
      </c>
      <c r="C3454">
        <v>1111001</v>
      </c>
      <c r="D3454" t="s">
        <v>16</v>
      </c>
      <c r="E3454" t="s">
        <v>422</v>
      </c>
      <c r="F3454" s="3">
        <v>300</v>
      </c>
      <c r="G3454" s="3">
        <v>0</v>
      </c>
      <c r="H3454" s="3">
        <v>300</v>
      </c>
      <c r="I3454" t="s">
        <v>554</v>
      </c>
    </row>
    <row r="3455" spans="1:9" x14ac:dyDescent="0.35">
      <c r="A3455" s="2">
        <v>45596</v>
      </c>
      <c r="B3455">
        <v>94</v>
      </c>
      <c r="C3455">
        <v>6121023</v>
      </c>
      <c r="D3455" t="s">
        <v>49</v>
      </c>
      <c r="E3455" t="s">
        <v>1203</v>
      </c>
      <c r="F3455" s="3">
        <v>320</v>
      </c>
      <c r="G3455" s="3">
        <v>0</v>
      </c>
      <c r="H3455" s="3">
        <v>320</v>
      </c>
      <c r="I3455" t="s">
        <v>554</v>
      </c>
    </row>
    <row r="3456" spans="1:9" x14ac:dyDescent="0.35">
      <c r="A3456" s="2">
        <v>45596</v>
      </c>
      <c r="B3456">
        <v>94</v>
      </c>
      <c r="C3456">
        <v>5132010</v>
      </c>
      <c r="D3456" t="s">
        <v>211</v>
      </c>
      <c r="E3456" t="s">
        <v>1204</v>
      </c>
      <c r="F3456" s="3">
        <v>6450</v>
      </c>
      <c r="G3456" s="3">
        <v>0</v>
      </c>
      <c r="H3456" s="3">
        <v>6450</v>
      </c>
      <c r="I3456" t="s">
        <v>554</v>
      </c>
    </row>
    <row r="3457" spans="1:9" x14ac:dyDescent="0.35">
      <c r="A3457" s="2">
        <v>45596</v>
      </c>
      <c r="B3457">
        <v>94</v>
      </c>
      <c r="C3457">
        <v>5131016</v>
      </c>
      <c r="D3457" t="s">
        <v>238</v>
      </c>
      <c r="E3457" t="s">
        <v>1070</v>
      </c>
      <c r="F3457" s="3">
        <v>1290</v>
      </c>
      <c r="G3457" s="3">
        <v>0</v>
      </c>
      <c r="H3457" s="3">
        <v>1290</v>
      </c>
      <c r="I3457" t="s">
        <v>554</v>
      </c>
    </row>
    <row r="3458" spans="1:9" x14ac:dyDescent="0.35">
      <c r="A3458" s="2">
        <v>45596</v>
      </c>
      <c r="B3458">
        <v>94</v>
      </c>
      <c r="C3458">
        <v>6121031</v>
      </c>
      <c r="D3458" t="s">
        <v>209</v>
      </c>
      <c r="E3458" t="s">
        <v>1205</v>
      </c>
      <c r="F3458" s="3">
        <v>5160</v>
      </c>
      <c r="G3458" s="3">
        <v>0</v>
      </c>
      <c r="H3458" s="3">
        <v>5160</v>
      </c>
      <c r="I3458" t="s">
        <v>554</v>
      </c>
    </row>
    <row r="3459" spans="1:9" x14ac:dyDescent="0.35">
      <c r="A3459" s="2">
        <v>45596</v>
      </c>
      <c r="B3459">
        <v>94</v>
      </c>
      <c r="C3459">
        <v>2114010</v>
      </c>
      <c r="D3459" t="s">
        <v>48</v>
      </c>
      <c r="E3459" t="s">
        <v>1206</v>
      </c>
      <c r="F3459" s="3">
        <v>2900</v>
      </c>
      <c r="G3459" s="3">
        <v>0</v>
      </c>
      <c r="H3459" s="3">
        <v>2900</v>
      </c>
      <c r="I3459" t="s">
        <v>554</v>
      </c>
    </row>
    <row r="3460" spans="1:9" x14ac:dyDescent="0.35">
      <c r="A3460" s="2">
        <v>45596</v>
      </c>
      <c r="B3460">
        <v>94</v>
      </c>
      <c r="C3460">
        <v>2161001</v>
      </c>
      <c r="D3460" t="s">
        <v>93</v>
      </c>
      <c r="E3460" t="s">
        <v>1778</v>
      </c>
      <c r="F3460" s="3">
        <v>4301.05</v>
      </c>
      <c r="G3460" s="3">
        <v>0</v>
      </c>
      <c r="H3460" s="3">
        <v>4301.05</v>
      </c>
      <c r="I3460" t="s">
        <v>554</v>
      </c>
    </row>
    <row r="3461" spans="1:9" x14ac:dyDescent="0.35">
      <c r="A3461" s="2">
        <v>45596</v>
      </c>
      <c r="B3461">
        <v>94</v>
      </c>
      <c r="C3461">
        <v>2161001</v>
      </c>
      <c r="D3461" t="s">
        <v>93</v>
      </c>
      <c r="E3461" t="s">
        <v>1772</v>
      </c>
      <c r="F3461" s="3">
        <v>5160</v>
      </c>
      <c r="G3461" s="3">
        <v>0</v>
      </c>
      <c r="H3461" s="3">
        <v>5160</v>
      </c>
      <c r="I3461" t="s">
        <v>554</v>
      </c>
    </row>
    <row r="3462" spans="1:9" x14ac:dyDescent="0.35">
      <c r="A3462" s="2">
        <v>45596</v>
      </c>
      <c r="B3462">
        <v>94</v>
      </c>
      <c r="C3462">
        <v>2161001</v>
      </c>
      <c r="D3462" t="s">
        <v>93</v>
      </c>
      <c r="E3462" t="s">
        <v>1771</v>
      </c>
      <c r="F3462" s="3">
        <v>5160</v>
      </c>
      <c r="G3462" s="3">
        <v>0</v>
      </c>
      <c r="H3462" s="3">
        <v>5160</v>
      </c>
      <c r="I3462" t="s">
        <v>554</v>
      </c>
    </row>
    <row r="3463" spans="1:9" x14ac:dyDescent="0.35">
      <c r="A3463" s="2">
        <v>45596</v>
      </c>
      <c r="B3463">
        <v>94</v>
      </c>
      <c r="C3463">
        <v>2161001</v>
      </c>
      <c r="D3463" t="s">
        <v>93</v>
      </c>
      <c r="E3463" t="s">
        <v>1771</v>
      </c>
      <c r="F3463" s="3">
        <v>2580</v>
      </c>
      <c r="G3463" s="3">
        <v>0</v>
      </c>
      <c r="H3463" s="3">
        <v>2580</v>
      </c>
      <c r="I3463" t="s">
        <v>554</v>
      </c>
    </row>
    <row r="3464" spans="1:9" x14ac:dyDescent="0.35">
      <c r="A3464" s="2">
        <v>45596</v>
      </c>
      <c r="B3464">
        <v>94</v>
      </c>
      <c r="C3464">
        <v>2161001</v>
      </c>
      <c r="D3464" t="s">
        <v>93</v>
      </c>
      <c r="E3464" t="s">
        <v>1771</v>
      </c>
      <c r="F3464" s="3">
        <v>6450</v>
      </c>
      <c r="G3464" s="3">
        <v>0</v>
      </c>
      <c r="H3464" s="3">
        <v>6450</v>
      </c>
      <c r="I3464" t="s">
        <v>554</v>
      </c>
    </row>
    <row r="3465" spans="1:9" x14ac:dyDescent="0.35">
      <c r="A3465" s="2">
        <v>45596</v>
      </c>
      <c r="B3465">
        <v>94</v>
      </c>
      <c r="C3465">
        <v>6121040</v>
      </c>
      <c r="D3465" t="s">
        <v>98</v>
      </c>
      <c r="E3465" t="s">
        <v>142</v>
      </c>
      <c r="F3465" s="3">
        <v>32.51</v>
      </c>
      <c r="G3465" s="3">
        <v>0</v>
      </c>
      <c r="H3465" s="3">
        <v>32.51</v>
      </c>
      <c r="I3465" t="s">
        <v>554</v>
      </c>
    </row>
    <row r="3466" spans="1:9" x14ac:dyDescent="0.35">
      <c r="A3466" s="2">
        <v>45596</v>
      </c>
      <c r="B3466">
        <v>94</v>
      </c>
      <c r="C3466">
        <v>1112002</v>
      </c>
      <c r="D3466" t="s">
        <v>21</v>
      </c>
      <c r="E3466" t="s">
        <v>758</v>
      </c>
      <c r="F3466" s="3">
        <v>0</v>
      </c>
      <c r="G3466" s="3">
        <v>239278.01</v>
      </c>
      <c r="H3466" s="3">
        <v>-239278.01</v>
      </c>
      <c r="I3466" t="s">
        <v>554</v>
      </c>
    </row>
    <row r="3467" spans="1:9" x14ac:dyDescent="0.35">
      <c r="A3467" s="2">
        <v>45596</v>
      </c>
      <c r="B3467">
        <v>94</v>
      </c>
      <c r="C3467">
        <v>1112002</v>
      </c>
      <c r="D3467" t="s">
        <v>21</v>
      </c>
      <c r="E3467" t="s">
        <v>744</v>
      </c>
      <c r="F3467" s="3">
        <v>239446.36</v>
      </c>
      <c r="G3467" s="3">
        <v>0</v>
      </c>
      <c r="H3467" s="3">
        <v>239446.36</v>
      </c>
      <c r="I3467" t="s">
        <v>554</v>
      </c>
    </row>
    <row r="3468" spans="1:9" x14ac:dyDescent="0.35">
      <c r="A3468" s="2">
        <v>45596</v>
      </c>
      <c r="B3468">
        <v>94</v>
      </c>
      <c r="C3468">
        <v>6121040</v>
      </c>
      <c r="D3468" t="s">
        <v>98</v>
      </c>
      <c r="E3468" t="s">
        <v>142</v>
      </c>
      <c r="F3468" s="3">
        <v>0</v>
      </c>
      <c r="G3468" s="3">
        <v>265.10000000000002</v>
      </c>
      <c r="H3468" s="3">
        <v>-265.10000000000002</v>
      </c>
      <c r="I3468" t="s">
        <v>554</v>
      </c>
    </row>
    <row r="3469" spans="1:9" x14ac:dyDescent="0.35">
      <c r="A3469" s="2">
        <v>45596</v>
      </c>
      <c r="B3469">
        <v>94</v>
      </c>
      <c r="C3469">
        <v>1111001</v>
      </c>
      <c r="D3469" t="s">
        <v>16</v>
      </c>
      <c r="E3469" t="s">
        <v>299</v>
      </c>
      <c r="F3469" s="3">
        <v>0</v>
      </c>
      <c r="G3469" s="3">
        <v>7910</v>
      </c>
      <c r="H3469" s="3">
        <v>-7910</v>
      </c>
      <c r="I3469" t="s">
        <v>554</v>
      </c>
    </row>
    <row r="3470" spans="1:9" x14ac:dyDescent="0.35">
      <c r="A3470" s="2">
        <v>45596</v>
      </c>
      <c r="B3470">
        <v>94</v>
      </c>
      <c r="C3470">
        <v>1111001</v>
      </c>
      <c r="D3470" t="s">
        <v>16</v>
      </c>
      <c r="E3470" t="s">
        <v>1038</v>
      </c>
      <c r="F3470" s="3">
        <v>0</v>
      </c>
      <c r="G3470" s="3">
        <v>924.5</v>
      </c>
      <c r="H3470" s="3">
        <v>-924.5</v>
      </c>
      <c r="I3470" t="s">
        <v>554</v>
      </c>
    </row>
    <row r="3471" spans="1:9" x14ac:dyDescent="0.35">
      <c r="A3471" s="2">
        <v>45596</v>
      </c>
      <c r="B3471">
        <v>94</v>
      </c>
      <c r="C3471">
        <v>1111001</v>
      </c>
      <c r="D3471" t="s">
        <v>16</v>
      </c>
      <c r="E3471" t="s">
        <v>139</v>
      </c>
      <c r="F3471" s="3">
        <v>0</v>
      </c>
      <c r="G3471" s="3">
        <v>32069.94</v>
      </c>
      <c r="H3471" s="3">
        <v>-32069.94</v>
      </c>
      <c r="I3471" t="s">
        <v>554</v>
      </c>
    </row>
    <row r="3472" spans="1:9" x14ac:dyDescent="0.35">
      <c r="A3472" s="2">
        <v>45596</v>
      </c>
      <c r="B3472">
        <v>94</v>
      </c>
      <c r="C3472">
        <v>1111001</v>
      </c>
      <c r="D3472" t="s">
        <v>16</v>
      </c>
      <c r="E3472" t="s">
        <v>112</v>
      </c>
      <c r="F3472" s="3">
        <v>0</v>
      </c>
      <c r="G3472" s="3">
        <v>14439.3</v>
      </c>
      <c r="H3472" s="3">
        <v>-14439.3</v>
      </c>
      <c r="I3472" t="s">
        <v>554</v>
      </c>
    </row>
    <row r="3473" spans="1:9" x14ac:dyDescent="0.35">
      <c r="A3473" s="2">
        <v>45596</v>
      </c>
      <c r="B3473">
        <v>94</v>
      </c>
      <c r="C3473">
        <v>1111001</v>
      </c>
      <c r="D3473" t="s">
        <v>16</v>
      </c>
      <c r="E3473" t="s">
        <v>1207</v>
      </c>
      <c r="F3473" s="3">
        <v>0</v>
      </c>
      <c r="G3473" s="3">
        <v>2087</v>
      </c>
      <c r="H3473" s="3">
        <v>-2087</v>
      </c>
      <c r="I3473" t="s">
        <v>554</v>
      </c>
    </row>
    <row r="3474" spans="1:9" x14ac:dyDescent="0.35">
      <c r="A3474" s="2">
        <v>45596</v>
      </c>
      <c r="B3474">
        <v>94</v>
      </c>
      <c r="C3474">
        <v>1111001</v>
      </c>
      <c r="D3474" t="s">
        <v>16</v>
      </c>
      <c r="E3474" t="s">
        <v>1208</v>
      </c>
      <c r="F3474" s="3">
        <v>0</v>
      </c>
      <c r="G3474" s="3">
        <v>2935</v>
      </c>
      <c r="H3474" s="3">
        <v>-2935</v>
      </c>
      <c r="I3474" t="s">
        <v>554</v>
      </c>
    </row>
    <row r="3475" spans="1:9" x14ac:dyDescent="0.35">
      <c r="A3475" s="2">
        <v>45596</v>
      </c>
      <c r="B3475">
        <v>94</v>
      </c>
      <c r="C3475">
        <v>1111001</v>
      </c>
      <c r="D3475" t="s">
        <v>16</v>
      </c>
      <c r="E3475" t="s">
        <v>1209</v>
      </c>
      <c r="F3475" s="3">
        <v>0</v>
      </c>
      <c r="G3475" s="3">
        <v>5785.83</v>
      </c>
      <c r="H3475" s="3">
        <v>-5785.83</v>
      </c>
      <c r="I3475" t="s">
        <v>554</v>
      </c>
    </row>
    <row r="3476" spans="1:9" x14ac:dyDescent="0.35">
      <c r="A3476" s="2">
        <v>45596</v>
      </c>
      <c r="B3476">
        <v>94</v>
      </c>
      <c r="C3476">
        <v>1111001</v>
      </c>
      <c r="D3476" t="s">
        <v>16</v>
      </c>
      <c r="E3476" t="s">
        <v>137</v>
      </c>
      <c r="F3476" s="3">
        <v>0</v>
      </c>
      <c r="G3476" s="3">
        <v>173029.69</v>
      </c>
      <c r="H3476" s="3">
        <v>-173029.69</v>
      </c>
      <c r="I3476" t="s">
        <v>554</v>
      </c>
    </row>
    <row r="3477" spans="1:9" x14ac:dyDescent="0.35">
      <c r="A3477" s="2">
        <v>45596</v>
      </c>
      <c r="B3477">
        <v>94</v>
      </c>
      <c r="C3477">
        <v>1111001</v>
      </c>
      <c r="D3477" t="s">
        <v>16</v>
      </c>
      <c r="E3477" t="s">
        <v>118</v>
      </c>
      <c r="F3477" s="3">
        <v>6040</v>
      </c>
      <c r="G3477" s="3">
        <v>0</v>
      </c>
      <c r="H3477" s="3">
        <v>6040</v>
      </c>
      <c r="I3477" t="s">
        <v>1210</v>
      </c>
    </row>
    <row r="3478" spans="1:9" x14ac:dyDescent="0.35">
      <c r="A3478" s="2">
        <v>45596</v>
      </c>
      <c r="B3478">
        <v>94</v>
      </c>
      <c r="C3478">
        <v>2114001</v>
      </c>
      <c r="D3478" t="s">
        <v>97</v>
      </c>
      <c r="E3478" t="s">
        <v>228</v>
      </c>
      <c r="F3478" s="3">
        <v>188.94</v>
      </c>
      <c r="G3478" s="3">
        <v>0</v>
      </c>
      <c r="H3478" s="3">
        <v>188.94</v>
      </c>
      <c r="I3478" t="s">
        <v>1210</v>
      </c>
    </row>
    <row r="3479" spans="1:9" x14ac:dyDescent="0.35">
      <c r="A3479" s="2">
        <v>45596</v>
      </c>
      <c r="B3479">
        <v>94</v>
      </c>
      <c r="C3479">
        <v>6121021</v>
      </c>
      <c r="D3479" t="s">
        <v>102</v>
      </c>
      <c r="E3479" t="s">
        <v>987</v>
      </c>
      <c r="F3479" s="3">
        <v>1065.02</v>
      </c>
      <c r="G3479" s="3">
        <v>0</v>
      </c>
      <c r="H3479" s="3">
        <v>1065.02</v>
      </c>
      <c r="I3479" t="s">
        <v>1210</v>
      </c>
    </row>
    <row r="3480" spans="1:9" x14ac:dyDescent="0.35">
      <c r="A3480" s="2">
        <v>45596</v>
      </c>
      <c r="B3480">
        <v>94</v>
      </c>
      <c r="C3480">
        <v>6121019</v>
      </c>
      <c r="D3480" t="s">
        <v>100</v>
      </c>
      <c r="E3480" t="s">
        <v>101</v>
      </c>
      <c r="F3480" s="3">
        <v>515.29999999999995</v>
      </c>
      <c r="G3480" s="3">
        <v>0</v>
      </c>
      <c r="H3480" s="3">
        <v>515.29999999999995</v>
      </c>
      <c r="I3480" t="s">
        <v>1210</v>
      </c>
    </row>
    <row r="3481" spans="1:9" x14ac:dyDescent="0.35">
      <c r="A3481" s="2">
        <v>45596</v>
      </c>
      <c r="B3481">
        <v>94</v>
      </c>
      <c r="C3481">
        <v>6121040</v>
      </c>
      <c r="D3481" t="s">
        <v>98</v>
      </c>
      <c r="E3481" t="s">
        <v>99</v>
      </c>
      <c r="F3481" s="3">
        <v>407.24</v>
      </c>
      <c r="G3481" s="3">
        <v>0</v>
      </c>
      <c r="H3481" s="3">
        <v>407.24</v>
      </c>
      <c r="I3481" t="s">
        <v>1210</v>
      </c>
    </row>
    <row r="3482" spans="1:9" x14ac:dyDescent="0.35">
      <c r="A3482" s="2">
        <v>45596</v>
      </c>
      <c r="B3482">
        <v>94</v>
      </c>
      <c r="C3482">
        <v>2114001</v>
      </c>
      <c r="D3482" t="s">
        <v>97</v>
      </c>
      <c r="E3482" t="s">
        <v>1768</v>
      </c>
      <c r="F3482" s="3">
        <v>30060</v>
      </c>
      <c r="G3482" s="3">
        <v>0</v>
      </c>
      <c r="H3482" s="3">
        <v>30060</v>
      </c>
      <c r="I3482" t="s">
        <v>1210</v>
      </c>
    </row>
    <row r="3483" spans="1:9" x14ac:dyDescent="0.35">
      <c r="A3483" s="2">
        <v>45596</v>
      </c>
      <c r="B3483">
        <v>94</v>
      </c>
      <c r="C3483">
        <v>1112001</v>
      </c>
      <c r="D3483" t="s">
        <v>20</v>
      </c>
      <c r="E3483" t="s">
        <v>758</v>
      </c>
      <c r="F3483" s="3">
        <v>0</v>
      </c>
      <c r="G3483" s="3">
        <v>38276.5</v>
      </c>
      <c r="H3483" s="3">
        <v>-38276.5</v>
      </c>
      <c r="I3483" t="s">
        <v>1210</v>
      </c>
    </row>
    <row r="3484" spans="1:9" x14ac:dyDescent="0.35">
      <c r="A3484" s="2">
        <v>45596</v>
      </c>
      <c r="B3484">
        <v>94</v>
      </c>
      <c r="C3484">
        <v>1112001</v>
      </c>
      <c r="D3484" t="s">
        <v>20</v>
      </c>
      <c r="E3484" t="s">
        <v>744</v>
      </c>
      <c r="F3484" s="3">
        <v>38540.54</v>
      </c>
      <c r="G3484" s="3">
        <v>0</v>
      </c>
      <c r="H3484" s="3">
        <v>38540.54</v>
      </c>
      <c r="I3484" t="s">
        <v>1210</v>
      </c>
    </row>
    <row r="3485" spans="1:9" x14ac:dyDescent="0.35">
      <c r="A3485" s="2">
        <v>45596</v>
      </c>
      <c r="B3485">
        <v>94</v>
      </c>
      <c r="C3485">
        <v>1111001</v>
      </c>
      <c r="D3485" t="s">
        <v>16</v>
      </c>
      <c r="E3485" t="s">
        <v>112</v>
      </c>
      <c r="F3485" s="3">
        <v>0</v>
      </c>
      <c r="G3485" s="3">
        <v>24486.04</v>
      </c>
      <c r="H3485" s="3">
        <v>-24486.04</v>
      </c>
      <c r="I3485" t="s">
        <v>1210</v>
      </c>
    </row>
    <row r="3486" spans="1:9" x14ac:dyDescent="0.35">
      <c r="A3486" s="2">
        <v>45596</v>
      </c>
      <c r="B3486">
        <v>94</v>
      </c>
      <c r="C3486">
        <v>1111001</v>
      </c>
      <c r="D3486" t="s">
        <v>16</v>
      </c>
      <c r="E3486" t="s">
        <v>1211</v>
      </c>
      <c r="F3486" s="3">
        <v>0</v>
      </c>
      <c r="G3486" s="3">
        <v>1846</v>
      </c>
      <c r="H3486" s="3">
        <v>-1846</v>
      </c>
      <c r="I3486" t="s">
        <v>1210</v>
      </c>
    </row>
    <row r="3487" spans="1:9" x14ac:dyDescent="0.35">
      <c r="A3487" s="2">
        <v>45596</v>
      </c>
      <c r="B3487">
        <v>94</v>
      </c>
      <c r="C3487">
        <v>1111001</v>
      </c>
      <c r="D3487" t="s">
        <v>16</v>
      </c>
      <c r="E3487" t="s">
        <v>816</v>
      </c>
      <c r="F3487" s="3">
        <v>0</v>
      </c>
      <c r="G3487" s="3">
        <v>3515</v>
      </c>
      <c r="H3487" s="3">
        <v>-3515</v>
      </c>
      <c r="I3487" t="s">
        <v>1210</v>
      </c>
    </row>
    <row r="3488" spans="1:9" x14ac:dyDescent="0.35">
      <c r="A3488" s="2">
        <v>45596</v>
      </c>
      <c r="B3488">
        <v>94</v>
      </c>
      <c r="C3488">
        <v>1111001</v>
      </c>
      <c r="D3488" t="s">
        <v>16</v>
      </c>
      <c r="E3488" t="s">
        <v>492</v>
      </c>
      <c r="F3488" s="3">
        <v>0</v>
      </c>
      <c r="G3488" s="3">
        <v>4036.5</v>
      </c>
      <c r="H3488" s="3">
        <v>-4036.5</v>
      </c>
      <c r="I3488" t="s">
        <v>1210</v>
      </c>
    </row>
    <row r="3489" spans="1:9" x14ac:dyDescent="0.35">
      <c r="A3489" s="2">
        <v>45596</v>
      </c>
      <c r="B3489">
        <v>94</v>
      </c>
      <c r="C3489">
        <v>1111001</v>
      </c>
      <c r="D3489" t="s">
        <v>16</v>
      </c>
      <c r="E3489" t="s">
        <v>1212</v>
      </c>
      <c r="F3489" s="3">
        <v>0</v>
      </c>
      <c r="G3489" s="3">
        <v>2937</v>
      </c>
      <c r="H3489" s="3">
        <v>-2937</v>
      </c>
      <c r="I3489" t="s">
        <v>1210</v>
      </c>
    </row>
    <row r="3490" spans="1:9" x14ac:dyDescent="0.35">
      <c r="A3490" s="2">
        <v>45596</v>
      </c>
      <c r="B3490">
        <v>94</v>
      </c>
      <c r="C3490">
        <v>1111001</v>
      </c>
      <c r="D3490" t="s">
        <v>16</v>
      </c>
      <c r="E3490" t="s">
        <v>1213</v>
      </c>
      <c r="F3490" s="3">
        <v>0</v>
      </c>
      <c r="G3490" s="3">
        <v>1720</v>
      </c>
      <c r="H3490" s="3">
        <v>-1720</v>
      </c>
      <c r="I3490" t="s">
        <v>1210</v>
      </c>
    </row>
    <row r="3491" spans="1:9" x14ac:dyDescent="0.35">
      <c r="A3491" s="2">
        <v>45596</v>
      </c>
      <c r="B3491">
        <v>94</v>
      </c>
      <c r="C3491">
        <v>6121040</v>
      </c>
      <c r="D3491" t="s">
        <v>98</v>
      </c>
      <c r="E3491" t="s">
        <v>99</v>
      </c>
      <c r="F3491" s="3">
        <v>672.08</v>
      </c>
      <c r="G3491" s="3">
        <v>0</v>
      </c>
      <c r="H3491" s="3">
        <v>672.08</v>
      </c>
      <c r="I3491" t="s">
        <v>1214</v>
      </c>
    </row>
    <row r="3492" spans="1:9" x14ac:dyDescent="0.35">
      <c r="A3492" s="2">
        <v>45596</v>
      </c>
      <c r="B3492">
        <v>94</v>
      </c>
      <c r="C3492">
        <v>2114001</v>
      </c>
      <c r="D3492" t="s">
        <v>97</v>
      </c>
      <c r="E3492" t="s">
        <v>1768</v>
      </c>
      <c r="F3492" s="3">
        <v>9200</v>
      </c>
      <c r="G3492" s="3">
        <v>0</v>
      </c>
      <c r="H3492" s="3">
        <v>9200</v>
      </c>
      <c r="I3492" t="s">
        <v>1214</v>
      </c>
    </row>
    <row r="3493" spans="1:9" x14ac:dyDescent="0.35">
      <c r="A3493" s="2">
        <v>45596</v>
      </c>
      <c r="B3493">
        <v>94</v>
      </c>
      <c r="C3493">
        <v>2141001</v>
      </c>
      <c r="D3493" t="s">
        <v>35</v>
      </c>
      <c r="E3493" t="s">
        <v>120</v>
      </c>
      <c r="F3493" s="3">
        <v>173.25</v>
      </c>
      <c r="G3493" s="3">
        <v>0</v>
      </c>
      <c r="H3493" s="3">
        <v>173.25</v>
      </c>
      <c r="I3493" t="s">
        <v>1214</v>
      </c>
    </row>
    <row r="3494" spans="1:9" x14ac:dyDescent="0.35">
      <c r="A3494" s="2">
        <v>45596</v>
      </c>
      <c r="B3494">
        <v>94</v>
      </c>
      <c r="C3494">
        <v>2141002</v>
      </c>
      <c r="D3494" t="s">
        <v>36</v>
      </c>
      <c r="E3494" t="s">
        <v>121</v>
      </c>
      <c r="F3494" s="3">
        <v>27.3</v>
      </c>
      <c r="G3494" s="3">
        <v>0</v>
      </c>
      <c r="H3494" s="3">
        <v>27.3</v>
      </c>
      <c r="I3494" t="s">
        <v>1214</v>
      </c>
    </row>
    <row r="3495" spans="1:9" x14ac:dyDescent="0.35">
      <c r="A3495" s="2">
        <v>45596</v>
      </c>
      <c r="B3495">
        <v>94</v>
      </c>
      <c r="C3495">
        <v>2141003</v>
      </c>
      <c r="D3495" t="s">
        <v>37</v>
      </c>
      <c r="E3495" t="s">
        <v>549</v>
      </c>
      <c r="F3495" s="3">
        <v>55.38</v>
      </c>
      <c r="G3495" s="3">
        <v>0</v>
      </c>
      <c r="H3495" s="3">
        <v>55.38</v>
      </c>
      <c r="I3495" t="s">
        <v>1214</v>
      </c>
    </row>
    <row r="3496" spans="1:9" x14ac:dyDescent="0.35">
      <c r="A3496" s="2">
        <v>45596</v>
      </c>
      <c r="B3496">
        <v>94</v>
      </c>
      <c r="C3496">
        <v>2121003</v>
      </c>
      <c r="D3496" t="s">
        <v>28</v>
      </c>
      <c r="E3496" t="s">
        <v>297</v>
      </c>
      <c r="F3496" s="3">
        <v>15420.74</v>
      </c>
      <c r="G3496" s="3">
        <v>0</v>
      </c>
      <c r="H3496" s="3">
        <v>15420.74</v>
      </c>
      <c r="I3496" t="s">
        <v>1214</v>
      </c>
    </row>
    <row r="3497" spans="1:9" x14ac:dyDescent="0.35">
      <c r="A3497" s="2">
        <v>45596</v>
      </c>
      <c r="B3497">
        <v>94</v>
      </c>
      <c r="C3497">
        <v>2124007</v>
      </c>
      <c r="D3497" t="s">
        <v>30</v>
      </c>
      <c r="E3497" t="s">
        <v>1215</v>
      </c>
      <c r="F3497" s="3">
        <v>107.44</v>
      </c>
      <c r="G3497" s="3">
        <v>0</v>
      </c>
      <c r="H3497" s="3">
        <v>107.44</v>
      </c>
      <c r="I3497" t="s">
        <v>1214</v>
      </c>
    </row>
    <row r="3498" spans="1:9" x14ac:dyDescent="0.35">
      <c r="A3498" s="2">
        <v>45596</v>
      </c>
      <c r="B3498">
        <v>94</v>
      </c>
      <c r="C3498">
        <v>2124009</v>
      </c>
      <c r="D3498" t="s">
        <v>154</v>
      </c>
      <c r="E3498" t="s">
        <v>1216</v>
      </c>
      <c r="F3498" s="3">
        <v>809.12</v>
      </c>
      <c r="G3498" s="3">
        <v>0</v>
      </c>
      <c r="H3498" s="3">
        <v>809.12</v>
      </c>
      <c r="I3498" t="s">
        <v>1214</v>
      </c>
    </row>
    <row r="3499" spans="1:9" x14ac:dyDescent="0.35">
      <c r="A3499" s="2">
        <v>45596</v>
      </c>
      <c r="B3499">
        <v>94</v>
      </c>
      <c r="C3499">
        <v>2124004</v>
      </c>
      <c r="D3499" t="s">
        <v>29</v>
      </c>
      <c r="E3499" t="s">
        <v>1217</v>
      </c>
      <c r="F3499" s="3">
        <v>1048.77</v>
      </c>
      <c r="G3499" s="3">
        <v>0</v>
      </c>
      <c r="H3499" s="3">
        <v>1048.77</v>
      </c>
      <c r="I3499" t="s">
        <v>1214</v>
      </c>
    </row>
    <row r="3500" spans="1:9" x14ac:dyDescent="0.35">
      <c r="A3500" s="2">
        <v>45596</v>
      </c>
      <c r="B3500">
        <v>94</v>
      </c>
      <c r="C3500">
        <v>2121003</v>
      </c>
      <c r="D3500" t="s">
        <v>28</v>
      </c>
      <c r="E3500" t="s">
        <v>1218</v>
      </c>
      <c r="F3500" s="3">
        <v>14894.1</v>
      </c>
      <c r="G3500" s="3">
        <v>0</v>
      </c>
      <c r="H3500" s="3">
        <v>14894.1</v>
      </c>
      <c r="I3500" t="s">
        <v>1214</v>
      </c>
    </row>
    <row r="3501" spans="1:9" x14ac:dyDescent="0.35">
      <c r="A3501" s="2">
        <v>45596</v>
      </c>
      <c r="B3501">
        <v>94</v>
      </c>
      <c r="C3501">
        <v>1112003</v>
      </c>
      <c r="D3501" t="s">
        <v>22</v>
      </c>
      <c r="E3501" t="s">
        <v>758</v>
      </c>
      <c r="F3501" s="3">
        <v>0</v>
      </c>
      <c r="G3501" s="3">
        <v>42408.18</v>
      </c>
      <c r="H3501" s="3">
        <v>-42408.18</v>
      </c>
      <c r="I3501" t="s">
        <v>1214</v>
      </c>
    </row>
    <row r="3502" spans="1:9" x14ac:dyDescent="0.35">
      <c r="A3502" s="2">
        <v>45596</v>
      </c>
      <c r="B3502">
        <v>94</v>
      </c>
      <c r="C3502">
        <v>1112003</v>
      </c>
      <c r="D3502" t="s">
        <v>22</v>
      </c>
      <c r="E3502" t="s">
        <v>744</v>
      </c>
      <c r="F3502" s="3">
        <v>44150</v>
      </c>
      <c r="G3502" s="3">
        <v>0</v>
      </c>
      <c r="H3502" s="3">
        <v>44150</v>
      </c>
      <c r="I3502" t="s">
        <v>1214</v>
      </c>
    </row>
    <row r="3503" spans="1:9" x14ac:dyDescent="0.35">
      <c r="A3503" s="2">
        <v>45596</v>
      </c>
      <c r="B3503">
        <v>94</v>
      </c>
      <c r="C3503">
        <v>1111001</v>
      </c>
      <c r="D3503" t="s">
        <v>16</v>
      </c>
      <c r="E3503" t="s">
        <v>986</v>
      </c>
      <c r="F3503" s="3">
        <v>0</v>
      </c>
      <c r="G3503" s="3">
        <v>6850</v>
      </c>
      <c r="H3503" s="3">
        <v>-6850</v>
      </c>
      <c r="I3503" t="s">
        <v>1214</v>
      </c>
    </row>
    <row r="3504" spans="1:9" x14ac:dyDescent="0.35">
      <c r="A3504" s="2">
        <v>45596</v>
      </c>
      <c r="B3504">
        <v>94</v>
      </c>
      <c r="C3504">
        <v>1111001</v>
      </c>
      <c r="D3504" t="s">
        <v>16</v>
      </c>
      <c r="E3504" t="s">
        <v>1219</v>
      </c>
      <c r="F3504" s="3">
        <v>0</v>
      </c>
      <c r="G3504" s="3">
        <v>2900</v>
      </c>
      <c r="H3504" s="3">
        <v>-2900</v>
      </c>
      <c r="I3504" t="s">
        <v>1214</v>
      </c>
    </row>
    <row r="3505" spans="1:9" x14ac:dyDescent="0.35">
      <c r="A3505" s="2">
        <v>45596</v>
      </c>
      <c r="B3505">
        <v>94</v>
      </c>
      <c r="C3505">
        <v>1111001</v>
      </c>
      <c r="D3505" t="s">
        <v>16</v>
      </c>
      <c r="E3505" t="s">
        <v>111</v>
      </c>
      <c r="F3505" s="3">
        <v>0</v>
      </c>
      <c r="G3505" s="3">
        <v>9000</v>
      </c>
      <c r="H3505" s="3">
        <v>-9000</v>
      </c>
      <c r="I3505" t="s">
        <v>1214</v>
      </c>
    </row>
    <row r="3506" spans="1:9" x14ac:dyDescent="0.35">
      <c r="A3506" s="2">
        <v>45596</v>
      </c>
      <c r="B3506">
        <v>94</v>
      </c>
      <c r="C3506">
        <v>1111001</v>
      </c>
      <c r="D3506" t="s">
        <v>16</v>
      </c>
      <c r="E3506" t="s">
        <v>300</v>
      </c>
      <c r="F3506" s="3">
        <v>0</v>
      </c>
      <c r="G3506" s="3">
        <v>25400</v>
      </c>
      <c r="H3506" s="3">
        <v>-25400</v>
      </c>
      <c r="I3506" t="s">
        <v>1214</v>
      </c>
    </row>
    <row r="3507" spans="1:9" x14ac:dyDescent="0.35">
      <c r="A3507" s="2">
        <v>45596</v>
      </c>
      <c r="B3507">
        <v>94</v>
      </c>
      <c r="C3507">
        <v>5131016</v>
      </c>
      <c r="D3507" t="s">
        <v>238</v>
      </c>
      <c r="E3507" t="s">
        <v>1220</v>
      </c>
      <c r="F3507" s="3">
        <v>1600</v>
      </c>
      <c r="G3507" s="3">
        <v>0</v>
      </c>
      <c r="H3507" s="3">
        <v>1600</v>
      </c>
      <c r="I3507" t="s">
        <v>144</v>
      </c>
    </row>
    <row r="3508" spans="1:9" x14ac:dyDescent="0.35">
      <c r="A3508" s="2">
        <v>45596</v>
      </c>
      <c r="B3508">
        <v>94</v>
      </c>
      <c r="C3508">
        <v>5131016</v>
      </c>
      <c r="D3508" t="s">
        <v>238</v>
      </c>
      <c r="E3508" t="s">
        <v>1221</v>
      </c>
      <c r="F3508" s="3">
        <v>2400</v>
      </c>
      <c r="G3508" s="3">
        <v>0</v>
      </c>
      <c r="H3508" s="3">
        <v>2400</v>
      </c>
      <c r="I3508" t="s">
        <v>144</v>
      </c>
    </row>
    <row r="3509" spans="1:9" x14ac:dyDescent="0.35">
      <c r="A3509" s="2">
        <v>45596</v>
      </c>
      <c r="B3509">
        <v>94</v>
      </c>
      <c r="C3509">
        <v>2114001</v>
      </c>
      <c r="D3509" t="s">
        <v>97</v>
      </c>
      <c r="E3509" t="s">
        <v>1220</v>
      </c>
      <c r="F3509" s="3">
        <v>0</v>
      </c>
      <c r="G3509" s="3">
        <v>1600</v>
      </c>
      <c r="H3509" s="3">
        <v>-1600</v>
      </c>
      <c r="I3509" t="s">
        <v>144</v>
      </c>
    </row>
    <row r="3510" spans="1:9" x14ac:dyDescent="0.35">
      <c r="A3510" s="2">
        <v>45596</v>
      </c>
      <c r="B3510">
        <v>94</v>
      </c>
      <c r="C3510">
        <v>2114001</v>
      </c>
      <c r="D3510" t="s">
        <v>97</v>
      </c>
      <c r="E3510" t="s">
        <v>1221</v>
      </c>
      <c r="F3510" s="3">
        <v>0</v>
      </c>
      <c r="G3510" s="3">
        <v>2400</v>
      </c>
      <c r="H3510" s="3">
        <v>-2400</v>
      </c>
      <c r="I3510" t="s">
        <v>144</v>
      </c>
    </row>
    <row r="3511" spans="1:9" x14ac:dyDescent="0.35">
      <c r="A3511" s="2">
        <v>45596</v>
      </c>
      <c r="B3511">
        <v>94</v>
      </c>
      <c r="C3511">
        <v>5131006</v>
      </c>
      <c r="D3511" t="s">
        <v>125</v>
      </c>
      <c r="E3511" t="s">
        <v>819</v>
      </c>
      <c r="F3511" s="3">
        <v>900</v>
      </c>
      <c r="G3511" s="3">
        <v>0</v>
      </c>
      <c r="H3511" s="3">
        <v>900</v>
      </c>
      <c r="I3511" t="s">
        <v>144</v>
      </c>
    </row>
    <row r="3512" spans="1:9" x14ac:dyDescent="0.35">
      <c r="A3512" s="2">
        <v>45596</v>
      </c>
      <c r="B3512">
        <v>94</v>
      </c>
      <c r="C3512">
        <v>5131006</v>
      </c>
      <c r="D3512" t="s">
        <v>125</v>
      </c>
      <c r="E3512" t="s">
        <v>819</v>
      </c>
      <c r="F3512" s="3">
        <v>900</v>
      </c>
      <c r="G3512" s="3">
        <v>0</v>
      </c>
      <c r="H3512" s="3">
        <v>900</v>
      </c>
      <c r="I3512" t="s">
        <v>144</v>
      </c>
    </row>
    <row r="3513" spans="1:9" x14ac:dyDescent="0.35">
      <c r="A3513" s="2">
        <v>45596</v>
      </c>
      <c r="B3513">
        <v>94</v>
      </c>
      <c r="C3513">
        <v>2114001</v>
      </c>
      <c r="D3513" t="s">
        <v>97</v>
      </c>
      <c r="E3513" t="s">
        <v>819</v>
      </c>
      <c r="F3513" s="3">
        <v>0</v>
      </c>
      <c r="G3513" s="3">
        <v>900</v>
      </c>
      <c r="H3513" s="3">
        <v>-900</v>
      </c>
      <c r="I3513" t="s">
        <v>144</v>
      </c>
    </row>
    <row r="3514" spans="1:9" x14ac:dyDescent="0.35">
      <c r="A3514" s="2">
        <v>45596</v>
      </c>
      <c r="B3514">
        <v>94</v>
      </c>
      <c r="C3514">
        <v>2114001</v>
      </c>
      <c r="D3514" t="s">
        <v>97</v>
      </c>
      <c r="E3514" t="s">
        <v>819</v>
      </c>
      <c r="F3514" s="3">
        <v>0</v>
      </c>
      <c r="G3514" s="3">
        <v>900</v>
      </c>
      <c r="H3514" s="3">
        <v>-900</v>
      </c>
      <c r="I3514" t="s">
        <v>144</v>
      </c>
    </row>
    <row r="3515" spans="1:9" x14ac:dyDescent="0.35">
      <c r="A3515" s="2">
        <v>45596</v>
      </c>
      <c r="B3515">
        <v>94</v>
      </c>
      <c r="C3515">
        <v>2121001</v>
      </c>
      <c r="D3515" t="s">
        <v>27</v>
      </c>
      <c r="E3515" t="s">
        <v>1222</v>
      </c>
      <c r="F3515" s="3">
        <v>20077.05</v>
      </c>
      <c r="G3515" s="3">
        <v>0</v>
      </c>
      <c r="H3515" s="3">
        <v>20077.05</v>
      </c>
      <c r="I3515" t="s">
        <v>544</v>
      </c>
    </row>
    <row r="3516" spans="1:9" x14ac:dyDescent="0.35">
      <c r="A3516" s="2">
        <v>45596</v>
      </c>
      <c r="B3516">
        <v>94</v>
      </c>
      <c r="C3516">
        <v>1141002</v>
      </c>
      <c r="D3516" t="s">
        <v>23</v>
      </c>
      <c r="E3516" t="s">
        <v>1222</v>
      </c>
      <c r="F3516" s="3">
        <v>0</v>
      </c>
      <c r="G3516" s="3">
        <v>1547.46</v>
      </c>
      <c r="H3516" s="3">
        <v>-1547.46</v>
      </c>
      <c r="I3516" t="s">
        <v>544</v>
      </c>
    </row>
    <row r="3517" spans="1:9" x14ac:dyDescent="0.35">
      <c r="A3517" s="2">
        <v>45596</v>
      </c>
      <c r="B3517">
        <v>94</v>
      </c>
      <c r="C3517">
        <v>2121003</v>
      </c>
      <c r="D3517" t="s">
        <v>28</v>
      </c>
      <c r="E3517" t="s">
        <v>1222</v>
      </c>
      <c r="F3517" s="3">
        <v>0</v>
      </c>
      <c r="G3517" s="3">
        <v>18529.59</v>
      </c>
      <c r="H3517" s="3">
        <v>-18529.59</v>
      </c>
      <c r="I3517" t="s">
        <v>544</v>
      </c>
    </row>
    <row r="3518" spans="1:9" x14ac:dyDescent="0.35">
      <c r="A3518" s="2">
        <v>45596</v>
      </c>
      <c r="B3518">
        <v>94</v>
      </c>
      <c r="C3518">
        <v>1142004</v>
      </c>
      <c r="D3518" t="s">
        <v>83</v>
      </c>
      <c r="E3518" t="s">
        <v>502</v>
      </c>
      <c r="F3518" s="3">
        <v>1254.82</v>
      </c>
      <c r="G3518" s="3">
        <v>0</v>
      </c>
      <c r="H3518" s="3">
        <v>1254.82</v>
      </c>
      <c r="I3518" t="s">
        <v>503</v>
      </c>
    </row>
    <row r="3519" spans="1:9" x14ac:dyDescent="0.35">
      <c r="A3519" s="2">
        <v>45596</v>
      </c>
      <c r="B3519">
        <v>94</v>
      </c>
      <c r="C3519">
        <v>2124004</v>
      </c>
      <c r="D3519" t="s">
        <v>29</v>
      </c>
      <c r="E3519" t="s">
        <v>502</v>
      </c>
      <c r="F3519" s="3">
        <v>0</v>
      </c>
      <c r="G3519" s="3">
        <v>1254.82</v>
      </c>
      <c r="H3519" s="3">
        <v>-1254.82</v>
      </c>
      <c r="I3519" t="s">
        <v>503</v>
      </c>
    </row>
    <row r="3520" spans="1:9" x14ac:dyDescent="0.35">
      <c r="A3520" s="2">
        <v>45596</v>
      </c>
      <c r="B3520">
        <v>94</v>
      </c>
      <c r="C3520">
        <v>2161001</v>
      </c>
      <c r="D3520" t="s">
        <v>93</v>
      </c>
      <c r="E3520" t="s">
        <v>242</v>
      </c>
      <c r="F3520" s="3">
        <v>22414.400000000001</v>
      </c>
      <c r="G3520" s="3">
        <v>0</v>
      </c>
      <c r="H3520" s="3">
        <v>22414.400000000001</v>
      </c>
      <c r="I3520" t="s">
        <v>438</v>
      </c>
    </row>
    <row r="3521" spans="1:9" x14ac:dyDescent="0.35">
      <c r="A3521" s="2">
        <v>45596</v>
      </c>
      <c r="B3521">
        <v>94</v>
      </c>
      <c r="C3521">
        <v>2114001</v>
      </c>
      <c r="D3521" t="s">
        <v>97</v>
      </c>
      <c r="E3521" t="s">
        <v>242</v>
      </c>
      <c r="F3521" s="3">
        <v>0</v>
      </c>
      <c r="G3521" s="3">
        <v>22414.400000000001</v>
      </c>
      <c r="H3521" s="3">
        <v>-22414.400000000001</v>
      </c>
      <c r="I3521" t="s">
        <v>144</v>
      </c>
    </row>
    <row r="3522" spans="1:9" x14ac:dyDescent="0.35">
      <c r="A3522" s="2">
        <v>45596</v>
      </c>
      <c r="B3522">
        <v>94</v>
      </c>
      <c r="C3522">
        <v>5131015</v>
      </c>
      <c r="D3522" t="s">
        <v>766</v>
      </c>
      <c r="E3522" t="s">
        <v>1223</v>
      </c>
      <c r="F3522" s="3">
        <v>3640.46</v>
      </c>
      <c r="G3522" s="3">
        <v>0</v>
      </c>
      <c r="H3522" s="3">
        <v>3640.46</v>
      </c>
      <c r="I3522" t="s">
        <v>950</v>
      </c>
    </row>
    <row r="3523" spans="1:9" x14ac:dyDescent="0.35">
      <c r="A3523" s="2">
        <v>45596</v>
      </c>
      <c r="B3523">
        <v>94</v>
      </c>
      <c r="C3523">
        <v>2124010</v>
      </c>
      <c r="D3523" t="s">
        <v>769</v>
      </c>
      <c r="E3523" t="s">
        <v>1223</v>
      </c>
      <c r="F3523" s="3">
        <v>0</v>
      </c>
      <c r="G3523" s="3">
        <v>3640.46</v>
      </c>
      <c r="H3523" s="3">
        <v>-3640.46</v>
      </c>
      <c r="I3523" t="s">
        <v>950</v>
      </c>
    </row>
    <row r="3524" spans="1:9" x14ac:dyDescent="0.35">
      <c r="A3524" s="2">
        <v>45596</v>
      </c>
      <c r="B3524">
        <v>94</v>
      </c>
      <c r="C3524">
        <v>2114010</v>
      </c>
      <c r="D3524" t="s">
        <v>48</v>
      </c>
      <c r="E3524" t="s">
        <v>1224</v>
      </c>
      <c r="F3524" s="3">
        <v>7403.04</v>
      </c>
      <c r="G3524" s="3">
        <v>0</v>
      </c>
      <c r="H3524" s="3">
        <v>7403.04</v>
      </c>
      <c r="I3524" t="s">
        <v>144</v>
      </c>
    </row>
    <row r="3525" spans="1:9" x14ac:dyDescent="0.35">
      <c r="A3525" s="2">
        <v>45596</v>
      </c>
      <c r="B3525">
        <v>94</v>
      </c>
      <c r="C3525">
        <v>2114001</v>
      </c>
      <c r="D3525" t="s">
        <v>97</v>
      </c>
      <c r="E3525" t="s">
        <v>1224</v>
      </c>
      <c r="F3525" s="3">
        <v>0</v>
      </c>
      <c r="G3525" s="3">
        <v>7403.04</v>
      </c>
      <c r="H3525" s="3">
        <v>-7403.04</v>
      </c>
      <c r="I3525" t="s">
        <v>144</v>
      </c>
    </row>
    <row r="3526" spans="1:9" x14ac:dyDescent="0.35">
      <c r="A3526" s="2">
        <v>45611</v>
      </c>
      <c r="B3526">
        <v>95</v>
      </c>
      <c r="C3526">
        <v>6121018</v>
      </c>
      <c r="D3526" t="s">
        <v>150</v>
      </c>
      <c r="E3526" t="s">
        <v>151</v>
      </c>
      <c r="F3526" s="3">
        <v>7860.34</v>
      </c>
      <c r="G3526" s="3">
        <v>0</v>
      </c>
      <c r="H3526" s="3">
        <v>7860.34</v>
      </c>
      <c r="I3526" t="s">
        <v>1225</v>
      </c>
    </row>
    <row r="3527" spans="1:9" x14ac:dyDescent="0.35">
      <c r="A3527" s="2">
        <v>45611</v>
      </c>
      <c r="B3527">
        <v>95</v>
      </c>
      <c r="C3527">
        <v>1141001</v>
      </c>
      <c r="D3527" t="s">
        <v>153</v>
      </c>
      <c r="E3527" t="s">
        <v>151</v>
      </c>
      <c r="F3527" s="3">
        <v>1257.6500000000001</v>
      </c>
      <c r="G3527" s="3">
        <v>0</v>
      </c>
      <c r="H3527" s="3">
        <v>1257.6500000000001</v>
      </c>
      <c r="I3527" t="s">
        <v>1225</v>
      </c>
    </row>
    <row r="3528" spans="1:9" x14ac:dyDescent="0.35">
      <c r="A3528" s="2">
        <v>45611</v>
      </c>
      <c r="B3528">
        <v>95</v>
      </c>
      <c r="C3528">
        <v>2124009</v>
      </c>
      <c r="D3528" t="s">
        <v>154</v>
      </c>
      <c r="E3528" t="s">
        <v>151</v>
      </c>
      <c r="F3528" s="3">
        <v>0</v>
      </c>
      <c r="G3528" s="3">
        <v>943.24</v>
      </c>
      <c r="H3528" s="3">
        <v>-943.24</v>
      </c>
      <c r="I3528" t="s">
        <v>1438</v>
      </c>
    </row>
    <row r="3529" spans="1:9" x14ac:dyDescent="0.35">
      <c r="A3529" s="2">
        <v>45611</v>
      </c>
      <c r="B3529">
        <v>95</v>
      </c>
      <c r="C3529">
        <v>2122003</v>
      </c>
      <c r="D3529" t="s">
        <v>308</v>
      </c>
      <c r="E3529" t="s">
        <v>151</v>
      </c>
      <c r="F3529" s="3">
        <v>0</v>
      </c>
      <c r="G3529" s="3">
        <v>157.21</v>
      </c>
      <c r="H3529" s="3">
        <v>-157.21</v>
      </c>
      <c r="I3529" t="s">
        <v>1225</v>
      </c>
    </row>
    <row r="3530" spans="1:9" x14ac:dyDescent="0.35">
      <c r="A3530" s="2">
        <v>45611</v>
      </c>
      <c r="B3530">
        <v>95</v>
      </c>
      <c r="C3530">
        <v>2114010</v>
      </c>
      <c r="D3530" t="s">
        <v>48</v>
      </c>
      <c r="E3530" t="s">
        <v>151</v>
      </c>
      <c r="F3530" s="3">
        <v>0</v>
      </c>
      <c r="G3530" s="3">
        <v>8017.54</v>
      </c>
      <c r="H3530" s="3">
        <v>-8017.54</v>
      </c>
      <c r="I3530" t="s">
        <v>1225</v>
      </c>
    </row>
    <row r="3531" spans="1:9" x14ac:dyDescent="0.35">
      <c r="A3531" s="2">
        <v>45611</v>
      </c>
      <c r="B3531">
        <v>95</v>
      </c>
      <c r="C3531">
        <v>6121016</v>
      </c>
      <c r="D3531" t="s">
        <v>156</v>
      </c>
      <c r="E3531" t="s">
        <v>157</v>
      </c>
      <c r="F3531" s="3">
        <v>455.94</v>
      </c>
      <c r="G3531" s="3">
        <v>0</v>
      </c>
      <c r="H3531" s="3">
        <v>455.94</v>
      </c>
      <c r="I3531" t="s">
        <v>1226</v>
      </c>
    </row>
    <row r="3532" spans="1:9" x14ac:dyDescent="0.35">
      <c r="A3532" s="2">
        <v>45611</v>
      </c>
      <c r="B3532">
        <v>95</v>
      </c>
      <c r="C3532">
        <v>2114010</v>
      </c>
      <c r="D3532" t="s">
        <v>48</v>
      </c>
      <c r="E3532" t="s">
        <v>157</v>
      </c>
      <c r="F3532" s="3">
        <v>0</v>
      </c>
      <c r="G3532" s="3">
        <v>455.94</v>
      </c>
      <c r="H3532" s="3">
        <v>-455.94</v>
      </c>
      <c r="I3532" t="s">
        <v>1226</v>
      </c>
    </row>
    <row r="3533" spans="1:9" x14ac:dyDescent="0.35">
      <c r="A3533" s="2">
        <v>45611</v>
      </c>
      <c r="B3533">
        <v>95</v>
      </c>
      <c r="C3533">
        <v>6121044</v>
      </c>
      <c r="D3533" t="s">
        <v>176</v>
      </c>
      <c r="E3533" t="s">
        <v>1227</v>
      </c>
      <c r="F3533" s="3">
        <v>168.61</v>
      </c>
      <c r="G3533" s="3">
        <v>0</v>
      </c>
      <c r="H3533" s="3">
        <v>168.61</v>
      </c>
      <c r="I3533" t="s">
        <v>1228</v>
      </c>
    </row>
    <row r="3534" spans="1:9" x14ac:dyDescent="0.35">
      <c r="A3534" s="2">
        <v>45611</v>
      </c>
      <c r="B3534">
        <v>95</v>
      </c>
      <c r="C3534">
        <v>2114010</v>
      </c>
      <c r="D3534" t="s">
        <v>48</v>
      </c>
      <c r="E3534" t="s">
        <v>1227</v>
      </c>
      <c r="F3534" s="3">
        <v>0</v>
      </c>
      <c r="G3534" s="3">
        <v>168.61</v>
      </c>
      <c r="H3534" s="3">
        <v>-168.61</v>
      </c>
      <c r="I3534" t="s">
        <v>1228</v>
      </c>
    </row>
    <row r="3535" spans="1:9" x14ac:dyDescent="0.35">
      <c r="A3535" s="2">
        <v>45611</v>
      </c>
      <c r="B3535">
        <v>95</v>
      </c>
      <c r="C3535">
        <v>6121023</v>
      </c>
      <c r="D3535" t="s">
        <v>49</v>
      </c>
      <c r="E3535" t="s">
        <v>1229</v>
      </c>
      <c r="F3535" s="3">
        <v>123.06</v>
      </c>
      <c r="G3535" s="3">
        <v>0</v>
      </c>
      <c r="H3535" s="3">
        <v>123.06</v>
      </c>
      <c r="I3535" t="s">
        <v>1230</v>
      </c>
    </row>
    <row r="3536" spans="1:9" x14ac:dyDescent="0.35">
      <c r="A3536" s="2">
        <v>45611</v>
      </c>
      <c r="B3536">
        <v>95</v>
      </c>
      <c r="C3536">
        <v>2114010</v>
      </c>
      <c r="D3536" t="s">
        <v>48</v>
      </c>
      <c r="E3536" t="s">
        <v>1229</v>
      </c>
      <c r="F3536" s="3">
        <v>0</v>
      </c>
      <c r="G3536" s="3">
        <v>123.06</v>
      </c>
      <c r="H3536" s="3">
        <v>-123.06</v>
      </c>
      <c r="I3536" t="s">
        <v>1230</v>
      </c>
    </row>
    <row r="3537" spans="1:9" x14ac:dyDescent="0.35">
      <c r="A3537" s="2">
        <v>45611</v>
      </c>
      <c r="B3537">
        <v>95</v>
      </c>
      <c r="C3537">
        <v>6121023</v>
      </c>
      <c r="D3537" t="s">
        <v>49</v>
      </c>
      <c r="E3537" t="s">
        <v>52</v>
      </c>
      <c r="F3537" s="3">
        <v>318.19</v>
      </c>
      <c r="G3537" s="3">
        <v>0</v>
      </c>
      <c r="H3537" s="3">
        <v>318.19</v>
      </c>
      <c r="I3537" t="s">
        <v>1231</v>
      </c>
    </row>
    <row r="3538" spans="1:9" x14ac:dyDescent="0.35">
      <c r="A3538" s="2">
        <v>45611</v>
      </c>
      <c r="B3538">
        <v>95</v>
      </c>
      <c r="C3538">
        <v>2114010</v>
      </c>
      <c r="D3538" t="s">
        <v>48</v>
      </c>
      <c r="E3538" t="s">
        <v>52</v>
      </c>
      <c r="F3538" s="3">
        <v>0</v>
      </c>
      <c r="G3538" s="3">
        <v>318.19</v>
      </c>
      <c r="H3538" s="3">
        <v>-318.19</v>
      </c>
      <c r="I3538" t="s">
        <v>1231</v>
      </c>
    </row>
    <row r="3539" spans="1:9" x14ac:dyDescent="0.35">
      <c r="A3539" s="2">
        <v>45611</v>
      </c>
      <c r="B3539">
        <v>95</v>
      </c>
      <c r="C3539">
        <v>6121023</v>
      </c>
      <c r="D3539" t="s">
        <v>49</v>
      </c>
      <c r="E3539" t="s">
        <v>52</v>
      </c>
      <c r="F3539" s="3">
        <v>268.66000000000003</v>
      </c>
      <c r="G3539" s="3">
        <v>0</v>
      </c>
      <c r="H3539" s="3">
        <v>268.66000000000003</v>
      </c>
      <c r="I3539" t="s">
        <v>1232</v>
      </c>
    </row>
    <row r="3540" spans="1:9" x14ac:dyDescent="0.35">
      <c r="A3540" s="2">
        <v>45611</v>
      </c>
      <c r="B3540">
        <v>95</v>
      </c>
      <c r="C3540">
        <v>2114010</v>
      </c>
      <c r="D3540" t="s">
        <v>48</v>
      </c>
      <c r="E3540" t="s">
        <v>52</v>
      </c>
      <c r="F3540" s="3">
        <v>0</v>
      </c>
      <c r="G3540" s="3">
        <v>268.66000000000003</v>
      </c>
      <c r="H3540" s="3">
        <v>-268.66000000000003</v>
      </c>
      <c r="I3540" t="s">
        <v>1232</v>
      </c>
    </row>
    <row r="3541" spans="1:9" x14ac:dyDescent="0.35">
      <c r="A3541" s="2">
        <v>45611</v>
      </c>
      <c r="B3541">
        <v>95</v>
      </c>
      <c r="C3541">
        <v>6121023</v>
      </c>
      <c r="D3541" t="s">
        <v>49</v>
      </c>
      <c r="E3541" t="s">
        <v>161</v>
      </c>
      <c r="F3541" s="3">
        <v>934.2</v>
      </c>
      <c r="G3541" s="3">
        <v>0</v>
      </c>
      <c r="H3541" s="3">
        <v>934.2</v>
      </c>
      <c r="I3541" t="s">
        <v>1233</v>
      </c>
    </row>
    <row r="3542" spans="1:9" x14ac:dyDescent="0.35">
      <c r="A3542" s="2">
        <v>45611</v>
      </c>
      <c r="B3542">
        <v>95</v>
      </c>
      <c r="C3542">
        <v>2114010</v>
      </c>
      <c r="D3542" t="s">
        <v>48</v>
      </c>
      <c r="E3542" t="s">
        <v>161</v>
      </c>
      <c r="F3542" s="3">
        <v>0</v>
      </c>
      <c r="G3542" s="3">
        <v>934.2</v>
      </c>
      <c r="H3542" s="3">
        <v>-934.2</v>
      </c>
      <c r="I3542" t="s">
        <v>1233</v>
      </c>
    </row>
    <row r="3543" spans="1:9" x14ac:dyDescent="0.35">
      <c r="A3543" s="2">
        <v>45611</v>
      </c>
      <c r="B3543">
        <v>95</v>
      </c>
      <c r="C3543">
        <v>6121023</v>
      </c>
      <c r="D3543" t="s">
        <v>49</v>
      </c>
      <c r="E3543" t="s">
        <v>166</v>
      </c>
      <c r="F3543" s="3">
        <v>1036.4000000000001</v>
      </c>
      <c r="G3543" s="3">
        <v>0</v>
      </c>
      <c r="H3543" s="3">
        <v>1036.4000000000001</v>
      </c>
      <c r="I3543" t="s">
        <v>1234</v>
      </c>
    </row>
    <row r="3544" spans="1:9" x14ac:dyDescent="0.35">
      <c r="A3544" s="2">
        <v>45611</v>
      </c>
      <c r="B3544">
        <v>95</v>
      </c>
      <c r="C3544">
        <v>2114010</v>
      </c>
      <c r="D3544" t="s">
        <v>48</v>
      </c>
      <c r="E3544" t="s">
        <v>166</v>
      </c>
      <c r="F3544" s="3">
        <v>0</v>
      </c>
      <c r="G3544" s="3">
        <v>1036.4000000000001</v>
      </c>
      <c r="H3544" s="3">
        <v>-1036.4000000000001</v>
      </c>
      <c r="I3544" t="s">
        <v>1234</v>
      </c>
    </row>
    <row r="3545" spans="1:9" x14ac:dyDescent="0.35">
      <c r="A3545" s="2">
        <v>45611</v>
      </c>
      <c r="B3545">
        <v>95</v>
      </c>
      <c r="C3545">
        <v>6121023</v>
      </c>
      <c r="D3545" t="s">
        <v>49</v>
      </c>
      <c r="E3545" t="s">
        <v>159</v>
      </c>
      <c r="F3545" s="3">
        <v>165.7</v>
      </c>
      <c r="G3545" s="3">
        <v>0</v>
      </c>
      <c r="H3545" s="3">
        <v>165.7</v>
      </c>
      <c r="I3545" t="s">
        <v>1235</v>
      </c>
    </row>
    <row r="3546" spans="1:9" x14ac:dyDescent="0.35">
      <c r="A3546" s="2">
        <v>45611</v>
      </c>
      <c r="B3546">
        <v>95</v>
      </c>
      <c r="C3546">
        <v>2114010</v>
      </c>
      <c r="D3546" t="s">
        <v>48</v>
      </c>
      <c r="E3546" t="s">
        <v>159</v>
      </c>
      <c r="F3546" s="3">
        <v>0</v>
      </c>
      <c r="G3546" s="3">
        <v>165.7</v>
      </c>
      <c r="H3546" s="3">
        <v>-165.7</v>
      </c>
      <c r="I3546" t="s">
        <v>1235</v>
      </c>
    </row>
    <row r="3547" spans="1:9" x14ac:dyDescent="0.35">
      <c r="A3547" s="2">
        <v>45611</v>
      </c>
      <c r="B3547">
        <v>95</v>
      </c>
      <c r="C3547">
        <v>4112003</v>
      </c>
      <c r="D3547" t="s">
        <v>58</v>
      </c>
      <c r="E3547" t="s">
        <v>59</v>
      </c>
      <c r="F3547" s="3">
        <v>0</v>
      </c>
      <c r="G3547" s="3">
        <v>8069.45</v>
      </c>
      <c r="H3547" s="3">
        <v>-8069.45</v>
      </c>
      <c r="I3547" t="s">
        <v>1236</v>
      </c>
    </row>
    <row r="3548" spans="1:9" x14ac:dyDescent="0.35">
      <c r="A3548" s="2">
        <v>45611</v>
      </c>
      <c r="B3548">
        <v>95</v>
      </c>
      <c r="C3548">
        <v>2121001</v>
      </c>
      <c r="D3548" t="s">
        <v>27</v>
      </c>
      <c r="E3548" t="s">
        <v>59</v>
      </c>
      <c r="F3548" s="3">
        <v>0</v>
      </c>
      <c r="G3548" s="3">
        <v>1291.1099999999999</v>
      </c>
      <c r="H3548" s="3">
        <v>-1291.1099999999999</v>
      </c>
      <c r="I3548" t="s">
        <v>1236</v>
      </c>
    </row>
    <row r="3549" spans="1:9" x14ac:dyDescent="0.35">
      <c r="A3549" s="2">
        <v>45611</v>
      </c>
      <c r="B3549">
        <v>95</v>
      </c>
      <c r="C3549">
        <v>1111001</v>
      </c>
      <c r="D3549" t="s">
        <v>16</v>
      </c>
      <c r="E3549" t="s">
        <v>59</v>
      </c>
      <c r="F3549" s="3">
        <v>9360.56</v>
      </c>
      <c r="G3549" s="3">
        <v>0</v>
      </c>
      <c r="H3549" s="3">
        <v>9360.56</v>
      </c>
      <c r="I3549" t="s">
        <v>1236</v>
      </c>
    </row>
    <row r="3550" spans="1:9" x14ac:dyDescent="0.35">
      <c r="A3550" s="2">
        <v>45611</v>
      </c>
      <c r="B3550">
        <v>95</v>
      </c>
      <c r="C3550">
        <v>4112003</v>
      </c>
      <c r="D3550" t="s">
        <v>58</v>
      </c>
      <c r="E3550" t="s">
        <v>59</v>
      </c>
      <c r="F3550" s="3">
        <v>0</v>
      </c>
      <c r="G3550" s="3">
        <v>5474.29</v>
      </c>
      <c r="H3550" s="3">
        <v>-5474.29</v>
      </c>
      <c r="I3550" t="s">
        <v>1237</v>
      </c>
    </row>
    <row r="3551" spans="1:9" x14ac:dyDescent="0.35">
      <c r="A3551" s="2">
        <v>45611</v>
      </c>
      <c r="B3551">
        <v>95</v>
      </c>
      <c r="C3551">
        <v>2121001</v>
      </c>
      <c r="D3551" t="s">
        <v>27</v>
      </c>
      <c r="E3551" t="s">
        <v>59</v>
      </c>
      <c r="F3551" s="3">
        <v>0</v>
      </c>
      <c r="G3551" s="3">
        <v>875.89</v>
      </c>
      <c r="H3551" s="3">
        <v>-875.89</v>
      </c>
      <c r="I3551" t="s">
        <v>1237</v>
      </c>
    </row>
    <row r="3552" spans="1:9" x14ac:dyDescent="0.35">
      <c r="A3552" s="2">
        <v>45611</v>
      </c>
      <c r="B3552">
        <v>95</v>
      </c>
      <c r="C3552">
        <v>1111001</v>
      </c>
      <c r="D3552" t="s">
        <v>16</v>
      </c>
      <c r="E3552" t="s">
        <v>59</v>
      </c>
      <c r="F3552" s="3">
        <v>6350.18</v>
      </c>
      <c r="G3552" s="3">
        <v>0</v>
      </c>
      <c r="H3552" s="3">
        <v>6350.18</v>
      </c>
      <c r="I3552" t="s">
        <v>1237</v>
      </c>
    </row>
    <row r="3553" spans="1:9" x14ac:dyDescent="0.35">
      <c r="A3553" s="2">
        <v>45611</v>
      </c>
      <c r="B3553">
        <v>95</v>
      </c>
      <c r="C3553">
        <v>4112003</v>
      </c>
      <c r="D3553" t="s">
        <v>58</v>
      </c>
      <c r="E3553" t="s">
        <v>59</v>
      </c>
      <c r="F3553" s="3">
        <v>0</v>
      </c>
      <c r="G3553" s="3">
        <v>1456.95</v>
      </c>
      <c r="H3553" s="3">
        <v>-1456.95</v>
      </c>
      <c r="I3553" t="s">
        <v>1238</v>
      </c>
    </row>
    <row r="3554" spans="1:9" x14ac:dyDescent="0.35">
      <c r="A3554" s="2">
        <v>45611</v>
      </c>
      <c r="B3554">
        <v>95</v>
      </c>
      <c r="C3554">
        <v>2121001</v>
      </c>
      <c r="D3554" t="s">
        <v>27</v>
      </c>
      <c r="E3554" t="s">
        <v>59</v>
      </c>
      <c r="F3554" s="3">
        <v>0</v>
      </c>
      <c r="G3554" s="3">
        <v>233.11</v>
      </c>
      <c r="H3554" s="3">
        <v>-233.11</v>
      </c>
      <c r="I3554" t="s">
        <v>1238</v>
      </c>
    </row>
    <row r="3555" spans="1:9" x14ac:dyDescent="0.35">
      <c r="A3555" s="2">
        <v>45611</v>
      </c>
      <c r="B3555">
        <v>95</v>
      </c>
      <c r="C3555">
        <v>1111001</v>
      </c>
      <c r="D3555" t="s">
        <v>16</v>
      </c>
      <c r="E3555" t="s">
        <v>59</v>
      </c>
      <c r="F3555" s="3">
        <v>1690.06</v>
      </c>
      <c r="G3555" s="3">
        <v>0</v>
      </c>
      <c r="H3555" s="3">
        <v>1690.06</v>
      </c>
      <c r="I3555" t="s">
        <v>1238</v>
      </c>
    </row>
    <row r="3556" spans="1:9" x14ac:dyDescent="0.35">
      <c r="A3556" s="2">
        <v>45611</v>
      </c>
      <c r="B3556">
        <v>95</v>
      </c>
      <c r="C3556">
        <v>4112003</v>
      </c>
      <c r="D3556" t="s">
        <v>58</v>
      </c>
      <c r="E3556" t="s">
        <v>59</v>
      </c>
      <c r="F3556" s="3">
        <v>0</v>
      </c>
      <c r="G3556" s="3">
        <v>7621.14</v>
      </c>
      <c r="H3556" s="3">
        <v>-7621.14</v>
      </c>
      <c r="I3556" t="s">
        <v>1239</v>
      </c>
    </row>
    <row r="3557" spans="1:9" x14ac:dyDescent="0.35">
      <c r="A3557" s="2">
        <v>45611</v>
      </c>
      <c r="B3557">
        <v>95</v>
      </c>
      <c r="C3557">
        <v>2121001</v>
      </c>
      <c r="D3557" t="s">
        <v>27</v>
      </c>
      <c r="E3557" t="s">
        <v>59</v>
      </c>
      <c r="F3557" s="3">
        <v>0</v>
      </c>
      <c r="G3557" s="3">
        <v>1219.3800000000001</v>
      </c>
      <c r="H3557" s="3">
        <v>-1219.3800000000001</v>
      </c>
      <c r="I3557" t="s">
        <v>1239</v>
      </c>
    </row>
    <row r="3558" spans="1:9" x14ac:dyDescent="0.35">
      <c r="A3558" s="2">
        <v>45611</v>
      </c>
      <c r="B3558">
        <v>95</v>
      </c>
      <c r="C3558">
        <v>1111001</v>
      </c>
      <c r="D3558" t="s">
        <v>16</v>
      </c>
      <c r="E3558" t="s">
        <v>59</v>
      </c>
      <c r="F3558" s="3">
        <v>8840.52</v>
      </c>
      <c r="G3558" s="3">
        <v>0</v>
      </c>
      <c r="H3558" s="3">
        <v>8840.52</v>
      </c>
      <c r="I3558" t="s">
        <v>1239</v>
      </c>
    </row>
    <row r="3559" spans="1:9" x14ac:dyDescent="0.35">
      <c r="A3559" s="2">
        <v>45611</v>
      </c>
      <c r="B3559">
        <v>95</v>
      </c>
      <c r="C3559">
        <v>4112003</v>
      </c>
      <c r="D3559" t="s">
        <v>58</v>
      </c>
      <c r="E3559" t="s">
        <v>59</v>
      </c>
      <c r="F3559" s="3">
        <v>0</v>
      </c>
      <c r="G3559" s="3">
        <v>7397</v>
      </c>
      <c r="H3559" s="3">
        <v>-7397</v>
      </c>
      <c r="I3559" t="s">
        <v>1240</v>
      </c>
    </row>
    <row r="3560" spans="1:9" x14ac:dyDescent="0.35">
      <c r="A3560" s="2">
        <v>45611</v>
      </c>
      <c r="B3560">
        <v>95</v>
      </c>
      <c r="C3560">
        <v>2121001</v>
      </c>
      <c r="D3560" t="s">
        <v>27</v>
      </c>
      <c r="E3560" t="s">
        <v>59</v>
      </c>
      <c r="F3560" s="3">
        <v>0</v>
      </c>
      <c r="G3560" s="3">
        <v>1183.52</v>
      </c>
      <c r="H3560" s="3">
        <v>-1183.52</v>
      </c>
      <c r="I3560" t="s">
        <v>1240</v>
      </c>
    </row>
    <row r="3561" spans="1:9" x14ac:dyDescent="0.35">
      <c r="A3561" s="2">
        <v>45611</v>
      </c>
      <c r="B3561">
        <v>95</v>
      </c>
      <c r="C3561">
        <v>1111001</v>
      </c>
      <c r="D3561" t="s">
        <v>16</v>
      </c>
      <c r="E3561" t="s">
        <v>59</v>
      </c>
      <c r="F3561" s="3">
        <v>8580.52</v>
      </c>
      <c r="G3561" s="3">
        <v>0</v>
      </c>
      <c r="H3561" s="3">
        <v>8580.52</v>
      </c>
      <c r="I3561" t="s">
        <v>1240</v>
      </c>
    </row>
    <row r="3562" spans="1:9" x14ac:dyDescent="0.35">
      <c r="A3562" s="2">
        <v>45611</v>
      </c>
      <c r="B3562">
        <v>95</v>
      </c>
      <c r="C3562">
        <v>4112003</v>
      </c>
      <c r="D3562" t="s">
        <v>58</v>
      </c>
      <c r="E3562" t="s">
        <v>59</v>
      </c>
      <c r="F3562" s="3">
        <v>0</v>
      </c>
      <c r="G3562" s="3">
        <v>6638.38</v>
      </c>
      <c r="H3562" s="3">
        <v>-6638.38</v>
      </c>
      <c r="I3562" t="s">
        <v>1241</v>
      </c>
    </row>
    <row r="3563" spans="1:9" x14ac:dyDescent="0.35">
      <c r="A3563" s="2">
        <v>45611</v>
      </c>
      <c r="B3563">
        <v>95</v>
      </c>
      <c r="C3563">
        <v>2121001</v>
      </c>
      <c r="D3563" t="s">
        <v>27</v>
      </c>
      <c r="E3563" t="s">
        <v>59</v>
      </c>
      <c r="F3563" s="3">
        <v>0</v>
      </c>
      <c r="G3563" s="3">
        <v>1062.1400000000001</v>
      </c>
      <c r="H3563" s="3">
        <v>-1062.1400000000001</v>
      </c>
      <c r="I3563" t="s">
        <v>1241</v>
      </c>
    </row>
    <row r="3564" spans="1:9" x14ac:dyDescent="0.35">
      <c r="A3564" s="2">
        <v>45611</v>
      </c>
      <c r="B3564">
        <v>95</v>
      </c>
      <c r="C3564">
        <v>1111001</v>
      </c>
      <c r="D3564" t="s">
        <v>16</v>
      </c>
      <c r="E3564" t="s">
        <v>59</v>
      </c>
      <c r="F3564" s="3">
        <v>7700.52</v>
      </c>
      <c r="G3564" s="3">
        <v>0</v>
      </c>
      <c r="H3564" s="3">
        <v>7700.52</v>
      </c>
      <c r="I3564" t="s">
        <v>1241</v>
      </c>
    </row>
    <row r="3565" spans="1:9" x14ac:dyDescent="0.35">
      <c r="A3565" s="2">
        <v>45611</v>
      </c>
      <c r="B3565">
        <v>95</v>
      </c>
      <c r="C3565">
        <v>4112003</v>
      </c>
      <c r="D3565" t="s">
        <v>58</v>
      </c>
      <c r="E3565" t="s">
        <v>59</v>
      </c>
      <c r="F3565" s="3">
        <v>0</v>
      </c>
      <c r="G3565" s="3">
        <v>8690.09</v>
      </c>
      <c r="H3565" s="3">
        <v>-8690.09</v>
      </c>
      <c r="I3565" t="s">
        <v>1242</v>
      </c>
    </row>
    <row r="3566" spans="1:9" x14ac:dyDescent="0.35">
      <c r="A3566" s="2">
        <v>45611</v>
      </c>
      <c r="B3566">
        <v>95</v>
      </c>
      <c r="C3566">
        <v>2121001</v>
      </c>
      <c r="D3566" t="s">
        <v>27</v>
      </c>
      <c r="E3566" t="s">
        <v>59</v>
      </c>
      <c r="F3566" s="3">
        <v>0</v>
      </c>
      <c r="G3566" s="3">
        <v>1390.41</v>
      </c>
      <c r="H3566" s="3">
        <v>-1390.41</v>
      </c>
      <c r="I3566" t="s">
        <v>1242</v>
      </c>
    </row>
    <row r="3567" spans="1:9" x14ac:dyDescent="0.35">
      <c r="A3567" s="2">
        <v>45611</v>
      </c>
      <c r="B3567">
        <v>95</v>
      </c>
      <c r="C3567">
        <v>1111001</v>
      </c>
      <c r="D3567" t="s">
        <v>16</v>
      </c>
      <c r="E3567" t="s">
        <v>59</v>
      </c>
      <c r="F3567" s="3">
        <v>10080.5</v>
      </c>
      <c r="G3567" s="3">
        <v>0</v>
      </c>
      <c r="H3567" s="3">
        <v>10080.5</v>
      </c>
      <c r="I3567" t="s">
        <v>1242</v>
      </c>
    </row>
    <row r="3568" spans="1:9" x14ac:dyDescent="0.35">
      <c r="A3568" s="2">
        <v>45611</v>
      </c>
      <c r="B3568">
        <v>95</v>
      </c>
      <c r="C3568">
        <v>4112003</v>
      </c>
      <c r="D3568" t="s">
        <v>58</v>
      </c>
      <c r="E3568" t="s">
        <v>59</v>
      </c>
      <c r="F3568" s="3">
        <v>0</v>
      </c>
      <c r="G3568" s="3">
        <v>7362.44</v>
      </c>
      <c r="H3568" s="3">
        <v>-7362.44</v>
      </c>
      <c r="I3568" t="s">
        <v>1243</v>
      </c>
    </row>
    <row r="3569" spans="1:9" x14ac:dyDescent="0.35">
      <c r="A3569" s="2">
        <v>45611</v>
      </c>
      <c r="B3569">
        <v>95</v>
      </c>
      <c r="C3569">
        <v>2121001</v>
      </c>
      <c r="D3569" t="s">
        <v>27</v>
      </c>
      <c r="E3569" t="s">
        <v>59</v>
      </c>
      <c r="F3569" s="3">
        <v>0</v>
      </c>
      <c r="G3569" s="3">
        <v>1177.99</v>
      </c>
      <c r="H3569" s="3">
        <v>-1177.99</v>
      </c>
      <c r="I3569" t="s">
        <v>1243</v>
      </c>
    </row>
    <row r="3570" spans="1:9" x14ac:dyDescent="0.35">
      <c r="A3570" s="2">
        <v>45611</v>
      </c>
      <c r="B3570">
        <v>95</v>
      </c>
      <c r="C3570">
        <v>1111001</v>
      </c>
      <c r="D3570" t="s">
        <v>16</v>
      </c>
      <c r="E3570" t="s">
        <v>59</v>
      </c>
      <c r="F3570" s="3">
        <v>8540.43</v>
      </c>
      <c r="G3570" s="3">
        <v>0</v>
      </c>
      <c r="H3570" s="3">
        <v>8540.43</v>
      </c>
      <c r="I3570" t="s">
        <v>1243</v>
      </c>
    </row>
    <row r="3571" spans="1:9" x14ac:dyDescent="0.35">
      <c r="A3571" s="2">
        <v>45611</v>
      </c>
      <c r="B3571">
        <v>95</v>
      </c>
      <c r="C3571">
        <v>4112003</v>
      </c>
      <c r="D3571" t="s">
        <v>58</v>
      </c>
      <c r="E3571" t="s">
        <v>59</v>
      </c>
      <c r="F3571" s="3">
        <v>0</v>
      </c>
      <c r="G3571" s="3">
        <v>5672.64</v>
      </c>
      <c r="H3571" s="3">
        <v>-5672.64</v>
      </c>
      <c r="I3571" t="s">
        <v>1244</v>
      </c>
    </row>
    <row r="3572" spans="1:9" x14ac:dyDescent="0.35">
      <c r="A3572" s="2">
        <v>45611</v>
      </c>
      <c r="B3572">
        <v>95</v>
      </c>
      <c r="C3572">
        <v>2121001</v>
      </c>
      <c r="D3572" t="s">
        <v>27</v>
      </c>
      <c r="E3572" t="s">
        <v>59</v>
      </c>
      <c r="F3572" s="3">
        <v>0</v>
      </c>
      <c r="G3572" s="3">
        <v>907.62</v>
      </c>
      <c r="H3572" s="3">
        <v>-907.62</v>
      </c>
      <c r="I3572" t="s">
        <v>1244</v>
      </c>
    </row>
    <row r="3573" spans="1:9" x14ac:dyDescent="0.35">
      <c r="A3573" s="2">
        <v>45611</v>
      </c>
      <c r="B3573">
        <v>95</v>
      </c>
      <c r="C3573">
        <v>1111001</v>
      </c>
      <c r="D3573" t="s">
        <v>16</v>
      </c>
      <c r="E3573" t="s">
        <v>59</v>
      </c>
      <c r="F3573" s="3">
        <v>6580.26</v>
      </c>
      <c r="G3573" s="3">
        <v>0</v>
      </c>
      <c r="H3573" s="3">
        <v>6580.26</v>
      </c>
      <c r="I3573" t="s">
        <v>1244</v>
      </c>
    </row>
    <row r="3574" spans="1:9" x14ac:dyDescent="0.35">
      <c r="A3574" s="2">
        <v>45611</v>
      </c>
      <c r="B3574">
        <v>95</v>
      </c>
      <c r="C3574">
        <v>4112003</v>
      </c>
      <c r="D3574" t="s">
        <v>58</v>
      </c>
      <c r="E3574" t="s">
        <v>59</v>
      </c>
      <c r="F3574" s="3">
        <v>0</v>
      </c>
      <c r="G3574" s="3">
        <v>2810.57</v>
      </c>
      <c r="H3574" s="3">
        <v>-2810.57</v>
      </c>
      <c r="I3574" t="s">
        <v>1245</v>
      </c>
    </row>
    <row r="3575" spans="1:9" x14ac:dyDescent="0.35">
      <c r="A3575" s="2">
        <v>45611</v>
      </c>
      <c r="B3575">
        <v>95</v>
      </c>
      <c r="C3575">
        <v>2121001</v>
      </c>
      <c r="D3575" t="s">
        <v>27</v>
      </c>
      <c r="E3575" t="s">
        <v>59</v>
      </c>
      <c r="F3575" s="3">
        <v>0</v>
      </c>
      <c r="G3575" s="3">
        <v>449.69</v>
      </c>
      <c r="H3575" s="3">
        <v>-449.69</v>
      </c>
      <c r="I3575" t="s">
        <v>1245</v>
      </c>
    </row>
    <row r="3576" spans="1:9" x14ac:dyDescent="0.35">
      <c r="A3576" s="2">
        <v>45611</v>
      </c>
      <c r="B3576">
        <v>95</v>
      </c>
      <c r="C3576">
        <v>1111001</v>
      </c>
      <c r="D3576" t="s">
        <v>16</v>
      </c>
      <c r="E3576" t="s">
        <v>59</v>
      </c>
      <c r="F3576" s="3">
        <v>3260.26</v>
      </c>
      <c r="G3576" s="3">
        <v>0</v>
      </c>
      <c r="H3576" s="3">
        <v>3260.26</v>
      </c>
      <c r="I3576" t="s">
        <v>1245</v>
      </c>
    </row>
    <row r="3577" spans="1:9" x14ac:dyDescent="0.35">
      <c r="A3577" s="2">
        <v>45611</v>
      </c>
      <c r="B3577">
        <v>95</v>
      </c>
      <c r="C3577">
        <v>4112003</v>
      </c>
      <c r="D3577" t="s">
        <v>58</v>
      </c>
      <c r="E3577" t="s">
        <v>59</v>
      </c>
      <c r="F3577" s="3">
        <v>0</v>
      </c>
      <c r="G3577" s="3">
        <v>7603.85</v>
      </c>
      <c r="H3577" s="3">
        <v>-7603.85</v>
      </c>
      <c r="I3577" t="s">
        <v>1246</v>
      </c>
    </row>
    <row r="3578" spans="1:9" x14ac:dyDescent="0.35">
      <c r="A3578" s="2">
        <v>45611</v>
      </c>
      <c r="B3578">
        <v>95</v>
      </c>
      <c r="C3578">
        <v>2121001</v>
      </c>
      <c r="D3578" t="s">
        <v>27</v>
      </c>
      <c r="E3578" t="s">
        <v>59</v>
      </c>
      <c r="F3578" s="3">
        <v>0</v>
      </c>
      <c r="G3578" s="3">
        <v>1216.6199999999999</v>
      </c>
      <c r="H3578" s="3">
        <v>-1216.6199999999999</v>
      </c>
      <c r="I3578" t="s">
        <v>1246</v>
      </c>
    </row>
    <row r="3579" spans="1:9" x14ac:dyDescent="0.35">
      <c r="A3579" s="2">
        <v>45611</v>
      </c>
      <c r="B3579">
        <v>95</v>
      </c>
      <c r="C3579">
        <v>1111001</v>
      </c>
      <c r="D3579" t="s">
        <v>16</v>
      </c>
      <c r="E3579" t="s">
        <v>59</v>
      </c>
      <c r="F3579" s="3">
        <v>8820.4699999999993</v>
      </c>
      <c r="G3579" s="3">
        <v>0</v>
      </c>
      <c r="H3579" s="3">
        <v>8820.4699999999993</v>
      </c>
      <c r="I3579" t="s">
        <v>1246</v>
      </c>
    </row>
    <row r="3580" spans="1:9" x14ac:dyDescent="0.35">
      <c r="A3580" s="2">
        <v>45611</v>
      </c>
      <c r="B3580">
        <v>95</v>
      </c>
      <c r="C3580">
        <v>4112003</v>
      </c>
      <c r="D3580" t="s">
        <v>58</v>
      </c>
      <c r="E3580" t="s">
        <v>59</v>
      </c>
      <c r="F3580" s="3">
        <v>0</v>
      </c>
      <c r="G3580" s="3">
        <v>6034.91</v>
      </c>
      <c r="H3580" s="3">
        <v>-6034.91</v>
      </c>
      <c r="I3580" t="s">
        <v>1247</v>
      </c>
    </row>
    <row r="3581" spans="1:9" x14ac:dyDescent="0.35">
      <c r="A3581" s="2">
        <v>45611</v>
      </c>
      <c r="B3581">
        <v>95</v>
      </c>
      <c r="C3581">
        <v>2121001</v>
      </c>
      <c r="D3581" t="s">
        <v>27</v>
      </c>
      <c r="E3581" t="s">
        <v>59</v>
      </c>
      <c r="F3581" s="3">
        <v>0</v>
      </c>
      <c r="G3581" s="3">
        <v>965.59</v>
      </c>
      <c r="H3581" s="3">
        <v>-965.59</v>
      </c>
      <c r="I3581" t="s">
        <v>1247</v>
      </c>
    </row>
    <row r="3582" spans="1:9" x14ac:dyDescent="0.35">
      <c r="A3582" s="2">
        <v>45611</v>
      </c>
      <c r="B3582">
        <v>95</v>
      </c>
      <c r="C3582">
        <v>1111001</v>
      </c>
      <c r="D3582" t="s">
        <v>16</v>
      </c>
      <c r="E3582" t="s">
        <v>59</v>
      </c>
      <c r="F3582" s="3">
        <v>7000.5</v>
      </c>
      <c r="G3582" s="3">
        <v>0</v>
      </c>
      <c r="H3582" s="3">
        <v>7000.5</v>
      </c>
      <c r="I3582" t="s">
        <v>1247</v>
      </c>
    </row>
    <row r="3583" spans="1:9" x14ac:dyDescent="0.35">
      <c r="A3583" s="2">
        <v>45611</v>
      </c>
      <c r="B3583">
        <v>95</v>
      </c>
      <c r="C3583">
        <v>4112003</v>
      </c>
      <c r="D3583" t="s">
        <v>58</v>
      </c>
      <c r="E3583" t="s">
        <v>59</v>
      </c>
      <c r="F3583" s="3">
        <v>0</v>
      </c>
      <c r="G3583" s="3">
        <v>7483.18</v>
      </c>
      <c r="H3583" s="3">
        <v>-7483.18</v>
      </c>
      <c r="I3583" t="s">
        <v>1248</v>
      </c>
    </row>
    <row r="3584" spans="1:9" x14ac:dyDescent="0.35">
      <c r="A3584" s="2">
        <v>45611</v>
      </c>
      <c r="B3584">
        <v>95</v>
      </c>
      <c r="C3584">
        <v>2121001</v>
      </c>
      <c r="D3584" t="s">
        <v>27</v>
      </c>
      <c r="E3584" t="s">
        <v>59</v>
      </c>
      <c r="F3584" s="3">
        <v>0</v>
      </c>
      <c r="G3584" s="3">
        <v>1197.31</v>
      </c>
      <c r="H3584" s="3">
        <v>-1197.31</v>
      </c>
      <c r="I3584" t="s">
        <v>1248</v>
      </c>
    </row>
    <row r="3585" spans="1:9" x14ac:dyDescent="0.35">
      <c r="A3585" s="2">
        <v>45611</v>
      </c>
      <c r="B3585">
        <v>95</v>
      </c>
      <c r="C3585">
        <v>1111001</v>
      </c>
      <c r="D3585" t="s">
        <v>16</v>
      </c>
      <c r="E3585" t="s">
        <v>59</v>
      </c>
      <c r="F3585" s="3">
        <v>8680.49</v>
      </c>
      <c r="G3585" s="3">
        <v>0</v>
      </c>
      <c r="H3585" s="3">
        <v>8680.49</v>
      </c>
      <c r="I3585" t="s">
        <v>1248</v>
      </c>
    </row>
    <row r="3586" spans="1:9" x14ac:dyDescent="0.35">
      <c r="A3586" s="2">
        <v>45611</v>
      </c>
      <c r="B3586">
        <v>95</v>
      </c>
      <c r="C3586">
        <v>4112003</v>
      </c>
      <c r="D3586" t="s">
        <v>58</v>
      </c>
      <c r="E3586" t="s">
        <v>59</v>
      </c>
      <c r="F3586" s="3">
        <v>0</v>
      </c>
      <c r="G3586" s="3">
        <v>7241.74</v>
      </c>
      <c r="H3586" s="3">
        <v>-7241.74</v>
      </c>
      <c r="I3586" t="s">
        <v>1249</v>
      </c>
    </row>
    <row r="3587" spans="1:9" x14ac:dyDescent="0.35">
      <c r="A3587" s="2">
        <v>45611</v>
      </c>
      <c r="B3587">
        <v>95</v>
      </c>
      <c r="C3587">
        <v>2121001</v>
      </c>
      <c r="D3587" t="s">
        <v>27</v>
      </c>
      <c r="E3587" t="s">
        <v>59</v>
      </c>
      <c r="F3587" s="3">
        <v>0</v>
      </c>
      <c r="G3587" s="3">
        <v>1158.68</v>
      </c>
      <c r="H3587" s="3">
        <v>-1158.68</v>
      </c>
      <c r="I3587" t="s">
        <v>1249</v>
      </c>
    </row>
    <row r="3588" spans="1:9" x14ac:dyDescent="0.35">
      <c r="A3588" s="2">
        <v>45611</v>
      </c>
      <c r="B3588">
        <v>95</v>
      </c>
      <c r="C3588">
        <v>1111001</v>
      </c>
      <c r="D3588" t="s">
        <v>16</v>
      </c>
      <c r="E3588" t="s">
        <v>59</v>
      </c>
      <c r="F3588" s="3">
        <v>8400.42</v>
      </c>
      <c r="G3588" s="3">
        <v>0</v>
      </c>
      <c r="H3588" s="3">
        <v>8400.42</v>
      </c>
      <c r="I3588" t="s">
        <v>1249</v>
      </c>
    </row>
    <row r="3589" spans="1:9" x14ac:dyDescent="0.35">
      <c r="A3589" s="2">
        <v>45611</v>
      </c>
      <c r="B3589">
        <v>95</v>
      </c>
      <c r="C3589">
        <v>4112003</v>
      </c>
      <c r="D3589" t="s">
        <v>58</v>
      </c>
      <c r="E3589" t="s">
        <v>59</v>
      </c>
      <c r="F3589" s="3">
        <v>0</v>
      </c>
      <c r="G3589" s="3">
        <v>7845.25</v>
      </c>
      <c r="H3589" s="3">
        <v>-7845.25</v>
      </c>
      <c r="I3589" t="s">
        <v>1250</v>
      </c>
    </row>
    <row r="3590" spans="1:9" x14ac:dyDescent="0.35">
      <c r="A3590" s="2">
        <v>45611</v>
      </c>
      <c r="B3590">
        <v>95</v>
      </c>
      <c r="C3590">
        <v>2121001</v>
      </c>
      <c r="D3590" t="s">
        <v>27</v>
      </c>
      <c r="E3590" t="s">
        <v>59</v>
      </c>
      <c r="F3590" s="3">
        <v>0</v>
      </c>
      <c r="G3590" s="3">
        <v>1255.24</v>
      </c>
      <c r="H3590" s="3">
        <v>-1255.24</v>
      </c>
      <c r="I3590" t="s">
        <v>1250</v>
      </c>
    </row>
    <row r="3591" spans="1:9" x14ac:dyDescent="0.35">
      <c r="A3591" s="2">
        <v>45611</v>
      </c>
      <c r="B3591">
        <v>95</v>
      </c>
      <c r="C3591">
        <v>1111001</v>
      </c>
      <c r="D3591" t="s">
        <v>16</v>
      </c>
      <c r="E3591" t="s">
        <v>59</v>
      </c>
      <c r="F3591" s="3">
        <v>9100.49</v>
      </c>
      <c r="G3591" s="3">
        <v>0</v>
      </c>
      <c r="H3591" s="3">
        <v>9100.49</v>
      </c>
      <c r="I3591" t="s">
        <v>1250</v>
      </c>
    </row>
    <row r="3592" spans="1:9" x14ac:dyDescent="0.35">
      <c r="A3592" s="2">
        <v>45611</v>
      </c>
      <c r="B3592">
        <v>95</v>
      </c>
      <c r="C3592">
        <v>4112004</v>
      </c>
      <c r="D3592" t="s">
        <v>74</v>
      </c>
      <c r="E3592" t="s">
        <v>740</v>
      </c>
      <c r="F3592" s="3">
        <v>0</v>
      </c>
      <c r="G3592" s="3">
        <v>6573.63</v>
      </c>
      <c r="H3592" s="3">
        <v>-6573.63</v>
      </c>
      <c r="I3592" t="s">
        <v>1251</v>
      </c>
    </row>
    <row r="3593" spans="1:9" x14ac:dyDescent="0.35">
      <c r="A3593" s="2">
        <v>45611</v>
      </c>
      <c r="B3593">
        <v>95</v>
      </c>
      <c r="C3593">
        <v>2121001</v>
      </c>
      <c r="D3593" t="s">
        <v>27</v>
      </c>
      <c r="E3593" t="s">
        <v>740</v>
      </c>
      <c r="F3593" s="3">
        <v>0</v>
      </c>
      <c r="G3593" s="3">
        <v>1051.78</v>
      </c>
      <c r="H3593" s="3">
        <v>-1051.78</v>
      </c>
      <c r="I3593" t="s">
        <v>1251</v>
      </c>
    </row>
    <row r="3594" spans="1:9" x14ac:dyDescent="0.35">
      <c r="A3594" s="2">
        <v>45611</v>
      </c>
      <c r="B3594">
        <v>95</v>
      </c>
      <c r="C3594">
        <v>1111003</v>
      </c>
      <c r="D3594" t="s">
        <v>19</v>
      </c>
      <c r="E3594" t="s">
        <v>740</v>
      </c>
      <c r="F3594" s="3">
        <v>228.76</v>
      </c>
      <c r="G3594" s="3">
        <v>0</v>
      </c>
      <c r="H3594" s="3">
        <v>228.76</v>
      </c>
      <c r="I3594" t="s">
        <v>1251</v>
      </c>
    </row>
    <row r="3595" spans="1:9" x14ac:dyDescent="0.35">
      <c r="A3595" s="2">
        <v>45611</v>
      </c>
      <c r="B3595">
        <v>95</v>
      </c>
      <c r="C3595">
        <v>2124007</v>
      </c>
      <c r="D3595" t="s">
        <v>30</v>
      </c>
      <c r="E3595" t="s">
        <v>740</v>
      </c>
      <c r="F3595" s="3">
        <v>0</v>
      </c>
      <c r="G3595" s="3">
        <v>228.76</v>
      </c>
      <c r="H3595" s="3">
        <v>-228.76</v>
      </c>
      <c r="I3595" t="s">
        <v>1251</v>
      </c>
    </row>
    <row r="3596" spans="1:9" x14ac:dyDescent="0.35">
      <c r="A3596" s="2">
        <v>45611</v>
      </c>
      <c r="B3596">
        <v>95</v>
      </c>
      <c r="C3596">
        <v>1111001</v>
      </c>
      <c r="D3596" t="s">
        <v>16</v>
      </c>
      <c r="E3596" t="s">
        <v>740</v>
      </c>
      <c r="F3596" s="3">
        <v>7625.41</v>
      </c>
      <c r="G3596" s="3">
        <v>0</v>
      </c>
      <c r="H3596" s="3">
        <v>7625.41</v>
      </c>
      <c r="I3596" t="s">
        <v>1251</v>
      </c>
    </row>
    <row r="3597" spans="1:9" x14ac:dyDescent="0.35">
      <c r="A3597" s="2">
        <v>45611</v>
      </c>
      <c r="B3597">
        <v>95</v>
      </c>
      <c r="C3597">
        <v>4112004</v>
      </c>
      <c r="D3597" t="s">
        <v>74</v>
      </c>
      <c r="E3597" t="s">
        <v>197</v>
      </c>
      <c r="F3597" s="3">
        <v>0</v>
      </c>
      <c r="G3597" s="3">
        <v>9310.23</v>
      </c>
      <c r="H3597" s="3">
        <v>-9310.23</v>
      </c>
      <c r="I3597" t="s">
        <v>1252</v>
      </c>
    </row>
    <row r="3598" spans="1:9" x14ac:dyDescent="0.35">
      <c r="A3598" s="2">
        <v>45611</v>
      </c>
      <c r="B3598">
        <v>95</v>
      </c>
      <c r="C3598">
        <v>2121001</v>
      </c>
      <c r="D3598" t="s">
        <v>27</v>
      </c>
      <c r="E3598" t="s">
        <v>197</v>
      </c>
      <c r="F3598" s="3">
        <v>0</v>
      </c>
      <c r="G3598" s="3">
        <v>1489.64</v>
      </c>
      <c r="H3598" s="3">
        <v>-1489.64</v>
      </c>
      <c r="I3598" t="s">
        <v>1252</v>
      </c>
    </row>
    <row r="3599" spans="1:9" x14ac:dyDescent="0.35">
      <c r="A3599" s="2">
        <v>45611</v>
      </c>
      <c r="B3599">
        <v>95</v>
      </c>
      <c r="C3599">
        <v>1141002</v>
      </c>
      <c r="D3599" t="s">
        <v>23</v>
      </c>
      <c r="E3599" t="s">
        <v>197</v>
      </c>
      <c r="F3599" s="3">
        <v>1117.23</v>
      </c>
      <c r="G3599" s="3">
        <v>0</v>
      </c>
      <c r="H3599" s="3">
        <v>1117.23</v>
      </c>
      <c r="I3599" t="s">
        <v>1438</v>
      </c>
    </row>
    <row r="3600" spans="1:9" x14ac:dyDescent="0.35">
      <c r="A3600" s="2">
        <v>45611</v>
      </c>
      <c r="B3600">
        <v>95</v>
      </c>
      <c r="C3600">
        <v>1142001</v>
      </c>
      <c r="D3600" t="s">
        <v>199</v>
      </c>
      <c r="E3600" t="s">
        <v>197</v>
      </c>
      <c r="F3600" s="3">
        <v>186.2</v>
      </c>
      <c r="G3600" s="3">
        <v>0</v>
      </c>
      <c r="H3600" s="3">
        <v>186.2</v>
      </c>
      <c r="I3600" t="s">
        <v>1438</v>
      </c>
    </row>
    <row r="3601" spans="1:9" x14ac:dyDescent="0.35">
      <c r="A3601" s="2">
        <v>45611</v>
      </c>
      <c r="B3601">
        <v>95</v>
      </c>
      <c r="C3601">
        <v>6121040</v>
      </c>
      <c r="D3601" t="s">
        <v>98</v>
      </c>
      <c r="E3601" t="s">
        <v>197</v>
      </c>
      <c r="F3601" s="3">
        <v>216</v>
      </c>
      <c r="G3601" s="3">
        <v>0</v>
      </c>
      <c r="H3601" s="3">
        <v>216</v>
      </c>
      <c r="I3601" t="s">
        <v>1252</v>
      </c>
    </row>
    <row r="3602" spans="1:9" x14ac:dyDescent="0.35">
      <c r="A3602" s="2">
        <v>45611</v>
      </c>
      <c r="B3602">
        <v>95</v>
      </c>
      <c r="C3602">
        <v>1111001</v>
      </c>
      <c r="D3602" t="s">
        <v>16</v>
      </c>
      <c r="E3602" t="s">
        <v>197</v>
      </c>
      <c r="F3602" s="3">
        <v>9280.43</v>
      </c>
      <c r="G3602" s="3">
        <v>0</v>
      </c>
      <c r="H3602" s="3">
        <v>9280.43</v>
      </c>
      <c r="I3602" t="s">
        <v>1252</v>
      </c>
    </row>
    <row r="3603" spans="1:9" x14ac:dyDescent="0.35">
      <c r="A3603" s="2">
        <v>45611</v>
      </c>
      <c r="B3603">
        <v>95</v>
      </c>
      <c r="C3603">
        <v>2121001</v>
      </c>
      <c r="D3603" t="s">
        <v>27</v>
      </c>
      <c r="E3603" t="s">
        <v>1253</v>
      </c>
      <c r="F3603" s="3">
        <v>18125.73</v>
      </c>
      <c r="G3603" s="3">
        <v>0</v>
      </c>
      <c r="H3603" s="3">
        <v>18125.73</v>
      </c>
      <c r="I3603" t="s">
        <v>544</v>
      </c>
    </row>
    <row r="3604" spans="1:9" x14ac:dyDescent="0.35">
      <c r="A3604" s="2">
        <v>45611</v>
      </c>
      <c r="B3604">
        <v>95</v>
      </c>
      <c r="C3604">
        <v>1141001</v>
      </c>
      <c r="D3604" t="s">
        <v>153</v>
      </c>
      <c r="E3604" t="s">
        <v>1253</v>
      </c>
      <c r="F3604" s="3">
        <v>0</v>
      </c>
      <c r="G3604" s="3">
        <v>1257.6500000000001</v>
      </c>
      <c r="H3604" s="3">
        <v>-1257.6500000000001</v>
      </c>
      <c r="I3604" t="s">
        <v>544</v>
      </c>
    </row>
    <row r="3605" spans="1:9" x14ac:dyDescent="0.35">
      <c r="A3605" s="2">
        <v>45611</v>
      </c>
      <c r="B3605">
        <v>95</v>
      </c>
      <c r="C3605">
        <v>1141002</v>
      </c>
      <c r="D3605" t="s">
        <v>23</v>
      </c>
      <c r="E3605" t="s">
        <v>1253</v>
      </c>
      <c r="F3605" s="3">
        <v>0</v>
      </c>
      <c r="G3605" s="3">
        <v>1117.23</v>
      </c>
      <c r="H3605" s="3">
        <v>-1117.23</v>
      </c>
      <c r="I3605" t="s">
        <v>544</v>
      </c>
    </row>
    <row r="3606" spans="1:9" x14ac:dyDescent="0.35">
      <c r="A3606" s="2">
        <v>45611</v>
      </c>
      <c r="B3606">
        <v>95</v>
      </c>
      <c r="C3606">
        <v>2121003</v>
      </c>
      <c r="D3606" t="s">
        <v>28</v>
      </c>
      <c r="E3606" t="s">
        <v>1253</v>
      </c>
      <c r="F3606" s="3">
        <v>0</v>
      </c>
      <c r="G3606" s="3">
        <v>15750.84</v>
      </c>
      <c r="H3606" s="3">
        <v>-15750.84</v>
      </c>
      <c r="I3606" t="s">
        <v>544</v>
      </c>
    </row>
    <row r="3607" spans="1:9" x14ac:dyDescent="0.35">
      <c r="A3607" s="2">
        <v>45611</v>
      </c>
      <c r="B3607">
        <v>95</v>
      </c>
      <c r="C3607">
        <v>1142004</v>
      </c>
      <c r="D3607" t="s">
        <v>83</v>
      </c>
      <c r="E3607" t="s">
        <v>502</v>
      </c>
      <c r="F3607" s="3">
        <v>1132.8599999999999</v>
      </c>
      <c r="G3607" s="3">
        <v>0</v>
      </c>
      <c r="H3607" s="3">
        <v>1132.8599999999999</v>
      </c>
      <c r="I3607" t="s">
        <v>503</v>
      </c>
    </row>
    <row r="3608" spans="1:9" x14ac:dyDescent="0.35">
      <c r="A3608" s="2">
        <v>45611</v>
      </c>
      <c r="B3608">
        <v>95</v>
      </c>
      <c r="C3608">
        <v>2124004</v>
      </c>
      <c r="D3608" t="s">
        <v>29</v>
      </c>
      <c r="E3608" t="s">
        <v>502</v>
      </c>
      <c r="F3608" s="3">
        <v>0</v>
      </c>
      <c r="G3608" s="3">
        <v>1132.8599999999999</v>
      </c>
      <c r="H3608" s="3">
        <v>-1132.8599999999999</v>
      </c>
      <c r="I3608" t="s">
        <v>503</v>
      </c>
    </row>
    <row r="3609" spans="1:9" x14ac:dyDescent="0.35">
      <c r="A3609" s="2">
        <v>45611</v>
      </c>
      <c r="B3609">
        <v>95</v>
      </c>
      <c r="C3609">
        <v>5131001</v>
      </c>
      <c r="D3609" t="s">
        <v>86</v>
      </c>
      <c r="E3609" t="s">
        <v>1254</v>
      </c>
      <c r="F3609" s="3">
        <v>390</v>
      </c>
      <c r="G3609" s="3">
        <v>0</v>
      </c>
      <c r="H3609" s="3">
        <v>390</v>
      </c>
      <c r="I3609" t="s">
        <v>574</v>
      </c>
    </row>
    <row r="3610" spans="1:9" x14ac:dyDescent="0.35">
      <c r="A3610" s="2">
        <v>45611</v>
      </c>
      <c r="B3610">
        <v>95</v>
      </c>
      <c r="C3610">
        <v>5131005</v>
      </c>
      <c r="D3610" t="s">
        <v>205</v>
      </c>
      <c r="E3610" t="s">
        <v>1254</v>
      </c>
      <c r="F3610" s="3">
        <v>5406</v>
      </c>
      <c r="G3610" s="3">
        <v>0</v>
      </c>
      <c r="H3610" s="3">
        <v>5406</v>
      </c>
      <c r="I3610" t="s">
        <v>574</v>
      </c>
    </row>
    <row r="3611" spans="1:9" x14ac:dyDescent="0.35">
      <c r="A3611" s="2">
        <v>45611</v>
      </c>
      <c r="B3611">
        <v>95</v>
      </c>
      <c r="C3611">
        <v>5131008</v>
      </c>
      <c r="D3611" t="s">
        <v>89</v>
      </c>
      <c r="E3611" t="s">
        <v>1254</v>
      </c>
      <c r="F3611" s="3">
        <v>81.900000000000006</v>
      </c>
      <c r="G3611" s="3">
        <v>0</v>
      </c>
      <c r="H3611" s="3">
        <v>81.900000000000006</v>
      </c>
      <c r="I3611" t="s">
        <v>574</v>
      </c>
    </row>
    <row r="3612" spans="1:9" x14ac:dyDescent="0.35">
      <c r="A3612" s="2">
        <v>45611</v>
      </c>
      <c r="B3612">
        <v>95</v>
      </c>
      <c r="C3612">
        <v>5131009</v>
      </c>
      <c r="D3612" t="s">
        <v>90</v>
      </c>
      <c r="E3612" t="s">
        <v>1254</v>
      </c>
      <c r="F3612" s="3">
        <v>16.25</v>
      </c>
      <c r="G3612" s="3">
        <v>0</v>
      </c>
      <c r="H3612" s="3">
        <v>16.25</v>
      </c>
      <c r="I3612" t="s">
        <v>574</v>
      </c>
    </row>
    <row r="3613" spans="1:9" x14ac:dyDescent="0.35">
      <c r="A3613" s="2">
        <v>45611</v>
      </c>
      <c r="B3613">
        <v>95</v>
      </c>
      <c r="C3613">
        <v>5131010</v>
      </c>
      <c r="D3613" t="s">
        <v>91</v>
      </c>
      <c r="E3613" t="s">
        <v>1254</v>
      </c>
      <c r="F3613" s="3">
        <v>32.5</v>
      </c>
      <c r="G3613" s="3">
        <v>0</v>
      </c>
      <c r="H3613" s="3">
        <v>32.5</v>
      </c>
      <c r="I3613" t="s">
        <v>574</v>
      </c>
    </row>
    <row r="3614" spans="1:9" x14ac:dyDescent="0.35">
      <c r="A3614" s="2">
        <v>45611</v>
      </c>
      <c r="B3614">
        <v>95</v>
      </c>
      <c r="C3614">
        <v>5131012</v>
      </c>
      <c r="D3614" t="s">
        <v>206</v>
      </c>
      <c r="E3614" t="s">
        <v>1254</v>
      </c>
      <c r="F3614" s="3">
        <v>42.9</v>
      </c>
      <c r="G3614" s="3">
        <v>0</v>
      </c>
      <c r="H3614" s="3">
        <v>42.9</v>
      </c>
      <c r="I3614" t="s">
        <v>574</v>
      </c>
    </row>
    <row r="3615" spans="1:9" x14ac:dyDescent="0.35">
      <c r="A3615" s="2">
        <v>45611</v>
      </c>
      <c r="B3615">
        <v>95</v>
      </c>
      <c r="C3615">
        <v>5131013</v>
      </c>
      <c r="D3615" t="s">
        <v>92</v>
      </c>
      <c r="E3615" t="s">
        <v>1254</v>
      </c>
      <c r="F3615" s="3">
        <v>7.8</v>
      </c>
      <c r="G3615" s="3">
        <v>0</v>
      </c>
      <c r="H3615" s="3">
        <v>7.8</v>
      </c>
      <c r="I3615" t="s">
        <v>574</v>
      </c>
    </row>
    <row r="3616" spans="1:9" x14ac:dyDescent="0.35">
      <c r="A3616" s="2">
        <v>45611</v>
      </c>
      <c r="B3616">
        <v>95</v>
      </c>
      <c r="C3616">
        <v>5131014</v>
      </c>
      <c r="D3616" t="s">
        <v>207</v>
      </c>
      <c r="E3616" t="s">
        <v>1254</v>
      </c>
      <c r="F3616" s="3">
        <v>7.8</v>
      </c>
      <c r="G3616" s="3">
        <v>0</v>
      </c>
      <c r="H3616" s="3">
        <v>7.8</v>
      </c>
      <c r="I3616" t="s">
        <v>574</v>
      </c>
    </row>
    <row r="3617" spans="1:9" x14ac:dyDescent="0.35">
      <c r="A3617" s="2">
        <v>45611</v>
      </c>
      <c r="B3617">
        <v>95</v>
      </c>
      <c r="C3617">
        <v>5131006</v>
      </c>
      <c r="D3617" t="s">
        <v>125</v>
      </c>
      <c r="E3617" t="s">
        <v>1254</v>
      </c>
      <c r="F3617" s="3">
        <v>26420.75</v>
      </c>
      <c r="G3617" s="3">
        <v>0</v>
      </c>
      <c r="H3617" s="3">
        <v>26420.75</v>
      </c>
      <c r="I3617" t="s">
        <v>574</v>
      </c>
    </row>
    <row r="3618" spans="1:9" x14ac:dyDescent="0.35">
      <c r="A3618" s="2">
        <v>45611</v>
      </c>
      <c r="B3618">
        <v>95</v>
      </c>
      <c r="C3618">
        <v>2131002</v>
      </c>
      <c r="D3618" t="s">
        <v>31</v>
      </c>
      <c r="E3618" t="s">
        <v>1254</v>
      </c>
      <c r="F3618" s="3">
        <v>0</v>
      </c>
      <c r="G3618" s="3">
        <v>15.6</v>
      </c>
      <c r="H3618" s="3">
        <v>-15.6</v>
      </c>
      <c r="I3618" t="s">
        <v>574</v>
      </c>
    </row>
    <row r="3619" spans="1:9" x14ac:dyDescent="0.35">
      <c r="A3619" s="2">
        <v>45611</v>
      </c>
      <c r="B3619">
        <v>95</v>
      </c>
      <c r="C3619">
        <v>2131003</v>
      </c>
      <c r="D3619" t="s">
        <v>32</v>
      </c>
      <c r="E3619" t="s">
        <v>1254</v>
      </c>
      <c r="F3619" s="3">
        <v>0</v>
      </c>
      <c r="G3619" s="3">
        <v>1.95</v>
      </c>
      <c r="H3619" s="3">
        <v>-1.95</v>
      </c>
      <c r="I3619" t="s">
        <v>574</v>
      </c>
    </row>
    <row r="3620" spans="1:9" x14ac:dyDescent="0.35">
      <c r="A3620" s="2">
        <v>45611</v>
      </c>
      <c r="B3620">
        <v>95</v>
      </c>
      <c r="C3620">
        <v>2131004</v>
      </c>
      <c r="D3620" t="s">
        <v>33</v>
      </c>
      <c r="E3620" t="s">
        <v>1254</v>
      </c>
      <c r="F3620" s="3">
        <v>0</v>
      </c>
      <c r="G3620" s="3">
        <v>3.9</v>
      </c>
      <c r="H3620" s="3">
        <v>-3.9</v>
      </c>
      <c r="I3620" t="s">
        <v>574</v>
      </c>
    </row>
    <row r="3621" spans="1:9" x14ac:dyDescent="0.35">
      <c r="A3621" s="2">
        <v>45611</v>
      </c>
      <c r="B3621">
        <v>95</v>
      </c>
      <c r="C3621">
        <v>2141001</v>
      </c>
      <c r="D3621" t="s">
        <v>35</v>
      </c>
      <c r="E3621" t="s">
        <v>1254</v>
      </c>
      <c r="F3621" s="3">
        <v>0</v>
      </c>
      <c r="G3621" s="3">
        <v>42.9</v>
      </c>
      <c r="H3621" s="3">
        <v>-42.9</v>
      </c>
      <c r="I3621" t="s">
        <v>574</v>
      </c>
    </row>
    <row r="3622" spans="1:9" x14ac:dyDescent="0.35">
      <c r="A3622" s="2">
        <v>45611</v>
      </c>
      <c r="B3622">
        <v>95</v>
      </c>
      <c r="C3622">
        <v>2141002</v>
      </c>
      <c r="D3622" t="s">
        <v>36</v>
      </c>
      <c r="E3622" t="s">
        <v>1254</v>
      </c>
      <c r="F3622" s="3">
        <v>0</v>
      </c>
      <c r="G3622" s="3">
        <v>7.8</v>
      </c>
      <c r="H3622" s="3">
        <v>-7.8</v>
      </c>
      <c r="I3622" t="s">
        <v>574</v>
      </c>
    </row>
    <row r="3623" spans="1:9" x14ac:dyDescent="0.35">
      <c r="A3623" s="2">
        <v>45611</v>
      </c>
      <c r="B3623">
        <v>95</v>
      </c>
      <c r="C3623">
        <v>2141003</v>
      </c>
      <c r="D3623" t="s">
        <v>37</v>
      </c>
      <c r="E3623" t="s">
        <v>1254</v>
      </c>
      <c r="F3623" s="3">
        <v>0</v>
      </c>
      <c r="G3623" s="3">
        <v>7.8</v>
      </c>
      <c r="H3623" s="3">
        <v>-7.8</v>
      </c>
      <c r="I3623" t="s">
        <v>574</v>
      </c>
    </row>
    <row r="3624" spans="1:9" x14ac:dyDescent="0.35">
      <c r="A3624" s="2">
        <v>45611</v>
      </c>
      <c r="B3624">
        <v>95</v>
      </c>
      <c r="C3624">
        <v>2161004</v>
      </c>
      <c r="D3624" t="s">
        <v>38</v>
      </c>
      <c r="E3624" t="s">
        <v>1254</v>
      </c>
      <c r="F3624" s="3">
        <v>0</v>
      </c>
      <c r="G3624" s="3">
        <v>16.25</v>
      </c>
      <c r="H3624" s="3">
        <v>-16.25</v>
      </c>
      <c r="I3624" t="s">
        <v>574</v>
      </c>
    </row>
    <row r="3625" spans="1:9" x14ac:dyDescent="0.35">
      <c r="A3625" s="2">
        <v>45611</v>
      </c>
      <c r="B3625">
        <v>95</v>
      </c>
      <c r="C3625">
        <v>2161005</v>
      </c>
      <c r="D3625" t="s">
        <v>39</v>
      </c>
      <c r="E3625" t="s">
        <v>1254</v>
      </c>
      <c r="F3625" s="3">
        <v>0</v>
      </c>
      <c r="G3625" s="3">
        <v>32.5</v>
      </c>
      <c r="H3625" s="3">
        <v>-32.5</v>
      </c>
      <c r="I3625" t="s">
        <v>574</v>
      </c>
    </row>
    <row r="3626" spans="1:9" x14ac:dyDescent="0.35">
      <c r="A3626" s="2">
        <v>45611</v>
      </c>
      <c r="B3626">
        <v>95</v>
      </c>
      <c r="C3626">
        <v>2241001</v>
      </c>
      <c r="D3626" t="s">
        <v>40</v>
      </c>
      <c r="E3626" t="s">
        <v>1254</v>
      </c>
      <c r="F3626" s="3">
        <v>0</v>
      </c>
      <c r="G3626" s="3">
        <v>81.900000000000006</v>
      </c>
      <c r="H3626" s="3">
        <v>-81.900000000000006</v>
      </c>
      <c r="I3626" t="s">
        <v>574</v>
      </c>
    </row>
    <row r="3627" spans="1:9" x14ac:dyDescent="0.35">
      <c r="A3627" s="2">
        <v>45611</v>
      </c>
      <c r="B3627">
        <v>95</v>
      </c>
      <c r="C3627">
        <v>2161001</v>
      </c>
      <c r="D3627" t="s">
        <v>93</v>
      </c>
      <c r="E3627" t="s">
        <v>1254</v>
      </c>
      <c r="F3627" s="3">
        <v>0</v>
      </c>
      <c r="G3627" s="3">
        <v>32195.3</v>
      </c>
      <c r="H3627" s="3">
        <v>-32195.3</v>
      </c>
      <c r="I3627" t="s">
        <v>574</v>
      </c>
    </row>
    <row r="3628" spans="1:9" x14ac:dyDescent="0.35">
      <c r="A3628" s="2">
        <v>45611</v>
      </c>
      <c r="B3628">
        <v>95</v>
      </c>
      <c r="C3628">
        <v>2114001</v>
      </c>
      <c r="D3628" t="s">
        <v>97</v>
      </c>
      <c r="E3628" t="s">
        <v>1255</v>
      </c>
      <c r="F3628" s="3">
        <v>3470.76</v>
      </c>
      <c r="G3628" s="3">
        <v>0</v>
      </c>
      <c r="H3628" s="3">
        <v>3470.76</v>
      </c>
      <c r="I3628" t="s">
        <v>144</v>
      </c>
    </row>
    <row r="3629" spans="1:9" x14ac:dyDescent="0.35">
      <c r="A3629" s="2">
        <v>45611</v>
      </c>
      <c r="B3629">
        <v>95</v>
      </c>
      <c r="C3629">
        <v>2114010</v>
      </c>
      <c r="D3629" t="s">
        <v>48</v>
      </c>
      <c r="E3629" t="s">
        <v>1255</v>
      </c>
      <c r="F3629" s="3">
        <v>0</v>
      </c>
      <c r="G3629" s="3">
        <v>3470.76</v>
      </c>
      <c r="H3629" s="3">
        <v>-3470.76</v>
      </c>
      <c r="I3629" t="s">
        <v>144</v>
      </c>
    </row>
    <row r="3630" spans="1:9" x14ac:dyDescent="0.35">
      <c r="A3630" s="2">
        <v>45611</v>
      </c>
      <c r="B3630">
        <v>95</v>
      </c>
      <c r="C3630">
        <v>6121040</v>
      </c>
      <c r="D3630" t="s">
        <v>98</v>
      </c>
      <c r="E3630" t="s">
        <v>99</v>
      </c>
      <c r="F3630" s="3">
        <v>39.200000000000003</v>
      </c>
      <c r="G3630" s="3">
        <v>0</v>
      </c>
      <c r="H3630" s="3">
        <v>39.200000000000003</v>
      </c>
      <c r="I3630" t="s">
        <v>114</v>
      </c>
    </row>
    <row r="3631" spans="1:9" x14ac:dyDescent="0.35">
      <c r="A3631" s="2">
        <v>45611</v>
      </c>
      <c r="B3631">
        <v>95</v>
      </c>
      <c r="C3631">
        <v>2161001</v>
      </c>
      <c r="D3631" t="s">
        <v>93</v>
      </c>
      <c r="E3631" t="s">
        <v>1772</v>
      </c>
      <c r="F3631" s="3">
        <v>2400</v>
      </c>
      <c r="G3631" s="3">
        <v>0</v>
      </c>
      <c r="H3631" s="3">
        <v>2400</v>
      </c>
      <c r="I3631" t="s">
        <v>114</v>
      </c>
    </row>
    <row r="3632" spans="1:9" x14ac:dyDescent="0.35">
      <c r="A3632" s="2">
        <v>45611</v>
      </c>
      <c r="B3632">
        <v>95</v>
      </c>
      <c r="C3632">
        <v>1112003</v>
      </c>
      <c r="D3632" t="s">
        <v>22</v>
      </c>
      <c r="E3632" t="s">
        <v>758</v>
      </c>
      <c r="F3632" s="3">
        <v>0</v>
      </c>
      <c r="G3632" s="3">
        <v>2439.1999999999998</v>
      </c>
      <c r="H3632" s="3">
        <v>-2439.1999999999998</v>
      </c>
      <c r="I3632" t="s">
        <v>114</v>
      </c>
    </row>
    <row r="3633" spans="1:9" x14ac:dyDescent="0.35">
      <c r="A3633" s="2">
        <v>45611</v>
      </c>
      <c r="B3633">
        <v>95</v>
      </c>
      <c r="C3633">
        <v>1112003</v>
      </c>
      <c r="D3633" t="s">
        <v>22</v>
      </c>
      <c r="E3633" t="s">
        <v>744</v>
      </c>
      <c r="F3633" s="3">
        <v>2100</v>
      </c>
      <c r="G3633" s="3">
        <v>0</v>
      </c>
      <c r="H3633" s="3">
        <v>2100</v>
      </c>
      <c r="I3633" t="s">
        <v>114</v>
      </c>
    </row>
    <row r="3634" spans="1:9" x14ac:dyDescent="0.35">
      <c r="A3634" s="2">
        <v>45611</v>
      </c>
      <c r="B3634">
        <v>95</v>
      </c>
      <c r="C3634">
        <v>1111001</v>
      </c>
      <c r="D3634" t="s">
        <v>16</v>
      </c>
      <c r="E3634" t="s">
        <v>299</v>
      </c>
      <c r="F3634" s="3">
        <v>0</v>
      </c>
      <c r="G3634" s="3">
        <v>2100</v>
      </c>
      <c r="H3634" s="3">
        <v>-2100</v>
      </c>
      <c r="I3634" t="s">
        <v>114</v>
      </c>
    </row>
    <row r="3635" spans="1:9" x14ac:dyDescent="0.35">
      <c r="A3635" s="2">
        <v>45611</v>
      </c>
      <c r="B3635">
        <v>95</v>
      </c>
      <c r="C3635">
        <v>6121040</v>
      </c>
      <c r="D3635" t="s">
        <v>98</v>
      </c>
      <c r="E3635" t="s">
        <v>99</v>
      </c>
      <c r="F3635" s="3">
        <v>3189.8</v>
      </c>
      <c r="G3635" s="3">
        <v>0</v>
      </c>
      <c r="H3635" s="3">
        <v>3189.8</v>
      </c>
      <c r="I3635" t="s">
        <v>1256</v>
      </c>
    </row>
    <row r="3636" spans="1:9" x14ac:dyDescent="0.35">
      <c r="A3636" s="2">
        <v>45611</v>
      </c>
      <c r="B3636">
        <v>95</v>
      </c>
      <c r="C3636">
        <v>2114001</v>
      </c>
      <c r="D3636" t="s">
        <v>97</v>
      </c>
      <c r="E3636" t="s">
        <v>1257</v>
      </c>
      <c r="F3636" s="3">
        <v>2500</v>
      </c>
      <c r="G3636" s="3">
        <v>0</v>
      </c>
      <c r="H3636" s="3">
        <v>2500</v>
      </c>
      <c r="I3636" t="s">
        <v>1256</v>
      </c>
    </row>
    <row r="3637" spans="1:9" x14ac:dyDescent="0.35">
      <c r="A3637" s="2">
        <v>45611</v>
      </c>
      <c r="B3637">
        <v>95</v>
      </c>
      <c r="C3637">
        <v>2121003</v>
      </c>
      <c r="D3637" t="s">
        <v>28</v>
      </c>
      <c r="E3637" t="s">
        <v>297</v>
      </c>
      <c r="F3637" s="3">
        <v>14304.46</v>
      </c>
      <c r="G3637" s="3">
        <v>0</v>
      </c>
      <c r="H3637" s="3">
        <v>14304.46</v>
      </c>
      <c r="I3637" t="s">
        <v>1256</v>
      </c>
    </row>
    <row r="3638" spans="1:9" x14ac:dyDescent="0.35">
      <c r="A3638" s="2">
        <v>45611</v>
      </c>
      <c r="B3638">
        <v>95</v>
      </c>
      <c r="C3638">
        <v>2114001</v>
      </c>
      <c r="D3638" t="s">
        <v>97</v>
      </c>
      <c r="E3638" t="s">
        <v>1768</v>
      </c>
      <c r="F3638" s="3">
        <v>29170</v>
      </c>
      <c r="G3638" s="3">
        <v>0</v>
      </c>
      <c r="H3638" s="3">
        <v>29170</v>
      </c>
      <c r="I3638" t="s">
        <v>1256</v>
      </c>
    </row>
    <row r="3639" spans="1:9" x14ac:dyDescent="0.35">
      <c r="A3639" s="2">
        <v>45611</v>
      </c>
      <c r="B3639">
        <v>95</v>
      </c>
      <c r="C3639">
        <v>1111001</v>
      </c>
      <c r="D3639" t="s">
        <v>16</v>
      </c>
      <c r="E3639" t="s">
        <v>1258</v>
      </c>
      <c r="F3639" s="3">
        <v>4000</v>
      </c>
      <c r="G3639" s="3">
        <v>0</v>
      </c>
      <c r="H3639" s="3">
        <v>4000</v>
      </c>
      <c r="I3639" t="s">
        <v>1256</v>
      </c>
    </row>
    <row r="3640" spans="1:9" x14ac:dyDescent="0.35">
      <c r="A3640" s="2">
        <v>45611</v>
      </c>
      <c r="B3640">
        <v>95</v>
      </c>
      <c r="C3640">
        <v>2114010</v>
      </c>
      <c r="D3640" t="s">
        <v>48</v>
      </c>
      <c r="E3640" t="s">
        <v>1259</v>
      </c>
      <c r="F3640" s="3">
        <v>8017.55</v>
      </c>
      <c r="G3640" s="3">
        <v>0</v>
      </c>
      <c r="H3640" s="3">
        <v>8017.55</v>
      </c>
      <c r="I3640" t="s">
        <v>1256</v>
      </c>
    </row>
    <row r="3641" spans="1:9" x14ac:dyDescent="0.35">
      <c r="A3641" s="2">
        <v>45611</v>
      </c>
      <c r="B3641">
        <v>95</v>
      </c>
      <c r="C3641">
        <v>6121031</v>
      </c>
      <c r="D3641" t="s">
        <v>209</v>
      </c>
      <c r="E3641" t="s">
        <v>1260</v>
      </c>
      <c r="F3641" s="3">
        <v>2700</v>
      </c>
      <c r="G3641" s="3">
        <v>0</v>
      </c>
      <c r="H3641" s="3">
        <v>2700</v>
      </c>
      <c r="I3641" t="s">
        <v>1256</v>
      </c>
    </row>
    <row r="3642" spans="1:9" x14ac:dyDescent="0.35">
      <c r="A3642" s="2">
        <v>45611</v>
      </c>
      <c r="B3642">
        <v>95</v>
      </c>
      <c r="C3642">
        <v>1111001</v>
      </c>
      <c r="D3642" t="s">
        <v>16</v>
      </c>
      <c r="E3642" t="s">
        <v>1261</v>
      </c>
      <c r="F3642" s="3">
        <v>5000</v>
      </c>
      <c r="G3642" s="3">
        <v>0</v>
      </c>
      <c r="H3642" s="3">
        <v>5000</v>
      </c>
      <c r="I3642" t="s">
        <v>1256</v>
      </c>
    </row>
    <row r="3643" spans="1:9" x14ac:dyDescent="0.35">
      <c r="A3643" s="2">
        <v>45611</v>
      </c>
      <c r="B3643">
        <v>95</v>
      </c>
      <c r="C3643">
        <v>6121025</v>
      </c>
      <c r="D3643" t="s">
        <v>134</v>
      </c>
      <c r="E3643" t="s">
        <v>419</v>
      </c>
      <c r="F3643" s="3">
        <v>4376.82</v>
      </c>
      <c r="G3643" s="3">
        <v>0</v>
      </c>
      <c r="H3643" s="3">
        <v>4376.82</v>
      </c>
      <c r="I3643" t="s">
        <v>1256</v>
      </c>
    </row>
    <row r="3644" spans="1:9" x14ac:dyDescent="0.35">
      <c r="A3644" s="2">
        <v>45611</v>
      </c>
      <c r="B3644">
        <v>95</v>
      </c>
      <c r="C3644">
        <v>2124010</v>
      </c>
      <c r="D3644" t="s">
        <v>769</v>
      </c>
      <c r="E3644" t="s">
        <v>858</v>
      </c>
      <c r="F3644" s="3">
        <v>3640.46</v>
      </c>
      <c r="G3644" s="3">
        <v>0</v>
      </c>
      <c r="H3644" s="3">
        <v>3640.46</v>
      </c>
      <c r="I3644" t="s">
        <v>1256</v>
      </c>
    </row>
    <row r="3645" spans="1:9" x14ac:dyDescent="0.35">
      <c r="A3645" s="2">
        <v>45611</v>
      </c>
      <c r="B3645">
        <v>95</v>
      </c>
      <c r="C3645">
        <v>2124004</v>
      </c>
      <c r="D3645" t="s">
        <v>29</v>
      </c>
      <c r="E3645" t="s">
        <v>119</v>
      </c>
      <c r="F3645" s="3">
        <v>1254.81</v>
      </c>
      <c r="G3645" s="3">
        <v>0</v>
      </c>
      <c r="H3645" s="3">
        <v>1254.81</v>
      </c>
      <c r="I3645" t="s">
        <v>1256</v>
      </c>
    </row>
    <row r="3646" spans="1:9" x14ac:dyDescent="0.35">
      <c r="A3646" s="2">
        <v>45611</v>
      </c>
      <c r="B3646">
        <v>95</v>
      </c>
      <c r="C3646">
        <v>2124007</v>
      </c>
      <c r="D3646" t="s">
        <v>30</v>
      </c>
      <c r="E3646" t="s">
        <v>214</v>
      </c>
      <c r="F3646" s="3">
        <v>198.61</v>
      </c>
      <c r="G3646" s="3">
        <v>0</v>
      </c>
      <c r="H3646" s="3">
        <v>198.61</v>
      </c>
      <c r="I3646" t="s">
        <v>1256</v>
      </c>
    </row>
    <row r="3647" spans="1:9" x14ac:dyDescent="0.35">
      <c r="A3647" s="2">
        <v>45611</v>
      </c>
      <c r="B3647">
        <v>95</v>
      </c>
      <c r="C3647">
        <v>2122003</v>
      </c>
      <c r="D3647" t="s">
        <v>308</v>
      </c>
      <c r="E3647" t="s">
        <v>548</v>
      </c>
      <c r="F3647" s="3">
        <v>134.85</v>
      </c>
      <c r="G3647" s="3">
        <v>0</v>
      </c>
      <c r="H3647" s="3">
        <v>134.85</v>
      </c>
      <c r="I3647" t="s">
        <v>1256</v>
      </c>
    </row>
    <row r="3648" spans="1:9" x14ac:dyDescent="0.35">
      <c r="A3648" s="2">
        <v>45611</v>
      </c>
      <c r="B3648">
        <v>95</v>
      </c>
      <c r="C3648">
        <v>2114001</v>
      </c>
      <c r="D3648" t="s">
        <v>97</v>
      </c>
      <c r="E3648" t="s">
        <v>292</v>
      </c>
      <c r="F3648" s="3">
        <v>4350</v>
      </c>
      <c r="G3648" s="3">
        <v>0</v>
      </c>
      <c r="H3648" s="3">
        <v>4350</v>
      </c>
      <c r="I3648" t="s">
        <v>1256</v>
      </c>
    </row>
    <row r="3649" spans="1:9" x14ac:dyDescent="0.35">
      <c r="A3649" s="2">
        <v>45611</v>
      </c>
      <c r="B3649">
        <v>95</v>
      </c>
      <c r="C3649">
        <v>1111001</v>
      </c>
      <c r="D3649" t="s">
        <v>16</v>
      </c>
      <c r="E3649" t="s">
        <v>1262</v>
      </c>
      <c r="F3649" s="3">
        <v>25400</v>
      </c>
      <c r="G3649" s="3">
        <v>0</v>
      </c>
      <c r="H3649" s="3">
        <v>25400</v>
      </c>
      <c r="I3649" t="s">
        <v>1256</v>
      </c>
    </row>
    <row r="3650" spans="1:9" x14ac:dyDescent="0.35">
      <c r="A3650" s="2">
        <v>45611</v>
      </c>
      <c r="B3650">
        <v>95</v>
      </c>
      <c r="C3650">
        <v>2161001</v>
      </c>
      <c r="D3650" t="s">
        <v>93</v>
      </c>
      <c r="E3650" t="s">
        <v>1771</v>
      </c>
      <c r="F3650" s="3">
        <v>5520</v>
      </c>
      <c r="G3650" s="3">
        <v>0</v>
      </c>
      <c r="H3650" s="3">
        <v>5520</v>
      </c>
      <c r="I3650" t="s">
        <v>1256</v>
      </c>
    </row>
    <row r="3651" spans="1:9" x14ac:dyDescent="0.35">
      <c r="A3651" s="2">
        <v>45611</v>
      </c>
      <c r="B3651">
        <v>95</v>
      </c>
      <c r="C3651">
        <v>2161001</v>
      </c>
      <c r="D3651" t="s">
        <v>93</v>
      </c>
      <c r="E3651" t="s">
        <v>1771</v>
      </c>
      <c r="F3651" s="3">
        <v>5520</v>
      </c>
      <c r="G3651" s="3">
        <v>0</v>
      </c>
      <c r="H3651" s="3">
        <v>5520</v>
      </c>
      <c r="I3651" t="s">
        <v>1256</v>
      </c>
    </row>
    <row r="3652" spans="1:9" x14ac:dyDescent="0.35">
      <c r="A3652" s="2">
        <v>45611</v>
      </c>
      <c r="B3652">
        <v>95</v>
      </c>
      <c r="C3652">
        <v>2161001</v>
      </c>
      <c r="D3652" t="s">
        <v>93</v>
      </c>
      <c r="E3652" t="s">
        <v>1771</v>
      </c>
      <c r="F3652" s="3">
        <v>6164</v>
      </c>
      <c r="G3652" s="3">
        <v>0</v>
      </c>
      <c r="H3652" s="3">
        <v>6164</v>
      </c>
      <c r="I3652" t="s">
        <v>1256</v>
      </c>
    </row>
    <row r="3653" spans="1:9" x14ac:dyDescent="0.35">
      <c r="A3653" s="2">
        <v>45611</v>
      </c>
      <c r="B3653">
        <v>95</v>
      </c>
      <c r="C3653">
        <v>2161001</v>
      </c>
      <c r="D3653" t="s">
        <v>93</v>
      </c>
      <c r="E3653" t="s">
        <v>1772</v>
      </c>
      <c r="F3653" s="3">
        <v>6900</v>
      </c>
      <c r="G3653" s="3">
        <v>0</v>
      </c>
      <c r="H3653" s="3">
        <v>6900</v>
      </c>
      <c r="I3653" t="s">
        <v>1256</v>
      </c>
    </row>
    <row r="3654" spans="1:9" x14ac:dyDescent="0.35">
      <c r="A3654" s="2">
        <v>45611</v>
      </c>
      <c r="B3654">
        <v>95</v>
      </c>
      <c r="C3654">
        <v>2161001</v>
      </c>
      <c r="D3654" t="s">
        <v>93</v>
      </c>
      <c r="E3654" t="s">
        <v>1771</v>
      </c>
      <c r="F3654" s="3">
        <v>1350</v>
      </c>
      <c r="G3654" s="3">
        <v>0</v>
      </c>
      <c r="H3654" s="3">
        <v>1350</v>
      </c>
      <c r="I3654" t="s">
        <v>1256</v>
      </c>
    </row>
    <row r="3655" spans="1:9" x14ac:dyDescent="0.35">
      <c r="A3655" s="2">
        <v>45611</v>
      </c>
      <c r="B3655">
        <v>95</v>
      </c>
      <c r="C3655">
        <v>1112002</v>
      </c>
      <c r="D3655" t="s">
        <v>21</v>
      </c>
      <c r="E3655" t="s">
        <v>758</v>
      </c>
      <c r="F3655" s="3">
        <v>0</v>
      </c>
      <c r="G3655" s="3">
        <v>133691.35999999999</v>
      </c>
      <c r="H3655" s="3">
        <v>-133691.35999999999</v>
      </c>
      <c r="I3655" t="s">
        <v>1256</v>
      </c>
    </row>
    <row r="3656" spans="1:9" x14ac:dyDescent="0.35">
      <c r="A3656" s="2">
        <v>45611</v>
      </c>
      <c r="B3656">
        <v>95</v>
      </c>
      <c r="C3656">
        <v>1112002</v>
      </c>
      <c r="D3656" t="s">
        <v>21</v>
      </c>
      <c r="E3656" t="s">
        <v>744</v>
      </c>
      <c r="F3656" s="3">
        <v>133499.38</v>
      </c>
      <c r="G3656" s="3">
        <v>0</v>
      </c>
      <c r="H3656" s="3">
        <v>133499.38</v>
      </c>
      <c r="I3656" t="s">
        <v>1256</v>
      </c>
    </row>
    <row r="3657" spans="1:9" x14ac:dyDescent="0.35">
      <c r="A3657" s="2">
        <v>45611</v>
      </c>
      <c r="B3657">
        <v>95</v>
      </c>
      <c r="C3657">
        <v>1111001</v>
      </c>
      <c r="D3657" t="s">
        <v>16</v>
      </c>
      <c r="E3657" t="s">
        <v>112</v>
      </c>
      <c r="F3657" s="3">
        <v>0</v>
      </c>
      <c r="G3657" s="3">
        <v>2250</v>
      </c>
      <c r="H3657" s="3">
        <v>-2250</v>
      </c>
      <c r="I3657" t="s">
        <v>1256</v>
      </c>
    </row>
    <row r="3658" spans="1:9" x14ac:dyDescent="0.35">
      <c r="A3658" s="2">
        <v>45611</v>
      </c>
      <c r="B3658">
        <v>95</v>
      </c>
      <c r="C3658">
        <v>1111001</v>
      </c>
      <c r="D3658" t="s">
        <v>16</v>
      </c>
      <c r="E3658" t="s">
        <v>1263</v>
      </c>
      <c r="F3658" s="3">
        <v>0</v>
      </c>
      <c r="G3658" s="3">
        <v>1094.05</v>
      </c>
      <c r="H3658" s="3">
        <v>-1094.05</v>
      </c>
      <c r="I3658" t="s">
        <v>1256</v>
      </c>
    </row>
    <row r="3659" spans="1:9" x14ac:dyDescent="0.35">
      <c r="A3659" s="2">
        <v>45611</v>
      </c>
      <c r="B3659">
        <v>95</v>
      </c>
      <c r="C3659">
        <v>1111001</v>
      </c>
      <c r="D3659" t="s">
        <v>16</v>
      </c>
      <c r="E3659" t="s">
        <v>1264</v>
      </c>
      <c r="F3659" s="3">
        <v>0</v>
      </c>
      <c r="G3659" s="3">
        <v>92074.87</v>
      </c>
      <c r="H3659" s="3">
        <v>-92074.87</v>
      </c>
      <c r="I3659" t="s">
        <v>1256</v>
      </c>
    </row>
    <row r="3660" spans="1:9" x14ac:dyDescent="0.35">
      <c r="A3660" s="2">
        <v>45611</v>
      </c>
      <c r="B3660">
        <v>95</v>
      </c>
      <c r="C3660">
        <v>1111001</v>
      </c>
      <c r="D3660" t="s">
        <v>16</v>
      </c>
      <c r="E3660" t="s">
        <v>912</v>
      </c>
      <c r="F3660" s="3">
        <v>0</v>
      </c>
      <c r="G3660" s="3">
        <v>4100</v>
      </c>
      <c r="H3660" s="3">
        <v>-4100</v>
      </c>
      <c r="I3660" t="s">
        <v>1256</v>
      </c>
    </row>
    <row r="3661" spans="1:9" x14ac:dyDescent="0.35">
      <c r="A3661" s="2">
        <v>45611</v>
      </c>
      <c r="B3661">
        <v>95</v>
      </c>
      <c r="C3661">
        <v>1111001</v>
      </c>
      <c r="D3661" t="s">
        <v>16</v>
      </c>
      <c r="E3661" t="s">
        <v>139</v>
      </c>
      <c r="F3661" s="3">
        <v>0</v>
      </c>
      <c r="G3661" s="3">
        <v>17739.310000000001</v>
      </c>
      <c r="H3661" s="3">
        <v>-17739.310000000001</v>
      </c>
      <c r="I3661" t="s">
        <v>1256</v>
      </c>
    </row>
    <row r="3662" spans="1:9" x14ac:dyDescent="0.35">
      <c r="A3662" s="2">
        <v>45611</v>
      </c>
      <c r="B3662">
        <v>95</v>
      </c>
      <c r="C3662">
        <v>6121040</v>
      </c>
      <c r="D3662" t="s">
        <v>98</v>
      </c>
      <c r="E3662" t="s">
        <v>142</v>
      </c>
      <c r="F3662" s="3">
        <v>0</v>
      </c>
      <c r="G3662" s="3">
        <v>131.15</v>
      </c>
      <c r="H3662" s="3">
        <v>-131.15</v>
      </c>
      <c r="I3662" t="s">
        <v>1256</v>
      </c>
    </row>
    <row r="3663" spans="1:9" x14ac:dyDescent="0.35">
      <c r="A3663" s="2">
        <v>45611</v>
      </c>
      <c r="B3663">
        <v>95</v>
      </c>
      <c r="C3663">
        <v>1111001</v>
      </c>
      <c r="D3663" t="s">
        <v>16</v>
      </c>
      <c r="E3663" t="s">
        <v>1265</v>
      </c>
      <c r="F3663" s="3">
        <v>0</v>
      </c>
      <c r="G3663" s="3">
        <v>4000</v>
      </c>
      <c r="H3663" s="3">
        <v>-4000</v>
      </c>
      <c r="I3663" t="s">
        <v>1256</v>
      </c>
    </row>
    <row r="3664" spans="1:9" x14ac:dyDescent="0.35">
      <c r="A3664" s="2">
        <v>45611</v>
      </c>
      <c r="B3664">
        <v>95</v>
      </c>
      <c r="C3664">
        <v>1111001</v>
      </c>
      <c r="D3664" t="s">
        <v>16</v>
      </c>
      <c r="E3664" t="s">
        <v>299</v>
      </c>
      <c r="F3664" s="3">
        <v>0</v>
      </c>
      <c r="G3664" s="3">
        <v>9710</v>
      </c>
      <c r="H3664" s="3">
        <v>-9710</v>
      </c>
      <c r="I3664" t="s">
        <v>1256</v>
      </c>
    </row>
    <row r="3665" spans="1:9" x14ac:dyDescent="0.35">
      <c r="A3665" s="2">
        <v>45611</v>
      </c>
      <c r="B3665">
        <v>95</v>
      </c>
      <c r="C3665">
        <v>1111001</v>
      </c>
      <c r="D3665" t="s">
        <v>16</v>
      </c>
      <c r="E3665" t="s">
        <v>1266</v>
      </c>
      <c r="F3665" s="3">
        <v>0</v>
      </c>
      <c r="G3665" s="3">
        <v>2400</v>
      </c>
      <c r="H3665" s="3">
        <v>-2400</v>
      </c>
      <c r="I3665" t="s">
        <v>1256</v>
      </c>
    </row>
    <row r="3666" spans="1:9" x14ac:dyDescent="0.35">
      <c r="A3666" s="2">
        <v>45611</v>
      </c>
      <c r="B3666">
        <v>95</v>
      </c>
      <c r="C3666">
        <v>6121040</v>
      </c>
      <c r="D3666" t="s">
        <v>98</v>
      </c>
      <c r="E3666" t="s">
        <v>99</v>
      </c>
      <c r="F3666" s="3">
        <v>211.57</v>
      </c>
      <c r="G3666" s="3">
        <v>0</v>
      </c>
      <c r="H3666" s="3">
        <v>211.57</v>
      </c>
      <c r="I3666" t="s">
        <v>1210</v>
      </c>
    </row>
    <row r="3667" spans="1:9" x14ac:dyDescent="0.35">
      <c r="A3667" s="2">
        <v>45611</v>
      </c>
      <c r="B3667">
        <v>95</v>
      </c>
      <c r="C3667">
        <v>1111001</v>
      </c>
      <c r="D3667" t="s">
        <v>16</v>
      </c>
      <c r="E3667" t="s">
        <v>687</v>
      </c>
      <c r="F3667" s="3">
        <v>1420</v>
      </c>
      <c r="G3667" s="3">
        <v>0</v>
      </c>
      <c r="H3667" s="3">
        <v>1420</v>
      </c>
      <c r="I3667" t="s">
        <v>1210</v>
      </c>
    </row>
    <row r="3668" spans="1:9" x14ac:dyDescent="0.35">
      <c r="A3668" s="2">
        <v>45611</v>
      </c>
      <c r="B3668">
        <v>95</v>
      </c>
      <c r="C3668">
        <v>2114001</v>
      </c>
      <c r="D3668" t="s">
        <v>97</v>
      </c>
      <c r="E3668" t="s">
        <v>1768</v>
      </c>
      <c r="F3668" s="3">
        <v>4660</v>
      </c>
      <c r="G3668" s="3">
        <v>0</v>
      </c>
      <c r="H3668" s="3">
        <v>4660</v>
      </c>
      <c r="I3668" t="s">
        <v>1210</v>
      </c>
    </row>
    <row r="3669" spans="1:9" x14ac:dyDescent="0.35">
      <c r="A3669" s="2">
        <v>45611</v>
      </c>
      <c r="B3669">
        <v>95</v>
      </c>
      <c r="C3669">
        <v>5132007</v>
      </c>
      <c r="D3669" t="s">
        <v>355</v>
      </c>
      <c r="E3669" t="s">
        <v>1267</v>
      </c>
      <c r="F3669" s="3">
        <v>800</v>
      </c>
      <c r="G3669" s="3">
        <v>0</v>
      </c>
      <c r="H3669" s="3">
        <v>800</v>
      </c>
      <c r="I3669" t="s">
        <v>1210</v>
      </c>
    </row>
    <row r="3670" spans="1:9" x14ac:dyDescent="0.35">
      <c r="A3670" s="2">
        <v>45611</v>
      </c>
      <c r="B3670">
        <v>95</v>
      </c>
      <c r="C3670">
        <v>1111001</v>
      </c>
      <c r="D3670" t="s">
        <v>16</v>
      </c>
      <c r="E3670" t="s">
        <v>213</v>
      </c>
      <c r="F3670" s="3">
        <v>1500</v>
      </c>
      <c r="G3670" s="3">
        <v>0</v>
      </c>
      <c r="H3670" s="3">
        <v>1500</v>
      </c>
      <c r="I3670" t="s">
        <v>1210</v>
      </c>
    </row>
    <row r="3671" spans="1:9" x14ac:dyDescent="0.35">
      <c r="A3671" s="2">
        <v>45611</v>
      </c>
      <c r="B3671">
        <v>95</v>
      </c>
      <c r="C3671">
        <v>2114001</v>
      </c>
      <c r="D3671" t="s">
        <v>97</v>
      </c>
      <c r="E3671" t="s">
        <v>1268</v>
      </c>
      <c r="F3671" s="3">
        <v>800</v>
      </c>
      <c r="G3671" s="3">
        <v>0</v>
      </c>
      <c r="H3671" s="3">
        <v>800</v>
      </c>
      <c r="I3671" t="s">
        <v>1210</v>
      </c>
    </row>
    <row r="3672" spans="1:9" x14ac:dyDescent="0.35">
      <c r="A3672" s="2">
        <v>45611</v>
      </c>
      <c r="B3672">
        <v>95</v>
      </c>
      <c r="C3672">
        <v>1111001</v>
      </c>
      <c r="D3672" t="s">
        <v>16</v>
      </c>
      <c r="E3672" t="s">
        <v>1269</v>
      </c>
      <c r="F3672" s="3">
        <v>410</v>
      </c>
      <c r="G3672" s="3">
        <v>0</v>
      </c>
      <c r="H3672" s="3">
        <v>410</v>
      </c>
      <c r="I3672" t="s">
        <v>1210</v>
      </c>
    </row>
    <row r="3673" spans="1:9" x14ac:dyDescent="0.35">
      <c r="A3673" s="2">
        <v>45611</v>
      </c>
      <c r="B3673">
        <v>95</v>
      </c>
      <c r="C3673">
        <v>1111001</v>
      </c>
      <c r="D3673" t="s">
        <v>16</v>
      </c>
      <c r="E3673" t="s">
        <v>118</v>
      </c>
      <c r="F3673" s="3">
        <v>1010</v>
      </c>
      <c r="G3673" s="3">
        <v>0</v>
      </c>
      <c r="H3673" s="3">
        <v>1010</v>
      </c>
      <c r="I3673" t="s">
        <v>1210</v>
      </c>
    </row>
    <row r="3674" spans="1:9" x14ac:dyDescent="0.35">
      <c r="A3674" s="2">
        <v>45611</v>
      </c>
      <c r="B3674">
        <v>95</v>
      </c>
      <c r="C3674">
        <v>1111001</v>
      </c>
      <c r="D3674" t="s">
        <v>16</v>
      </c>
      <c r="E3674" t="s">
        <v>1270</v>
      </c>
      <c r="F3674" s="3">
        <v>700</v>
      </c>
      <c r="G3674" s="3">
        <v>0</v>
      </c>
      <c r="H3674" s="3">
        <v>700</v>
      </c>
      <c r="I3674" t="s">
        <v>1210</v>
      </c>
    </row>
    <row r="3675" spans="1:9" x14ac:dyDescent="0.35">
      <c r="A3675" s="2">
        <v>45611</v>
      </c>
      <c r="B3675">
        <v>95</v>
      </c>
      <c r="C3675">
        <v>1111001</v>
      </c>
      <c r="D3675" t="s">
        <v>16</v>
      </c>
      <c r="E3675" t="s">
        <v>230</v>
      </c>
      <c r="F3675" s="3">
        <v>3450</v>
      </c>
      <c r="G3675" s="3">
        <v>0</v>
      </c>
      <c r="H3675" s="3">
        <v>3450</v>
      </c>
      <c r="I3675" t="s">
        <v>1210</v>
      </c>
    </row>
    <row r="3676" spans="1:9" x14ac:dyDescent="0.35">
      <c r="A3676" s="2">
        <v>45611</v>
      </c>
      <c r="B3676">
        <v>95</v>
      </c>
      <c r="C3676">
        <v>1112001</v>
      </c>
      <c r="D3676" t="s">
        <v>20</v>
      </c>
      <c r="E3676" t="s">
        <v>758</v>
      </c>
      <c r="F3676" s="3">
        <v>0</v>
      </c>
      <c r="G3676" s="3">
        <v>14961.57</v>
      </c>
      <c r="H3676" s="3">
        <v>-14961.57</v>
      </c>
      <c r="I3676" t="s">
        <v>1210</v>
      </c>
    </row>
    <row r="3677" spans="1:9" x14ac:dyDescent="0.35">
      <c r="A3677" s="2">
        <v>45611</v>
      </c>
      <c r="B3677">
        <v>95</v>
      </c>
      <c r="C3677">
        <v>1112001</v>
      </c>
      <c r="D3677" t="s">
        <v>20</v>
      </c>
      <c r="E3677" t="s">
        <v>744</v>
      </c>
      <c r="F3677" s="3">
        <v>14702</v>
      </c>
      <c r="G3677" s="3">
        <v>0</v>
      </c>
      <c r="H3677" s="3">
        <v>14702</v>
      </c>
      <c r="I3677" t="s">
        <v>1210</v>
      </c>
    </row>
    <row r="3678" spans="1:9" x14ac:dyDescent="0.35">
      <c r="A3678" s="2">
        <v>45611</v>
      </c>
      <c r="B3678">
        <v>95</v>
      </c>
      <c r="C3678">
        <v>1111001</v>
      </c>
      <c r="D3678" t="s">
        <v>16</v>
      </c>
      <c r="E3678" t="s">
        <v>112</v>
      </c>
      <c r="F3678" s="3">
        <v>0</v>
      </c>
      <c r="G3678" s="3">
        <v>11323</v>
      </c>
      <c r="H3678" s="3">
        <v>-11323</v>
      </c>
      <c r="I3678" t="s">
        <v>1210</v>
      </c>
    </row>
    <row r="3679" spans="1:9" x14ac:dyDescent="0.35">
      <c r="A3679" s="2">
        <v>45611</v>
      </c>
      <c r="B3679">
        <v>95</v>
      </c>
      <c r="C3679">
        <v>1111001</v>
      </c>
      <c r="D3679" t="s">
        <v>16</v>
      </c>
      <c r="E3679" t="s">
        <v>1271</v>
      </c>
      <c r="F3679" s="3">
        <v>0</v>
      </c>
      <c r="G3679" s="3">
        <v>3379</v>
      </c>
      <c r="H3679" s="3">
        <v>-3379</v>
      </c>
      <c r="I3679" t="s">
        <v>1210</v>
      </c>
    </row>
    <row r="3680" spans="1:9" x14ac:dyDescent="0.35">
      <c r="A3680" s="2">
        <v>45611</v>
      </c>
      <c r="B3680">
        <v>95</v>
      </c>
      <c r="C3680">
        <v>5131006</v>
      </c>
      <c r="D3680" t="s">
        <v>125</v>
      </c>
      <c r="E3680" t="s">
        <v>1272</v>
      </c>
      <c r="F3680" s="3">
        <v>1170</v>
      </c>
      <c r="G3680" s="3">
        <v>0</v>
      </c>
      <c r="H3680" s="3">
        <v>1170</v>
      </c>
      <c r="I3680" t="s">
        <v>144</v>
      </c>
    </row>
    <row r="3681" spans="1:9" x14ac:dyDescent="0.35">
      <c r="A3681" s="2">
        <v>45611</v>
      </c>
      <c r="B3681">
        <v>95</v>
      </c>
      <c r="C3681">
        <v>2114001</v>
      </c>
      <c r="D3681" t="s">
        <v>97</v>
      </c>
      <c r="E3681" t="s">
        <v>1272</v>
      </c>
      <c r="F3681" s="3">
        <v>0</v>
      </c>
      <c r="G3681" s="3">
        <v>1170</v>
      </c>
      <c r="H3681" s="3">
        <v>-1170</v>
      </c>
      <c r="I3681" t="s">
        <v>144</v>
      </c>
    </row>
    <row r="3682" spans="1:9" x14ac:dyDescent="0.35">
      <c r="A3682" s="2">
        <v>45611</v>
      </c>
      <c r="B3682">
        <v>95</v>
      </c>
      <c r="C3682">
        <v>6121029</v>
      </c>
      <c r="D3682" t="s">
        <v>217</v>
      </c>
      <c r="E3682" t="s">
        <v>1273</v>
      </c>
      <c r="F3682" s="3">
        <v>2760</v>
      </c>
      <c r="G3682" s="3">
        <v>0</v>
      </c>
      <c r="H3682" s="3">
        <v>2760</v>
      </c>
      <c r="I3682" t="s">
        <v>144</v>
      </c>
    </row>
    <row r="3683" spans="1:9" x14ac:dyDescent="0.35">
      <c r="A3683" s="2">
        <v>45611</v>
      </c>
      <c r="B3683">
        <v>95</v>
      </c>
      <c r="C3683">
        <v>2114001</v>
      </c>
      <c r="D3683" t="s">
        <v>97</v>
      </c>
      <c r="E3683" t="s">
        <v>1273</v>
      </c>
      <c r="F3683" s="3">
        <v>0</v>
      </c>
      <c r="G3683" s="3">
        <v>2760</v>
      </c>
      <c r="H3683" s="3">
        <v>-2760</v>
      </c>
      <c r="I3683" t="s">
        <v>144</v>
      </c>
    </row>
    <row r="3684" spans="1:9" x14ac:dyDescent="0.35">
      <c r="A3684" s="2">
        <v>45626</v>
      </c>
      <c r="B3684">
        <v>96</v>
      </c>
      <c r="C3684">
        <v>6121023</v>
      </c>
      <c r="D3684" t="s">
        <v>49</v>
      </c>
      <c r="E3684" t="s">
        <v>52</v>
      </c>
      <c r="F3684" s="3">
        <v>518.05999999999995</v>
      </c>
      <c r="G3684" s="3">
        <v>0</v>
      </c>
      <c r="H3684" s="3">
        <v>518.05999999999995</v>
      </c>
      <c r="I3684" t="s">
        <v>1274</v>
      </c>
    </row>
    <row r="3685" spans="1:9" x14ac:dyDescent="0.35">
      <c r="A3685" s="2">
        <v>45626</v>
      </c>
      <c r="B3685">
        <v>96</v>
      </c>
      <c r="C3685">
        <v>6121046</v>
      </c>
      <c r="D3685" t="s">
        <v>94</v>
      </c>
      <c r="E3685" t="s">
        <v>52</v>
      </c>
      <c r="F3685" s="3">
        <v>2.84</v>
      </c>
      <c r="G3685" s="3">
        <v>0</v>
      </c>
      <c r="H3685" s="3">
        <v>2.84</v>
      </c>
      <c r="I3685" t="s">
        <v>1274</v>
      </c>
    </row>
    <row r="3686" spans="1:9" x14ac:dyDescent="0.35">
      <c r="A3686" s="2">
        <v>45626</v>
      </c>
      <c r="B3686">
        <v>96</v>
      </c>
      <c r="C3686">
        <v>2114010</v>
      </c>
      <c r="D3686" t="s">
        <v>48</v>
      </c>
      <c r="E3686" t="s">
        <v>52</v>
      </c>
      <c r="F3686" s="3">
        <v>0</v>
      </c>
      <c r="G3686" s="3">
        <v>2.84</v>
      </c>
      <c r="H3686" s="3">
        <v>-2.84</v>
      </c>
      <c r="I3686" t="s">
        <v>1274</v>
      </c>
    </row>
    <row r="3687" spans="1:9" x14ac:dyDescent="0.35">
      <c r="A3687" s="2">
        <v>45626</v>
      </c>
      <c r="B3687">
        <v>96</v>
      </c>
      <c r="C3687">
        <v>2114010</v>
      </c>
      <c r="D3687" t="s">
        <v>48</v>
      </c>
      <c r="E3687" t="s">
        <v>52</v>
      </c>
      <c r="F3687" s="3">
        <v>0</v>
      </c>
      <c r="G3687" s="3">
        <v>518.05999999999995</v>
      </c>
      <c r="H3687" s="3">
        <v>-518.05999999999995</v>
      </c>
      <c r="I3687" t="s">
        <v>1274</v>
      </c>
    </row>
    <row r="3688" spans="1:9" x14ac:dyDescent="0.35">
      <c r="A3688" s="2">
        <v>45626</v>
      </c>
      <c r="B3688">
        <v>96</v>
      </c>
      <c r="C3688">
        <v>6121023</v>
      </c>
      <c r="D3688" t="s">
        <v>49</v>
      </c>
      <c r="E3688" t="s">
        <v>166</v>
      </c>
      <c r="F3688" s="3">
        <v>4053.06</v>
      </c>
      <c r="G3688" s="3">
        <v>0</v>
      </c>
      <c r="H3688" s="3">
        <v>4053.06</v>
      </c>
      <c r="I3688" t="s">
        <v>1275</v>
      </c>
    </row>
    <row r="3689" spans="1:9" x14ac:dyDescent="0.35">
      <c r="A3689" s="2">
        <v>45626</v>
      </c>
      <c r="B3689">
        <v>96</v>
      </c>
      <c r="C3689">
        <v>2114010</v>
      </c>
      <c r="D3689" t="s">
        <v>48</v>
      </c>
      <c r="E3689" t="s">
        <v>166</v>
      </c>
      <c r="F3689" s="3">
        <v>0</v>
      </c>
      <c r="G3689" s="3">
        <v>4053.06</v>
      </c>
      <c r="H3689" s="3">
        <v>-4053.06</v>
      </c>
      <c r="I3689" t="s">
        <v>1275</v>
      </c>
    </row>
    <row r="3690" spans="1:9" x14ac:dyDescent="0.35">
      <c r="A3690" s="2">
        <v>45626</v>
      </c>
      <c r="B3690">
        <v>96</v>
      </c>
      <c r="C3690">
        <v>6121023</v>
      </c>
      <c r="D3690" t="s">
        <v>49</v>
      </c>
      <c r="E3690" t="s">
        <v>1276</v>
      </c>
      <c r="F3690" s="3">
        <v>2023.83</v>
      </c>
      <c r="G3690" s="3">
        <v>0</v>
      </c>
      <c r="H3690" s="3">
        <v>2023.83</v>
      </c>
      <c r="I3690" t="s">
        <v>1277</v>
      </c>
    </row>
    <row r="3691" spans="1:9" x14ac:dyDescent="0.35">
      <c r="A3691" s="2">
        <v>45626</v>
      </c>
      <c r="B3691">
        <v>96</v>
      </c>
      <c r="C3691">
        <v>2114010</v>
      </c>
      <c r="D3691" t="s">
        <v>48</v>
      </c>
      <c r="E3691" t="s">
        <v>1276</v>
      </c>
      <c r="F3691" s="3">
        <v>0</v>
      </c>
      <c r="G3691" s="3">
        <v>2023.83</v>
      </c>
      <c r="H3691" s="3">
        <v>-2023.83</v>
      </c>
      <c r="I3691" t="s">
        <v>1277</v>
      </c>
    </row>
    <row r="3692" spans="1:9" x14ac:dyDescent="0.35">
      <c r="A3692" s="2">
        <v>45626</v>
      </c>
      <c r="B3692">
        <v>96</v>
      </c>
      <c r="C3692">
        <v>6121044</v>
      </c>
      <c r="D3692" t="s">
        <v>176</v>
      </c>
      <c r="E3692" t="s">
        <v>1227</v>
      </c>
      <c r="F3692" s="3">
        <v>249.89</v>
      </c>
      <c r="G3692" s="3">
        <v>0</v>
      </c>
      <c r="H3692" s="3">
        <v>249.89</v>
      </c>
      <c r="I3692" t="s">
        <v>1278</v>
      </c>
    </row>
    <row r="3693" spans="1:9" x14ac:dyDescent="0.35">
      <c r="A3693" s="2">
        <v>45626</v>
      </c>
      <c r="B3693">
        <v>96</v>
      </c>
      <c r="C3693">
        <v>2114010</v>
      </c>
      <c r="D3693" t="s">
        <v>48</v>
      </c>
      <c r="E3693" t="s">
        <v>1227</v>
      </c>
      <c r="F3693" s="3">
        <v>0</v>
      </c>
      <c r="G3693" s="3">
        <v>249.89</v>
      </c>
      <c r="H3693" s="3">
        <v>-249.89</v>
      </c>
      <c r="I3693" t="s">
        <v>1278</v>
      </c>
    </row>
    <row r="3694" spans="1:9" x14ac:dyDescent="0.35">
      <c r="A3694" s="2">
        <v>45626</v>
      </c>
      <c r="B3694">
        <v>96</v>
      </c>
      <c r="C3694">
        <v>5132009</v>
      </c>
      <c r="D3694" t="s">
        <v>655</v>
      </c>
      <c r="E3694" t="s">
        <v>656</v>
      </c>
      <c r="F3694" s="3">
        <v>1521.89</v>
      </c>
      <c r="G3694" s="3">
        <v>0</v>
      </c>
      <c r="H3694" s="3">
        <v>1521.89</v>
      </c>
      <c r="I3694" t="s">
        <v>1279</v>
      </c>
    </row>
    <row r="3695" spans="1:9" x14ac:dyDescent="0.35">
      <c r="A3695" s="2">
        <v>45626</v>
      </c>
      <c r="B3695">
        <v>96</v>
      </c>
      <c r="C3695">
        <v>6121046</v>
      </c>
      <c r="D3695" t="s">
        <v>94</v>
      </c>
      <c r="E3695" t="s">
        <v>656</v>
      </c>
      <c r="F3695" s="3">
        <v>45.56</v>
      </c>
      <c r="G3695" s="3">
        <v>0</v>
      </c>
      <c r="H3695" s="3">
        <v>45.56</v>
      </c>
      <c r="I3695" t="s">
        <v>1279</v>
      </c>
    </row>
    <row r="3696" spans="1:9" x14ac:dyDescent="0.35">
      <c r="A3696" s="2">
        <v>45626</v>
      </c>
      <c r="B3696">
        <v>96</v>
      </c>
      <c r="C3696">
        <v>2114010</v>
      </c>
      <c r="D3696" t="s">
        <v>48</v>
      </c>
      <c r="E3696" t="s">
        <v>656</v>
      </c>
      <c r="F3696" s="3">
        <v>0</v>
      </c>
      <c r="G3696" s="3">
        <v>45.56</v>
      </c>
      <c r="H3696" s="3">
        <v>-45.56</v>
      </c>
      <c r="I3696" t="s">
        <v>1279</v>
      </c>
    </row>
    <row r="3697" spans="1:9" x14ac:dyDescent="0.35">
      <c r="A3697" s="2">
        <v>45626</v>
      </c>
      <c r="B3697">
        <v>96</v>
      </c>
      <c r="C3697">
        <v>2114010</v>
      </c>
      <c r="D3697" t="s">
        <v>48</v>
      </c>
      <c r="E3697" t="s">
        <v>656</v>
      </c>
      <c r="F3697" s="3">
        <v>0</v>
      </c>
      <c r="G3697" s="3">
        <v>1521.89</v>
      </c>
      <c r="H3697" s="3">
        <v>-1521.89</v>
      </c>
      <c r="I3697" t="s">
        <v>1279</v>
      </c>
    </row>
    <row r="3698" spans="1:9" x14ac:dyDescent="0.35">
      <c r="A3698" s="2">
        <v>45626</v>
      </c>
      <c r="B3698">
        <v>96</v>
      </c>
      <c r="C3698">
        <v>6121044</v>
      </c>
      <c r="D3698" t="s">
        <v>176</v>
      </c>
      <c r="E3698" t="s">
        <v>1227</v>
      </c>
      <c r="F3698" s="3">
        <v>276.94</v>
      </c>
      <c r="G3698" s="3">
        <v>0</v>
      </c>
      <c r="H3698" s="3">
        <v>276.94</v>
      </c>
      <c r="I3698" t="s">
        <v>190</v>
      </c>
    </row>
    <row r="3699" spans="1:9" x14ac:dyDescent="0.35">
      <c r="A3699" s="2">
        <v>45626</v>
      </c>
      <c r="B3699">
        <v>96</v>
      </c>
      <c r="C3699">
        <v>2114010</v>
      </c>
      <c r="D3699" t="s">
        <v>48</v>
      </c>
      <c r="E3699" t="s">
        <v>1227</v>
      </c>
      <c r="F3699" s="3">
        <v>0</v>
      </c>
      <c r="G3699" s="3">
        <v>276.94</v>
      </c>
      <c r="H3699" s="3">
        <v>-276.94</v>
      </c>
      <c r="I3699" t="s">
        <v>190</v>
      </c>
    </row>
    <row r="3700" spans="1:9" x14ac:dyDescent="0.35">
      <c r="A3700" s="2">
        <v>45626</v>
      </c>
      <c r="B3700">
        <v>96</v>
      </c>
      <c r="C3700">
        <v>6121023</v>
      </c>
      <c r="D3700" t="s">
        <v>49</v>
      </c>
      <c r="E3700" t="s">
        <v>52</v>
      </c>
      <c r="F3700" s="3">
        <v>448.79</v>
      </c>
      <c r="G3700" s="3">
        <v>0</v>
      </c>
      <c r="H3700" s="3">
        <v>448.79</v>
      </c>
      <c r="I3700" t="s">
        <v>1280</v>
      </c>
    </row>
    <row r="3701" spans="1:9" x14ac:dyDescent="0.35">
      <c r="A3701" s="2">
        <v>45626</v>
      </c>
      <c r="B3701">
        <v>96</v>
      </c>
      <c r="C3701">
        <v>2114010</v>
      </c>
      <c r="D3701" t="s">
        <v>48</v>
      </c>
      <c r="E3701" t="s">
        <v>52</v>
      </c>
      <c r="F3701" s="3">
        <v>0</v>
      </c>
      <c r="G3701" s="3">
        <v>448.79</v>
      </c>
      <c r="H3701" s="3">
        <v>-448.79</v>
      </c>
      <c r="I3701" t="s">
        <v>1280</v>
      </c>
    </row>
    <row r="3702" spans="1:9" x14ac:dyDescent="0.35">
      <c r="A3702" s="2">
        <v>45626</v>
      </c>
      <c r="B3702">
        <v>96</v>
      </c>
      <c r="C3702">
        <v>4112003</v>
      </c>
      <c r="D3702" t="s">
        <v>58</v>
      </c>
      <c r="E3702" t="s">
        <v>59</v>
      </c>
      <c r="F3702" s="3">
        <v>0</v>
      </c>
      <c r="G3702" s="3">
        <v>5310.61</v>
      </c>
      <c r="H3702" s="3">
        <v>-5310.61</v>
      </c>
      <c r="I3702" t="s">
        <v>925</v>
      </c>
    </row>
    <row r="3703" spans="1:9" x14ac:dyDescent="0.35">
      <c r="A3703" s="2">
        <v>45626</v>
      </c>
      <c r="B3703">
        <v>96</v>
      </c>
      <c r="C3703">
        <v>2121001</v>
      </c>
      <c r="D3703" t="s">
        <v>27</v>
      </c>
      <c r="E3703" t="s">
        <v>59</v>
      </c>
      <c r="F3703" s="3">
        <v>0</v>
      </c>
      <c r="G3703" s="3">
        <v>849.7</v>
      </c>
      <c r="H3703" s="3">
        <v>-849.7</v>
      </c>
      <c r="I3703" t="s">
        <v>925</v>
      </c>
    </row>
    <row r="3704" spans="1:9" x14ac:dyDescent="0.35">
      <c r="A3704" s="2">
        <v>45626</v>
      </c>
      <c r="B3704">
        <v>96</v>
      </c>
      <c r="C3704">
        <v>1111001</v>
      </c>
      <c r="D3704" t="s">
        <v>16</v>
      </c>
      <c r="E3704" t="s">
        <v>59</v>
      </c>
      <c r="F3704" s="3">
        <v>6160.31</v>
      </c>
      <c r="G3704" s="3">
        <v>0</v>
      </c>
      <c r="H3704" s="3">
        <v>6160.31</v>
      </c>
      <c r="I3704" t="s">
        <v>925</v>
      </c>
    </row>
    <row r="3705" spans="1:9" x14ac:dyDescent="0.35">
      <c r="A3705" s="2">
        <v>45626</v>
      </c>
      <c r="B3705">
        <v>96</v>
      </c>
      <c r="C3705">
        <v>4112003</v>
      </c>
      <c r="D3705" t="s">
        <v>58</v>
      </c>
      <c r="E3705" t="s">
        <v>59</v>
      </c>
      <c r="F3705" s="3">
        <v>0</v>
      </c>
      <c r="G3705" s="3">
        <v>3379.38</v>
      </c>
      <c r="H3705" s="3">
        <v>-3379.38</v>
      </c>
      <c r="I3705" t="s">
        <v>925</v>
      </c>
    </row>
    <row r="3706" spans="1:9" x14ac:dyDescent="0.35">
      <c r="A3706" s="2">
        <v>45626</v>
      </c>
      <c r="B3706">
        <v>96</v>
      </c>
      <c r="C3706">
        <v>2121001</v>
      </c>
      <c r="D3706" t="s">
        <v>27</v>
      </c>
      <c r="E3706" t="s">
        <v>59</v>
      </c>
      <c r="F3706" s="3">
        <v>0</v>
      </c>
      <c r="G3706" s="3">
        <v>540.70000000000005</v>
      </c>
      <c r="H3706" s="3">
        <v>-540.70000000000005</v>
      </c>
      <c r="I3706" t="s">
        <v>925</v>
      </c>
    </row>
    <row r="3707" spans="1:9" x14ac:dyDescent="0.35">
      <c r="A3707" s="2">
        <v>45626</v>
      </c>
      <c r="B3707">
        <v>96</v>
      </c>
      <c r="C3707">
        <v>1111001</v>
      </c>
      <c r="D3707" t="s">
        <v>16</v>
      </c>
      <c r="E3707" t="s">
        <v>59</v>
      </c>
      <c r="F3707" s="3">
        <v>3920.08</v>
      </c>
      <c r="G3707" s="3">
        <v>0</v>
      </c>
      <c r="H3707" s="3">
        <v>3920.08</v>
      </c>
      <c r="I3707" t="s">
        <v>925</v>
      </c>
    </row>
    <row r="3708" spans="1:9" x14ac:dyDescent="0.35">
      <c r="A3708" s="2">
        <v>45626</v>
      </c>
      <c r="B3708">
        <v>96</v>
      </c>
      <c r="C3708">
        <v>4112003</v>
      </c>
      <c r="D3708" t="s">
        <v>58</v>
      </c>
      <c r="E3708" t="s">
        <v>59</v>
      </c>
      <c r="F3708" s="3">
        <v>0</v>
      </c>
      <c r="G3708" s="3">
        <v>6983.08</v>
      </c>
      <c r="H3708" s="3">
        <v>-6983.08</v>
      </c>
      <c r="I3708" t="s">
        <v>925</v>
      </c>
    </row>
    <row r="3709" spans="1:9" x14ac:dyDescent="0.35">
      <c r="A3709" s="2">
        <v>45626</v>
      </c>
      <c r="B3709">
        <v>96</v>
      </c>
      <c r="C3709">
        <v>2121001</v>
      </c>
      <c r="D3709" t="s">
        <v>27</v>
      </c>
      <c r="E3709" t="s">
        <v>59</v>
      </c>
      <c r="F3709" s="3">
        <v>0</v>
      </c>
      <c r="G3709" s="3">
        <v>1117.29</v>
      </c>
      <c r="H3709" s="3">
        <v>-1117.29</v>
      </c>
      <c r="I3709" t="s">
        <v>925</v>
      </c>
    </row>
    <row r="3710" spans="1:9" x14ac:dyDescent="0.35">
      <c r="A3710" s="2">
        <v>45626</v>
      </c>
      <c r="B3710">
        <v>96</v>
      </c>
      <c r="C3710">
        <v>1111001</v>
      </c>
      <c r="D3710" t="s">
        <v>16</v>
      </c>
      <c r="E3710" t="s">
        <v>59</v>
      </c>
      <c r="F3710" s="3">
        <v>8100.37</v>
      </c>
      <c r="G3710" s="3">
        <v>0</v>
      </c>
      <c r="H3710" s="3">
        <v>8100.37</v>
      </c>
      <c r="I3710" t="s">
        <v>925</v>
      </c>
    </row>
    <row r="3711" spans="1:9" x14ac:dyDescent="0.35">
      <c r="A3711" s="2">
        <v>45626</v>
      </c>
      <c r="B3711">
        <v>96</v>
      </c>
      <c r="C3711">
        <v>4112003</v>
      </c>
      <c r="D3711" t="s">
        <v>58</v>
      </c>
      <c r="E3711" t="s">
        <v>59</v>
      </c>
      <c r="F3711" s="3">
        <v>0</v>
      </c>
      <c r="G3711" s="3">
        <v>6983.09</v>
      </c>
      <c r="H3711" s="3">
        <v>-6983.09</v>
      </c>
      <c r="I3711" t="s">
        <v>925</v>
      </c>
    </row>
    <row r="3712" spans="1:9" x14ac:dyDescent="0.35">
      <c r="A3712" s="2">
        <v>45626</v>
      </c>
      <c r="B3712">
        <v>96</v>
      </c>
      <c r="C3712">
        <v>2121001</v>
      </c>
      <c r="D3712" t="s">
        <v>27</v>
      </c>
      <c r="E3712" t="s">
        <v>59</v>
      </c>
      <c r="F3712" s="3">
        <v>0</v>
      </c>
      <c r="G3712" s="3">
        <v>1117.29</v>
      </c>
      <c r="H3712" s="3">
        <v>-1117.29</v>
      </c>
      <c r="I3712" t="s">
        <v>925</v>
      </c>
    </row>
    <row r="3713" spans="1:9" x14ac:dyDescent="0.35">
      <c r="A3713" s="2">
        <v>45626</v>
      </c>
      <c r="B3713">
        <v>96</v>
      </c>
      <c r="C3713">
        <v>1111001</v>
      </c>
      <c r="D3713" t="s">
        <v>16</v>
      </c>
      <c r="E3713" t="s">
        <v>59</v>
      </c>
      <c r="F3713" s="3">
        <v>8100.38</v>
      </c>
      <c r="G3713" s="3">
        <v>0</v>
      </c>
      <c r="H3713" s="3">
        <v>8100.38</v>
      </c>
      <c r="I3713" t="s">
        <v>925</v>
      </c>
    </row>
    <row r="3714" spans="1:9" x14ac:dyDescent="0.35">
      <c r="A3714" s="2">
        <v>45626</v>
      </c>
      <c r="B3714">
        <v>96</v>
      </c>
      <c r="C3714">
        <v>4112003</v>
      </c>
      <c r="D3714" t="s">
        <v>58</v>
      </c>
      <c r="E3714" t="s">
        <v>59</v>
      </c>
      <c r="F3714" s="3">
        <v>0</v>
      </c>
      <c r="G3714" s="3">
        <v>9439.99</v>
      </c>
      <c r="H3714" s="3">
        <v>-9439.99</v>
      </c>
      <c r="I3714" t="s">
        <v>925</v>
      </c>
    </row>
    <row r="3715" spans="1:9" x14ac:dyDescent="0.35">
      <c r="A3715" s="2">
        <v>45626</v>
      </c>
      <c r="B3715">
        <v>96</v>
      </c>
      <c r="C3715">
        <v>2121001</v>
      </c>
      <c r="D3715" t="s">
        <v>27</v>
      </c>
      <c r="E3715" t="s">
        <v>59</v>
      </c>
      <c r="F3715" s="3">
        <v>0</v>
      </c>
      <c r="G3715" s="3">
        <v>1510.4</v>
      </c>
      <c r="H3715" s="3">
        <v>-1510.4</v>
      </c>
      <c r="I3715" t="s">
        <v>925</v>
      </c>
    </row>
    <row r="3716" spans="1:9" x14ac:dyDescent="0.35">
      <c r="A3716" s="2">
        <v>45626</v>
      </c>
      <c r="B3716">
        <v>96</v>
      </c>
      <c r="C3716">
        <v>1111001</v>
      </c>
      <c r="D3716" t="s">
        <v>16</v>
      </c>
      <c r="E3716" t="s">
        <v>59</v>
      </c>
      <c r="F3716" s="3">
        <v>10950.39</v>
      </c>
      <c r="G3716" s="3">
        <v>0</v>
      </c>
      <c r="H3716" s="3">
        <v>10950.39</v>
      </c>
      <c r="I3716" t="s">
        <v>925</v>
      </c>
    </row>
    <row r="3717" spans="1:9" x14ac:dyDescent="0.35">
      <c r="A3717" s="2">
        <v>45626</v>
      </c>
      <c r="B3717">
        <v>96</v>
      </c>
      <c r="C3717">
        <v>4112003</v>
      </c>
      <c r="D3717" t="s">
        <v>58</v>
      </c>
      <c r="E3717" t="s">
        <v>59</v>
      </c>
      <c r="F3717" s="3">
        <v>0</v>
      </c>
      <c r="G3717" s="3">
        <v>8405.5</v>
      </c>
      <c r="H3717" s="3">
        <v>-8405.5</v>
      </c>
      <c r="I3717" t="s">
        <v>925</v>
      </c>
    </row>
    <row r="3718" spans="1:9" x14ac:dyDescent="0.35">
      <c r="A3718" s="2">
        <v>45626</v>
      </c>
      <c r="B3718">
        <v>96</v>
      </c>
      <c r="C3718">
        <v>2121001</v>
      </c>
      <c r="D3718" t="s">
        <v>27</v>
      </c>
      <c r="E3718" t="s">
        <v>59</v>
      </c>
      <c r="F3718" s="3">
        <v>0</v>
      </c>
      <c r="G3718" s="3">
        <v>1344.88</v>
      </c>
      <c r="H3718" s="3">
        <v>-1344.88</v>
      </c>
      <c r="I3718" t="s">
        <v>925</v>
      </c>
    </row>
    <row r="3719" spans="1:9" x14ac:dyDescent="0.35">
      <c r="A3719" s="2">
        <v>45626</v>
      </c>
      <c r="B3719">
        <v>96</v>
      </c>
      <c r="C3719">
        <v>1111001</v>
      </c>
      <c r="D3719" t="s">
        <v>16</v>
      </c>
      <c r="E3719" t="s">
        <v>59</v>
      </c>
      <c r="F3719" s="3">
        <v>9750.3799999999992</v>
      </c>
      <c r="G3719" s="3">
        <v>0</v>
      </c>
      <c r="H3719" s="3">
        <v>9750.3799999999992</v>
      </c>
      <c r="I3719" t="s">
        <v>925</v>
      </c>
    </row>
    <row r="3720" spans="1:9" x14ac:dyDescent="0.35">
      <c r="A3720" s="2">
        <v>45626</v>
      </c>
      <c r="B3720">
        <v>96</v>
      </c>
      <c r="C3720">
        <v>4112003</v>
      </c>
      <c r="D3720" t="s">
        <v>58</v>
      </c>
      <c r="E3720" t="s">
        <v>59</v>
      </c>
      <c r="F3720" s="3">
        <v>0</v>
      </c>
      <c r="G3720" s="3">
        <v>6724.48</v>
      </c>
      <c r="H3720" s="3">
        <v>-6724.48</v>
      </c>
      <c r="I3720" t="s">
        <v>925</v>
      </c>
    </row>
    <row r="3721" spans="1:9" x14ac:dyDescent="0.35">
      <c r="A3721" s="2">
        <v>45626</v>
      </c>
      <c r="B3721">
        <v>96</v>
      </c>
      <c r="C3721">
        <v>2121001</v>
      </c>
      <c r="D3721" t="s">
        <v>27</v>
      </c>
      <c r="E3721" t="s">
        <v>59</v>
      </c>
      <c r="F3721" s="3">
        <v>0</v>
      </c>
      <c r="G3721" s="3">
        <v>1075.92</v>
      </c>
      <c r="H3721" s="3">
        <v>-1075.92</v>
      </c>
      <c r="I3721" t="s">
        <v>925</v>
      </c>
    </row>
    <row r="3722" spans="1:9" x14ac:dyDescent="0.35">
      <c r="A3722" s="2">
        <v>45626</v>
      </c>
      <c r="B3722">
        <v>96</v>
      </c>
      <c r="C3722">
        <v>1111001</v>
      </c>
      <c r="D3722" t="s">
        <v>16</v>
      </c>
      <c r="E3722" t="s">
        <v>59</v>
      </c>
      <c r="F3722" s="3">
        <v>7800.4</v>
      </c>
      <c r="G3722" s="3">
        <v>0</v>
      </c>
      <c r="H3722" s="3">
        <v>7800.4</v>
      </c>
      <c r="I3722" t="s">
        <v>925</v>
      </c>
    </row>
    <row r="3723" spans="1:9" x14ac:dyDescent="0.35">
      <c r="A3723" s="2">
        <v>45626</v>
      </c>
      <c r="B3723">
        <v>96</v>
      </c>
      <c r="C3723">
        <v>4112003</v>
      </c>
      <c r="D3723" t="s">
        <v>58</v>
      </c>
      <c r="E3723" t="s">
        <v>59</v>
      </c>
      <c r="F3723" s="3">
        <v>0</v>
      </c>
      <c r="G3723" s="3">
        <v>3233</v>
      </c>
      <c r="H3723" s="3">
        <v>-3233</v>
      </c>
      <c r="I3723" t="s">
        <v>925</v>
      </c>
    </row>
    <row r="3724" spans="1:9" x14ac:dyDescent="0.35">
      <c r="A3724" s="2">
        <v>45626</v>
      </c>
      <c r="B3724">
        <v>96</v>
      </c>
      <c r="C3724">
        <v>2121001</v>
      </c>
      <c r="D3724" t="s">
        <v>27</v>
      </c>
      <c r="E3724" t="s">
        <v>59</v>
      </c>
      <c r="F3724" s="3">
        <v>0</v>
      </c>
      <c r="G3724" s="3">
        <v>517.28</v>
      </c>
      <c r="H3724" s="3">
        <v>-517.28</v>
      </c>
      <c r="I3724" t="s">
        <v>925</v>
      </c>
    </row>
    <row r="3725" spans="1:9" x14ac:dyDescent="0.35">
      <c r="A3725" s="2">
        <v>45626</v>
      </c>
      <c r="B3725">
        <v>96</v>
      </c>
      <c r="C3725">
        <v>1111001</v>
      </c>
      <c r="D3725" t="s">
        <v>16</v>
      </c>
      <c r="E3725" t="s">
        <v>59</v>
      </c>
      <c r="F3725" s="3">
        <v>3750.28</v>
      </c>
      <c r="G3725" s="3">
        <v>0</v>
      </c>
      <c r="H3725" s="3">
        <v>3750.28</v>
      </c>
      <c r="I3725" t="s">
        <v>925</v>
      </c>
    </row>
    <row r="3726" spans="1:9" x14ac:dyDescent="0.35">
      <c r="A3726" s="2">
        <v>45626</v>
      </c>
      <c r="B3726">
        <v>96</v>
      </c>
      <c r="C3726">
        <v>4112003</v>
      </c>
      <c r="D3726" t="s">
        <v>58</v>
      </c>
      <c r="E3726" t="s">
        <v>59</v>
      </c>
      <c r="F3726" s="3">
        <v>0</v>
      </c>
      <c r="G3726" s="3">
        <v>2198.3000000000002</v>
      </c>
      <c r="H3726" s="3">
        <v>-2198.3000000000002</v>
      </c>
      <c r="I3726" t="s">
        <v>925</v>
      </c>
    </row>
    <row r="3727" spans="1:9" x14ac:dyDescent="0.35">
      <c r="A3727" s="2">
        <v>45626</v>
      </c>
      <c r="B3727">
        <v>96</v>
      </c>
      <c r="C3727">
        <v>2121001</v>
      </c>
      <c r="D3727" t="s">
        <v>27</v>
      </c>
      <c r="E3727" t="s">
        <v>59</v>
      </c>
      <c r="F3727" s="3">
        <v>0</v>
      </c>
      <c r="G3727" s="3">
        <v>351.73</v>
      </c>
      <c r="H3727" s="3">
        <v>-351.73</v>
      </c>
      <c r="I3727" t="s">
        <v>925</v>
      </c>
    </row>
    <row r="3728" spans="1:9" x14ac:dyDescent="0.35">
      <c r="A3728" s="2">
        <v>45626</v>
      </c>
      <c r="B3728">
        <v>96</v>
      </c>
      <c r="C3728">
        <v>1111001</v>
      </c>
      <c r="D3728" t="s">
        <v>16</v>
      </c>
      <c r="E3728" t="s">
        <v>59</v>
      </c>
      <c r="F3728" s="3">
        <v>2550.0300000000002</v>
      </c>
      <c r="G3728" s="3">
        <v>0</v>
      </c>
      <c r="H3728" s="3">
        <v>2550.0300000000002</v>
      </c>
      <c r="I3728" t="s">
        <v>925</v>
      </c>
    </row>
    <row r="3729" spans="1:9" x14ac:dyDescent="0.35">
      <c r="A3729" s="2">
        <v>45626</v>
      </c>
      <c r="B3729">
        <v>96</v>
      </c>
      <c r="C3729">
        <v>4112003</v>
      </c>
      <c r="D3729" t="s">
        <v>58</v>
      </c>
      <c r="E3729" t="s">
        <v>59</v>
      </c>
      <c r="F3729" s="3">
        <v>0</v>
      </c>
      <c r="G3729" s="3">
        <v>5690</v>
      </c>
      <c r="H3729" s="3">
        <v>-5690</v>
      </c>
      <c r="I3729" t="s">
        <v>925</v>
      </c>
    </row>
    <row r="3730" spans="1:9" x14ac:dyDescent="0.35">
      <c r="A3730" s="2">
        <v>45626</v>
      </c>
      <c r="B3730">
        <v>96</v>
      </c>
      <c r="C3730">
        <v>2121001</v>
      </c>
      <c r="D3730" t="s">
        <v>27</v>
      </c>
      <c r="E3730" t="s">
        <v>59</v>
      </c>
      <c r="F3730" s="3">
        <v>0</v>
      </c>
      <c r="G3730" s="3">
        <v>910.4</v>
      </c>
      <c r="H3730" s="3">
        <v>-910.4</v>
      </c>
      <c r="I3730" t="s">
        <v>925</v>
      </c>
    </row>
    <row r="3731" spans="1:9" x14ac:dyDescent="0.35">
      <c r="A3731" s="2">
        <v>45626</v>
      </c>
      <c r="B3731">
        <v>96</v>
      </c>
      <c r="C3731">
        <v>1111001</v>
      </c>
      <c r="D3731" t="s">
        <v>16</v>
      </c>
      <c r="E3731" t="s">
        <v>59</v>
      </c>
      <c r="F3731" s="3">
        <v>6600.4</v>
      </c>
      <c r="G3731" s="3">
        <v>0</v>
      </c>
      <c r="H3731" s="3">
        <v>6600.4</v>
      </c>
      <c r="I3731" t="s">
        <v>925</v>
      </c>
    </row>
    <row r="3732" spans="1:9" x14ac:dyDescent="0.35">
      <c r="A3732" s="2">
        <v>45626</v>
      </c>
      <c r="B3732">
        <v>96</v>
      </c>
      <c r="C3732">
        <v>4112003</v>
      </c>
      <c r="D3732" t="s">
        <v>58</v>
      </c>
      <c r="E3732" t="s">
        <v>59</v>
      </c>
      <c r="F3732" s="3">
        <v>0</v>
      </c>
      <c r="G3732" s="3">
        <v>6724.48</v>
      </c>
      <c r="H3732" s="3">
        <v>-6724.48</v>
      </c>
      <c r="I3732" t="s">
        <v>925</v>
      </c>
    </row>
    <row r="3733" spans="1:9" x14ac:dyDescent="0.35">
      <c r="A3733" s="2">
        <v>45626</v>
      </c>
      <c r="B3733">
        <v>96</v>
      </c>
      <c r="C3733">
        <v>2121001</v>
      </c>
      <c r="D3733" t="s">
        <v>27</v>
      </c>
      <c r="E3733" t="s">
        <v>59</v>
      </c>
      <c r="F3733" s="3">
        <v>0</v>
      </c>
      <c r="G3733" s="3">
        <v>1075.92</v>
      </c>
      <c r="H3733" s="3">
        <v>-1075.92</v>
      </c>
      <c r="I3733" t="s">
        <v>925</v>
      </c>
    </row>
    <row r="3734" spans="1:9" x14ac:dyDescent="0.35">
      <c r="A3734" s="2">
        <v>45626</v>
      </c>
      <c r="B3734">
        <v>96</v>
      </c>
      <c r="C3734">
        <v>1111001</v>
      </c>
      <c r="D3734" t="s">
        <v>16</v>
      </c>
      <c r="E3734" t="s">
        <v>59</v>
      </c>
      <c r="F3734" s="3">
        <v>7800.4</v>
      </c>
      <c r="G3734" s="3">
        <v>0</v>
      </c>
      <c r="H3734" s="3">
        <v>7800.4</v>
      </c>
      <c r="I3734" t="s">
        <v>925</v>
      </c>
    </row>
    <row r="3735" spans="1:9" x14ac:dyDescent="0.35">
      <c r="A3735" s="2">
        <v>45626</v>
      </c>
      <c r="B3735">
        <v>96</v>
      </c>
      <c r="C3735">
        <v>4112003</v>
      </c>
      <c r="D3735" t="s">
        <v>58</v>
      </c>
      <c r="E3735" t="s">
        <v>59</v>
      </c>
      <c r="F3735" s="3">
        <v>0</v>
      </c>
      <c r="G3735" s="3">
        <v>9052.07</v>
      </c>
      <c r="H3735" s="3">
        <v>-9052.07</v>
      </c>
      <c r="I3735" t="s">
        <v>925</v>
      </c>
    </row>
    <row r="3736" spans="1:9" x14ac:dyDescent="0.35">
      <c r="A3736" s="2">
        <v>45626</v>
      </c>
      <c r="B3736">
        <v>96</v>
      </c>
      <c r="C3736">
        <v>2121001</v>
      </c>
      <c r="D3736" t="s">
        <v>27</v>
      </c>
      <c r="E3736" t="s">
        <v>59</v>
      </c>
      <c r="F3736" s="3">
        <v>0</v>
      </c>
      <c r="G3736" s="3">
        <v>1448.33</v>
      </c>
      <c r="H3736" s="3">
        <v>-1448.33</v>
      </c>
      <c r="I3736" t="s">
        <v>925</v>
      </c>
    </row>
    <row r="3737" spans="1:9" x14ac:dyDescent="0.35">
      <c r="A3737" s="2">
        <v>45626</v>
      </c>
      <c r="B3737">
        <v>96</v>
      </c>
      <c r="C3737">
        <v>1111001</v>
      </c>
      <c r="D3737" t="s">
        <v>16</v>
      </c>
      <c r="E3737" t="s">
        <v>59</v>
      </c>
      <c r="F3737" s="3">
        <v>10500.4</v>
      </c>
      <c r="G3737" s="3">
        <v>0</v>
      </c>
      <c r="H3737" s="3">
        <v>10500.4</v>
      </c>
      <c r="I3737" t="s">
        <v>925</v>
      </c>
    </row>
    <row r="3738" spans="1:9" x14ac:dyDescent="0.35">
      <c r="A3738" s="2">
        <v>45626</v>
      </c>
      <c r="B3738">
        <v>96</v>
      </c>
      <c r="C3738">
        <v>4112003</v>
      </c>
      <c r="D3738" t="s">
        <v>58</v>
      </c>
      <c r="E3738" t="s">
        <v>59</v>
      </c>
      <c r="F3738" s="3">
        <v>0</v>
      </c>
      <c r="G3738" s="3">
        <v>7758.85</v>
      </c>
      <c r="H3738" s="3">
        <v>-7758.85</v>
      </c>
      <c r="I3738" t="s">
        <v>925</v>
      </c>
    </row>
    <row r="3739" spans="1:9" x14ac:dyDescent="0.35">
      <c r="A3739" s="2">
        <v>45626</v>
      </c>
      <c r="B3739">
        <v>96</v>
      </c>
      <c r="C3739">
        <v>2121001</v>
      </c>
      <c r="D3739" t="s">
        <v>27</v>
      </c>
      <c r="E3739" t="s">
        <v>59</v>
      </c>
      <c r="F3739" s="3">
        <v>0</v>
      </c>
      <c r="G3739" s="3">
        <v>1241.42</v>
      </c>
      <c r="H3739" s="3">
        <v>-1241.42</v>
      </c>
      <c r="I3739" t="s">
        <v>925</v>
      </c>
    </row>
    <row r="3740" spans="1:9" x14ac:dyDescent="0.35">
      <c r="A3740" s="2">
        <v>45626</v>
      </c>
      <c r="B3740">
        <v>96</v>
      </c>
      <c r="C3740">
        <v>1111001</v>
      </c>
      <c r="D3740" t="s">
        <v>16</v>
      </c>
      <c r="E3740" t="s">
        <v>59</v>
      </c>
      <c r="F3740" s="3">
        <v>9000.27</v>
      </c>
      <c r="G3740" s="3">
        <v>0</v>
      </c>
      <c r="H3740" s="3">
        <v>9000.27</v>
      </c>
      <c r="I3740" t="s">
        <v>925</v>
      </c>
    </row>
    <row r="3741" spans="1:9" x14ac:dyDescent="0.35">
      <c r="A3741" s="2">
        <v>45626</v>
      </c>
      <c r="B3741">
        <v>96</v>
      </c>
      <c r="C3741">
        <v>4112003</v>
      </c>
      <c r="D3741" t="s">
        <v>58</v>
      </c>
      <c r="E3741" t="s">
        <v>59</v>
      </c>
      <c r="F3741" s="3">
        <v>0</v>
      </c>
      <c r="G3741" s="3">
        <v>6595.17</v>
      </c>
      <c r="H3741" s="3">
        <v>-6595.17</v>
      </c>
      <c r="I3741" t="s">
        <v>925</v>
      </c>
    </row>
    <row r="3742" spans="1:9" x14ac:dyDescent="0.35">
      <c r="A3742" s="2">
        <v>45626</v>
      </c>
      <c r="B3742">
        <v>96</v>
      </c>
      <c r="C3742">
        <v>2121001</v>
      </c>
      <c r="D3742" t="s">
        <v>27</v>
      </c>
      <c r="E3742" t="s">
        <v>59</v>
      </c>
      <c r="F3742" s="3">
        <v>0</v>
      </c>
      <c r="G3742" s="3">
        <v>1055.23</v>
      </c>
      <c r="H3742" s="3">
        <v>-1055.23</v>
      </c>
      <c r="I3742" t="s">
        <v>925</v>
      </c>
    </row>
    <row r="3743" spans="1:9" x14ac:dyDescent="0.35">
      <c r="A3743" s="2">
        <v>45626</v>
      </c>
      <c r="B3743">
        <v>96</v>
      </c>
      <c r="C3743">
        <v>1111001</v>
      </c>
      <c r="D3743" t="s">
        <v>16</v>
      </c>
      <c r="E3743" t="s">
        <v>59</v>
      </c>
      <c r="F3743" s="3">
        <v>7650.4</v>
      </c>
      <c r="G3743" s="3">
        <v>0</v>
      </c>
      <c r="H3743" s="3">
        <v>7650.4</v>
      </c>
      <c r="I3743" t="s">
        <v>925</v>
      </c>
    </row>
    <row r="3744" spans="1:9" x14ac:dyDescent="0.35">
      <c r="A3744" s="2">
        <v>45626</v>
      </c>
      <c r="B3744">
        <v>96</v>
      </c>
      <c r="C3744">
        <v>4112003</v>
      </c>
      <c r="D3744" t="s">
        <v>58</v>
      </c>
      <c r="E3744" t="s">
        <v>59</v>
      </c>
      <c r="F3744" s="3">
        <v>0</v>
      </c>
      <c r="G3744" s="3">
        <v>9827.7000000000007</v>
      </c>
      <c r="H3744" s="3">
        <v>-9827.7000000000007</v>
      </c>
      <c r="I3744" t="s">
        <v>925</v>
      </c>
    </row>
    <row r="3745" spans="1:9" x14ac:dyDescent="0.35">
      <c r="A3745" s="2">
        <v>45626</v>
      </c>
      <c r="B3745">
        <v>96</v>
      </c>
      <c r="C3745">
        <v>2121001</v>
      </c>
      <c r="D3745" t="s">
        <v>27</v>
      </c>
      <c r="E3745" t="s">
        <v>59</v>
      </c>
      <c r="F3745" s="3">
        <v>0</v>
      </c>
      <c r="G3745" s="3">
        <v>1572.43</v>
      </c>
      <c r="H3745" s="3">
        <v>-1572.43</v>
      </c>
      <c r="I3745" t="s">
        <v>925</v>
      </c>
    </row>
    <row r="3746" spans="1:9" x14ac:dyDescent="0.35">
      <c r="A3746" s="2">
        <v>45626</v>
      </c>
      <c r="B3746">
        <v>96</v>
      </c>
      <c r="C3746">
        <v>1111001</v>
      </c>
      <c r="D3746" t="s">
        <v>16</v>
      </c>
      <c r="E3746" t="s">
        <v>59</v>
      </c>
      <c r="F3746" s="3">
        <v>11400.13</v>
      </c>
      <c r="G3746" s="3">
        <v>0</v>
      </c>
      <c r="H3746" s="3">
        <v>11400.13</v>
      </c>
      <c r="I3746" t="s">
        <v>925</v>
      </c>
    </row>
    <row r="3747" spans="1:9" x14ac:dyDescent="0.35">
      <c r="A3747" s="2">
        <v>45626</v>
      </c>
      <c r="B3747">
        <v>96</v>
      </c>
      <c r="C3747">
        <v>4112004</v>
      </c>
      <c r="D3747" t="s">
        <v>74</v>
      </c>
      <c r="E3747" t="s">
        <v>195</v>
      </c>
      <c r="F3747" s="3">
        <v>0</v>
      </c>
      <c r="G3747" s="3">
        <v>3993.12</v>
      </c>
      <c r="H3747" s="3">
        <v>-3993.12</v>
      </c>
      <c r="I3747" t="s">
        <v>1281</v>
      </c>
    </row>
    <row r="3748" spans="1:9" x14ac:dyDescent="0.35">
      <c r="A3748" s="2">
        <v>45626</v>
      </c>
      <c r="B3748">
        <v>96</v>
      </c>
      <c r="C3748">
        <v>2121001</v>
      </c>
      <c r="D3748" t="s">
        <v>27</v>
      </c>
      <c r="E3748" t="s">
        <v>195</v>
      </c>
      <c r="F3748" s="3">
        <v>0</v>
      </c>
      <c r="G3748" s="3">
        <v>638.9</v>
      </c>
      <c r="H3748" s="3">
        <v>-638.9</v>
      </c>
      <c r="I3748" t="s">
        <v>1281</v>
      </c>
    </row>
    <row r="3749" spans="1:9" x14ac:dyDescent="0.35">
      <c r="A3749" s="2">
        <v>45626</v>
      </c>
      <c r="B3749">
        <v>96</v>
      </c>
      <c r="C3749">
        <v>1111001</v>
      </c>
      <c r="D3749" t="s">
        <v>16</v>
      </c>
      <c r="E3749" t="s">
        <v>195</v>
      </c>
      <c r="F3749" s="3">
        <v>4632.0200000000004</v>
      </c>
      <c r="G3749" s="3">
        <v>0</v>
      </c>
      <c r="H3749" s="3">
        <v>4632.0200000000004</v>
      </c>
      <c r="I3749" t="s">
        <v>1281</v>
      </c>
    </row>
    <row r="3750" spans="1:9" x14ac:dyDescent="0.35">
      <c r="A3750" s="2">
        <v>45626</v>
      </c>
      <c r="B3750">
        <v>96</v>
      </c>
      <c r="C3750">
        <v>4112004</v>
      </c>
      <c r="D3750" t="s">
        <v>74</v>
      </c>
      <c r="E3750" t="s">
        <v>197</v>
      </c>
      <c r="F3750" s="3">
        <v>0</v>
      </c>
      <c r="G3750" s="3">
        <v>15587.47</v>
      </c>
      <c r="H3750" s="3">
        <v>-15587.47</v>
      </c>
      <c r="I3750" t="s">
        <v>1282</v>
      </c>
    </row>
    <row r="3751" spans="1:9" x14ac:dyDescent="0.35">
      <c r="A3751" s="2">
        <v>45626</v>
      </c>
      <c r="B3751">
        <v>96</v>
      </c>
      <c r="C3751">
        <v>2121001</v>
      </c>
      <c r="D3751" t="s">
        <v>27</v>
      </c>
      <c r="E3751" t="s">
        <v>197</v>
      </c>
      <c r="F3751" s="3">
        <v>0</v>
      </c>
      <c r="G3751" s="3">
        <v>2494</v>
      </c>
      <c r="H3751" s="3">
        <v>-2494</v>
      </c>
      <c r="I3751" t="s">
        <v>1282</v>
      </c>
    </row>
    <row r="3752" spans="1:9" x14ac:dyDescent="0.35">
      <c r="A3752" s="2">
        <v>45626</v>
      </c>
      <c r="B3752">
        <v>96</v>
      </c>
      <c r="C3752">
        <v>1141002</v>
      </c>
      <c r="D3752" t="s">
        <v>23</v>
      </c>
      <c r="E3752" t="s">
        <v>197</v>
      </c>
      <c r="F3752" s="3">
        <v>1870.5</v>
      </c>
      <c r="G3752" s="3">
        <v>0</v>
      </c>
      <c r="H3752" s="3">
        <v>1870.5</v>
      </c>
      <c r="I3752" t="s">
        <v>1282</v>
      </c>
    </row>
    <row r="3753" spans="1:9" x14ac:dyDescent="0.35">
      <c r="A3753" s="2">
        <v>45626</v>
      </c>
      <c r="B3753">
        <v>96</v>
      </c>
      <c r="C3753">
        <v>1142001</v>
      </c>
      <c r="D3753" t="s">
        <v>199</v>
      </c>
      <c r="E3753" t="s">
        <v>197</v>
      </c>
      <c r="F3753" s="3">
        <v>311.75</v>
      </c>
      <c r="G3753" s="3">
        <v>0</v>
      </c>
      <c r="H3753" s="3">
        <v>311.75</v>
      </c>
      <c r="I3753" t="s">
        <v>1282</v>
      </c>
    </row>
    <row r="3754" spans="1:9" x14ac:dyDescent="0.35">
      <c r="A3754" s="2">
        <v>45626</v>
      </c>
      <c r="B3754">
        <v>96</v>
      </c>
      <c r="C3754">
        <v>6121040</v>
      </c>
      <c r="D3754" t="s">
        <v>98</v>
      </c>
      <c r="E3754" t="s">
        <v>197</v>
      </c>
      <c r="F3754" s="3">
        <v>361.63</v>
      </c>
      <c r="G3754" s="3">
        <v>0</v>
      </c>
      <c r="H3754" s="3">
        <v>361.63</v>
      </c>
      <c r="I3754" t="s">
        <v>1282</v>
      </c>
    </row>
    <row r="3755" spans="1:9" x14ac:dyDescent="0.35">
      <c r="A3755" s="2">
        <v>45626</v>
      </c>
      <c r="B3755">
        <v>96</v>
      </c>
      <c r="C3755">
        <v>1111001</v>
      </c>
      <c r="D3755" t="s">
        <v>16</v>
      </c>
      <c r="E3755" t="s">
        <v>197</v>
      </c>
      <c r="F3755" s="3">
        <v>15537.59</v>
      </c>
      <c r="G3755" s="3">
        <v>0</v>
      </c>
      <c r="H3755" s="3">
        <v>15537.59</v>
      </c>
      <c r="I3755" t="s">
        <v>1282</v>
      </c>
    </row>
    <row r="3756" spans="1:9" x14ac:dyDescent="0.35">
      <c r="A3756" s="2">
        <v>45626</v>
      </c>
      <c r="B3756">
        <v>96</v>
      </c>
      <c r="C3756">
        <v>4112004</v>
      </c>
      <c r="D3756" t="s">
        <v>74</v>
      </c>
      <c r="E3756" t="s">
        <v>200</v>
      </c>
      <c r="F3756" s="3">
        <v>0</v>
      </c>
      <c r="G3756" s="3">
        <v>2010.34</v>
      </c>
      <c r="H3756" s="3">
        <v>-2010.34</v>
      </c>
      <c r="I3756" t="s">
        <v>1283</v>
      </c>
    </row>
    <row r="3757" spans="1:9" x14ac:dyDescent="0.35">
      <c r="A3757" s="2">
        <v>45626</v>
      </c>
      <c r="B3757">
        <v>96</v>
      </c>
      <c r="C3757">
        <v>2121001</v>
      </c>
      <c r="D3757" t="s">
        <v>27</v>
      </c>
      <c r="E3757" t="s">
        <v>200</v>
      </c>
      <c r="F3757" s="3">
        <v>0</v>
      </c>
      <c r="G3757" s="3">
        <v>321.64999999999998</v>
      </c>
      <c r="H3757" s="3">
        <v>-321.64999999999998</v>
      </c>
      <c r="I3757" t="s">
        <v>1283</v>
      </c>
    </row>
    <row r="3758" spans="1:9" x14ac:dyDescent="0.35">
      <c r="A3758" s="2">
        <v>45626</v>
      </c>
      <c r="B3758">
        <v>96</v>
      </c>
      <c r="C3758">
        <v>1111001</v>
      </c>
      <c r="D3758" t="s">
        <v>16</v>
      </c>
      <c r="E3758" t="s">
        <v>200</v>
      </c>
      <c r="F3758" s="3">
        <v>2331.9899999999998</v>
      </c>
      <c r="G3758" s="3">
        <v>0</v>
      </c>
      <c r="H3758" s="3">
        <v>2331.9899999999998</v>
      </c>
      <c r="I3758" t="s">
        <v>1283</v>
      </c>
    </row>
    <row r="3759" spans="1:9" x14ac:dyDescent="0.35">
      <c r="A3759" s="2">
        <v>45626</v>
      </c>
      <c r="B3759">
        <v>96</v>
      </c>
      <c r="C3759">
        <v>4112004</v>
      </c>
      <c r="D3759" t="s">
        <v>74</v>
      </c>
      <c r="E3759" t="s">
        <v>79</v>
      </c>
      <c r="F3759" s="3">
        <v>0</v>
      </c>
      <c r="G3759" s="3">
        <v>3012.93</v>
      </c>
      <c r="H3759" s="3">
        <v>-3012.93</v>
      </c>
      <c r="I3759" t="s">
        <v>1284</v>
      </c>
    </row>
    <row r="3760" spans="1:9" x14ac:dyDescent="0.35">
      <c r="A3760" s="2">
        <v>45626</v>
      </c>
      <c r="B3760">
        <v>96</v>
      </c>
      <c r="C3760">
        <v>2121001</v>
      </c>
      <c r="D3760" t="s">
        <v>27</v>
      </c>
      <c r="E3760" t="s">
        <v>79</v>
      </c>
      <c r="F3760" s="3">
        <v>0</v>
      </c>
      <c r="G3760" s="3">
        <v>482.07</v>
      </c>
      <c r="H3760" s="3">
        <v>-482.07</v>
      </c>
      <c r="I3760" t="s">
        <v>1284</v>
      </c>
    </row>
    <row r="3761" spans="1:9" x14ac:dyDescent="0.35">
      <c r="A3761" s="2">
        <v>45626</v>
      </c>
      <c r="B3761">
        <v>96</v>
      </c>
      <c r="C3761">
        <v>1111001</v>
      </c>
      <c r="D3761" t="s">
        <v>16</v>
      </c>
      <c r="E3761" t="s">
        <v>79</v>
      </c>
      <c r="F3761" s="3">
        <v>3495</v>
      </c>
      <c r="G3761" s="3">
        <v>0</v>
      </c>
      <c r="H3761" s="3">
        <v>3495</v>
      </c>
      <c r="I3761" t="s">
        <v>1284</v>
      </c>
    </row>
    <row r="3762" spans="1:9" x14ac:dyDescent="0.35">
      <c r="A3762" s="2">
        <v>45626</v>
      </c>
      <c r="B3762">
        <v>96</v>
      </c>
      <c r="C3762">
        <v>4112004</v>
      </c>
      <c r="D3762" t="s">
        <v>74</v>
      </c>
      <c r="E3762" t="s">
        <v>197</v>
      </c>
      <c r="F3762" s="3">
        <v>0</v>
      </c>
      <c r="G3762" s="3">
        <v>12949.48</v>
      </c>
      <c r="H3762" s="3">
        <v>-12949.48</v>
      </c>
      <c r="I3762" t="s">
        <v>1285</v>
      </c>
    </row>
    <row r="3763" spans="1:9" x14ac:dyDescent="0.35">
      <c r="A3763" s="2">
        <v>45626</v>
      </c>
      <c r="B3763">
        <v>96</v>
      </c>
      <c r="C3763">
        <v>2121001</v>
      </c>
      <c r="D3763" t="s">
        <v>27</v>
      </c>
      <c r="E3763" t="s">
        <v>197</v>
      </c>
      <c r="F3763" s="3">
        <v>0</v>
      </c>
      <c r="G3763" s="3">
        <v>2071.92</v>
      </c>
      <c r="H3763" s="3">
        <v>-2071.92</v>
      </c>
      <c r="I3763" t="s">
        <v>1285</v>
      </c>
    </row>
    <row r="3764" spans="1:9" x14ac:dyDescent="0.35">
      <c r="A3764" s="2">
        <v>45626</v>
      </c>
      <c r="B3764">
        <v>96</v>
      </c>
      <c r="C3764">
        <v>1141002</v>
      </c>
      <c r="D3764" t="s">
        <v>23</v>
      </c>
      <c r="E3764" t="s">
        <v>197</v>
      </c>
      <c r="F3764" s="3">
        <v>1553.94</v>
      </c>
      <c r="G3764" s="3">
        <v>0</v>
      </c>
      <c r="H3764" s="3">
        <v>1553.94</v>
      </c>
      <c r="I3764" t="s">
        <v>1285</v>
      </c>
    </row>
    <row r="3765" spans="1:9" x14ac:dyDescent="0.35">
      <c r="A3765" s="2">
        <v>45626</v>
      </c>
      <c r="B3765">
        <v>96</v>
      </c>
      <c r="C3765">
        <v>1142001</v>
      </c>
      <c r="D3765" t="s">
        <v>199</v>
      </c>
      <c r="E3765" t="s">
        <v>197</v>
      </c>
      <c r="F3765" s="3">
        <v>258.99</v>
      </c>
      <c r="G3765" s="3">
        <v>0</v>
      </c>
      <c r="H3765" s="3">
        <v>258.99</v>
      </c>
      <c r="I3765" t="s">
        <v>1285</v>
      </c>
    </row>
    <row r="3766" spans="1:9" x14ac:dyDescent="0.35">
      <c r="A3766" s="2">
        <v>45626</v>
      </c>
      <c r="B3766">
        <v>96</v>
      </c>
      <c r="C3766">
        <v>6121040</v>
      </c>
      <c r="D3766" t="s">
        <v>98</v>
      </c>
      <c r="E3766" t="s">
        <v>197</v>
      </c>
      <c r="F3766" s="3">
        <v>300.43</v>
      </c>
      <c r="G3766" s="3">
        <v>0</v>
      </c>
      <c r="H3766" s="3">
        <v>300.43</v>
      </c>
      <c r="I3766" t="s">
        <v>1285</v>
      </c>
    </row>
    <row r="3767" spans="1:9" x14ac:dyDescent="0.35">
      <c r="A3767" s="2">
        <v>45626</v>
      </c>
      <c r="B3767">
        <v>96</v>
      </c>
      <c r="C3767">
        <v>1111001</v>
      </c>
      <c r="D3767" t="s">
        <v>16</v>
      </c>
      <c r="E3767" t="s">
        <v>197</v>
      </c>
      <c r="F3767" s="3">
        <v>12908.04</v>
      </c>
      <c r="G3767" s="3">
        <v>0</v>
      </c>
      <c r="H3767" s="3">
        <v>12908.04</v>
      </c>
      <c r="I3767" t="s">
        <v>1285</v>
      </c>
    </row>
    <row r="3768" spans="1:9" x14ac:dyDescent="0.35">
      <c r="A3768" s="2">
        <v>45626</v>
      </c>
      <c r="B3768">
        <v>96</v>
      </c>
      <c r="C3768">
        <v>2121001</v>
      </c>
      <c r="D3768" t="s">
        <v>27</v>
      </c>
      <c r="E3768" t="s">
        <v>612</v>
      </c>
      <c r="F3768" s="3">
        <v>21737.46</v>
      </c>
      <c r="G3768" s="3">
        <v>0</v>
      </c>
      <c r="H3768" s="3">
        <v>21737.46</v>
      </c>
      <c r="I3768" t="s">
        <v>544</v>
      </c>
    </row>
    <row r="3769" spans="1:9" x14ac:dyDescent="0.35">
      <c r="A3769" s="2">
        <v>45626</v>
      </c>
      <c r="B3769">
        <v>96</v>
      </c>
      <c r="C3769">
        <v>1141002</v>
      </c>
      <c r="D3769" t="s">
        <v>23</v>
      </c>
      <c r="E3769" t="s">
        <v>612</v>
      </c>
      <c r="F3769" s="3">
        <v>0</v>
      </c>
      <c r="G3769" s="3">
        <v>3424.44</v>
      </c>
      <c r="H3769" s="3">
        <v>-3424.44</v>
      </c>
      <c r="I3769" t="s">
        <v>544</v>
      </c>
    </row>
    <row r="3770" spans="1:9" x14ac:dyDescent="0.35">
      <c r="A3770" s="2">
        <v>45626</v>
      </c>
      <c r="B3770">
        <v>96</v>
      </c>
      <c r="C3770">
        <v>2121003</v>
      </c>
      <c r="D3770" t="s">
        <v>28</v>
      </c>
      <c r="E3770" t="s">
        <v>612</v>
      </c>
      <c r="F3770" s="3">
        <v>0</v>
      </c>
      <c r="G3770" s="3">
        <v>18313.02</v>
      </c>
      <c r="H3770" s="3">
        <v>-18313.02</v>
      </c>
      <c r="I3770" t="s">
        <v>544</v>
      </c>
    </row>
    <row r="3771" spans="1:9" x14ac:dyDescent="0.35">
      <c r="A3771" s="2">
        <v>45626</v>
      </c>
      <c r="B3771">
        <v>96</v>
      </c>
      <c r="C3771">
        <v>1142004</v>
      </c>
      <c r="D3771" t="s">
        <v>83</v>
      </c>
      <c r="E3771" t="s">
        <v>502</v>
      </c>
      <c r="F3771" s="3">
        <v>1358.59</v>
      </c>
      <c r="G3771" s="3">
        <v>0</v>
      </c>
      <c r="H3771" s="3">
        <v>1358.59</v>
      </c>
      <c r="I3771" t="s">
        <v>503</v>
      </c>
    </row>
    <row r="3772" spans="1:9" x14ac:dyDescent="0.35">
      <c r="A3772" s="2">
        <v>45626</v>
      </c>
      <c r="B3772">
        <v>96</v>
      </c>
      <c r="C3772">
        <v>2124004</v>
      </c>
      <c r="D3772" t="s">
        <v>29</v>
      </c>
      <c r="E3772" t="s">
        <v>502</v>
      </c>
      <c r="F3772" s="3">
        <v>0</v>
      </c>
      <c r="G3772" s="3">
        <v>1358.59</v>
      </c>
      <c r="H3772" s="3">
        <v>-1358.59</v>
      </c>
      <c r="I3772" t="s">
        <v>503</v>
      </c>
    </row>
    <row r="3773" spans="1:9" x14ac:dyDescent="0.35">
      <c r="A3773" s="2">
        <v>45626</v>
      </c>
      <c r="B3773">
        <v>96</v>
      </c>
      <c r="C3773">
        <v>2114001</v>
      </c>
      <c r="D3773" t="s">
        <v>97</v>
      </c>
      <c r="E3773" t="s">
        <v>368</v>
      </c>
      <c r="F3773" s="3">
        <v>9140.86</v>
      </c>
      <c r="G3773" s="3">
        <v>0</v>
      </c>
      <c r="H3773" s="3">
        <v>9140.86</v>
      </c>
      <c r="I3773" t="s">
        <v>144</v>
      </c>
    </row>
    <row r="3774" spans="1:9" x14ac:dyDescent="0.35">
      <c r="A3774" s="2">
        <v>45626</v>
      </c>
      <c r="B3774">
        <v>96</v>
      </c>
      <c r="C3774">
        <v>2114010</v>
      </c>
      <c r="D3774" t="s">
        <v>48</v>
      </c>
      <c r="E3774" t="s">
        <v>368</v>
      </c>
      <c r="F3774" s="3">
        <v>0</v>
      </c>
      <c r="G3774" s="3">
        <v>9140.86</v>
      </c>
      <c r="H3774" s="3">
        <v>-9140.86</v>
      </c>
      <c r="I3774" t="s">
        <v>144</v>
      </c>
    </row>
    <row r="3775" spans="1:9" x14ac:dyDescent="0.35">
      <c r="A3775" s="2">
        <v>45626</v>
      </c>
      <c r="B3775">
        <v>96</v>
      </c>
      <c r="C3775">
        <v>5131001</v>
      </c>
      <c r="D3775" t="s">
        <v>86</v>
      </c>
      <c r="E3775" t="s">
        <v>1286</v>
      </c>
      <c r="F3775" s="3">
        <v>390</v>
      </c>
      <c r="G3775" s="3">
        <v>0</v>
      </c>
      <c r="H3775" s="3">
        <v>390</v>
      </c>
      <c r="I3775" t="s">
        <v>574</v>
      </c>
    </row>
    <row r="3776" spans="1:9" x14ac:dyDescent="0.35">
      <c r="A3776" s="2">
        <v>45626</v>
      </c>
      <c r="B3776">
        <v>96</v>
      </c>
      <c r="C3776">
        <v>5131005</v>
      </c>
      <c r="D3776" t="s">
        <v>205</v>
      </c>
      <c r="E3776" t="s">
        <v>1286</v>
      </c>
      <c r="F3776" s="3">
        <v>5596.8</v>
      </c>
      <c r="G3776" s="3">
        <v>0</v>
      </c>
      <c r="H3776" s="3">
        <v>5596.8</v>
      </c>
      <c r="I3776" t="s">
        <v>574</v>
      </c>
    </row>
    <row r="3777" spans="1:9" x14ac:dyDescent="0.35">
      <c r="A3777" s="2">
        <v>45626</v>
      </c>
      <c r="B3777">
        <v>96</v>
      </c>
      <c r="C3777">
        <v>5131008</v>
      </c>
      <c r="D3777" t="s">
        <v>89</v>
      </c>
      <c r="E3777" t="s">
        <v>1286</v>
      </c>
      <c r="F3777" s="3">
        <v>81.900000000000006</v>
      </c>
      <c r="G3777" s="3">
        <v>0</v>
      </c>
      <c r="H3777" s="3">
        <v>81.900000000000006</v>
      </c>
      <c r="I3777" t="s">
        <v>574</v>
      </c>
    </row>
    <row r="3778" spans="1:9" x14ac:dyDescent="0.35">
      <c r="A3778" s="2">
        <v>45626</v>
      </c>
      <c r="B3778">
        <v>96</v>
      </c>
      <c r="C3778">
        <v>5131009</v>
      </c>
      <c r="D3778" t="s">
        <v>90</v>
      </c>
      <c r="E3778" t="s">
        <v>1286</v>
      </c>
      <c r="F3778" s="3">
        <v>16.25</v>
      </c>
      <c r="G3778" s="3">
        <v>0</v>
      </c>
      <c r="H3778" s="3">
        <v>16.25</v>
      </c>
      <c r="I3778" t="s">
        <v>574</v>
      </c>
    </row>
    <row r="3779" spans="1:9" x14ac:dyDescent="0.35">
      <c r="A3779" s="2">
        <v>45626</v>
      </c>
      <c r="B3779">
        <v>96</v>
      </c>
      <c r="C3779">
        <v>5131010</v>
      </c>
      <c r="D3779" t="s">
        <v>91</v>
      </c>
      <c r="E3779" t="s">
        <v>1286</v>
      </c>
      <c r="F3779" s="3">
        <v>32.5</v>
      </c>
      <c r="G3779" s="3">
        <v>0</v>
      </c>
      <c r="H3779" s="3">
        <v>32.5</v>
      </c>
      <c r="I3779" t="s">
        <v>574</v>
      </c>
    </row>
    <row r="3780" spans="1:9" x14ac:dyDescent="0.35">
      <c r="A3780" s="2">
        <v>45626</v>
      </c>
      <c r="B3780">
        <v>96</v>
      </c>
      <c r="C3780">
        <v>5131012</v>
      </c>
      <c r="D3780" t="s">
        <v>206</v>
      </c>
      <c r="E3780" t="s">
        <v>1286</v>
      </c>
      <c r="F3780" s="3">
        <v>42.9</v>
      </c>
      <c r="G3780" s="3">
        <v>0</v>
      </c>
      <c r="H3780" s="3">
        <v>42.9</v>
      </c>
      <c r="I3780" t="s">
        <v>574</v>
      </c>
    </row>
    <row r="3781" spans="1:9" x14ac:dyDescent="0.35">
      <c r="A3781" s="2">
        <v>45626</v>
      </c>
      <c r="B3781">
        <v>96</v>
      </c>
      <c r="C3781">
        <v>5131013</v>
      </c>
      <c r="D3781" t="s">
        <v>92</v>
      </c>
      <c r="E3781" t="s">
        <v>1286</v>
      </c>
      <c r="F3781" s="3">
        <v>7.8</v>
      </c>
      <c r="G3781" s="3">
        <v>0</v>
      </c>
      <c r="H3781" s="3">
        <v>7.8</v>
      </c>
      <c r="I3781" t="s">
        <v>574</v>
      </c>
    </row>
    <row r="3782" spans="1:9" x14ac:dyDescent="0.35">
      <c r="A3782" s="2">
        <v>45626</v>
      </c>
      <c r="B3782">
        <v>96</v>
      </c>
      <c r="C3782">
        <v>5131014</v>
      </c>
      <c r="D3782" t="s">
        <v>207</v>
      </c>
      <c r="E3782" t="s">
        <v>1286</v>
      </c>
      <c r="F3782" s="3">
        <v>7.8</v>
      </c>
      <c r="G3782" s="3">
        <v>0</v>
      </c>
      <c r="H3782" s="3">
        <v>7.8</v>
      </c>
      <c r="I3782" t="s">
        <v>574</v>
      </c>
    </row>
    <row r="3783" spans="1:9" x14ac:dyDescent="0.35">
      <c r="A3783" s="2">
        <v>45626</v>
      </c>
      <c r="B3783">
        <v>96</v>
      </c>
      <c r="C3783">
        <v>5131006</v>
      </c>
      <c r="D3783" t="s">
        <v>125</v>
      </c>
      <c r="E3783" t="s">
        <v>1286</v>
      </c>
      <c r="F3783" s="3">
        <v>30283.75</v>
      </c>
      <c r="G3783" s="3">
        <v>0</v>
      </c>
      <c r="H3783" s="3">
        <v>30283.75</v>
      </c>
      <c r="I3783" t="s">
        <v>574</v>
      </c>
    </row>
    <row r="3784" spans="1:9" x14ac:dyDescent="0.35">
      <c r="A3784" s="2">
        <v>45626</v>
      </c>
      <c r="B3784">
        <v>96</v>
      </c>
      <c r="C3784">
        <v>2131002</v>
      </c>
      <c r="D3784" t="s">
        <v>31</v>
      </c>
      <c r="E3784" t="s">
        <v>1286</v>
      </c>
      <c r="F3784" s="3">
        <v>0</v>
      </c>
      <c r="G3784" s="3">
        <v>15.6</v>
      </c>
      <c r="H3784" s="3">
        <v>-15.6</v>
      </c>
      <c r="I3784" t="s">
        <v>574</v>
      </c>
    </row>
    <row r="3785" spans="1:9" x14ac:dyDescent="0.35">
      <c r="A3785" s="2">
        <v>45626</v>
      </c>
      <c r="B3785">
        <v>96</v>
      </c>
      <c r="C3785">
        <v>2131003</v>
      </c>
      <c r="D3785" t="s">
        <v>32</v>
      </c>
      <c r="E3785" t="s">
        <v>1286</v>
      </c>
      <c r="F3785" s="3">
        <v>0</v>
      </c>
      <c r="G3785" s="3">
        <v>1.95</v>
      </c>
      <c r="H3785" s="3">
        <v>-1.95</v>
      </c>
      <c r="I3785" t="s">
        <v>574</v>
      </c>
    </row>
    <row r="3786" spans="1:9" x14ac:dyDescent="0.35">
      <c r="A3786" s="2">
        <v>45626</v>
      </c>
      <c r="B3786">
        <v>96</v>
      </c>
      <c r="C3786">
        <v>2131004</v>
      </c>
      <c r="D3786" t="s">
        <v>33</v>
      </c>
      <c r="E3786" t="s">
        <v>1286</v>
      </c>
      <c r="F3786" s="3">
        <v>0</v>
      </c>
      <c r="G3786" s="3">
        <v>3.9</v>
      </c>
      <c r="H3786" s="3">
        <v>-3.9</v>
      </c>
      <c r="I3786" t="s">
        <v>574</v>
      </c>
    </row>
    <row r="3787" spans="1:9" x14ac:dyDescent="0.35">
      <c r="A3787" s="2">
        <v>45626</v>
      </c>
      <c r="B3787">
        <v>96</v>
      </c>
      <c r="C3787">
        <v>2141001</v>
      </c>
      <c r="D3787" t="s">
        <v>35</v>
      </c>
      <c r="E3787" t="s">
        <v>1286</v>
      </c>
      <c r="F3787" s="3">
        <v>0</v>
      </c>
      <c r="G3787" s="3">
        <v>42.9</v>
      </c>
      <c r="H3787" s="3">
        <v>-42.9</v>
      </c>
      <c r="I3787" t="s">
        <v>574</v>
      </c>
    </row>
    <row r="3788" spans="1:9" x14ac:dyDescent="0.35">
      <c r="A3788" s="2">
        <v>45626</v>
      </c>
      <c r="B3788">
        <v>96</v>
      </c>
      <c r="C3788">
        <v>2141002</v>
      </c>
      <c r="D3788" t="s">
        <v>36</v>
      </c>
      <c r="E3788" t="s">
        <v>1286</v>
      </c>
      <c r="F3788" s="3">
        <v>0</v>
      </c>
      <c r="G3788" s="3">
        <v>7.8</v>
      </c>
      <c r="H3788" s="3">
        <v>-7.8</v>
      </c>
      <c r="I3788" t="s">
        <v>574</v>
      </c>
    </row>
    <row r="3789" spans="1:9" x14ac:dyDescent="0.35">
      <c r="A3789" s="2">
        <v>45626</v>
      </c>
      <c r="B3789">
        <v>96</v>
      </c>
      <c r="C3789">
        <v>2141003</v>
      </c>
      <c r="D3789" t="s">
        <v>37</v>
      </c>
      <c r="E3789" t="s">
        <v>1286</v>
      </c>
      <c r="F3789" s="3">
        <v>0</v>
      </c>
      <c r="G3789" s="3">
        <v>7.8</v>
      </c>
      <c r="H3789" s="3">
        <v>-7.8</v>
      </c>
      <c r="I3789" t="s">
        <v>574</v>
      </c>
    </row>
    <row r="3790" spans="1:9" x14ac:dyDescent="0.35">
      <c r="A3790" s="2">
        <v>45626</v>
      </c>
      <c r="B3790">
        <v>96</v>
      </c>
      <c r="C3790">
        <v>2161004</v>
      </c>
      <c r="D3790" t="s">
        <v>38</v>
      </c>
      <c r="E3790" t="s">
        <v>1286</v>
      </c>
      <c r="F3790" s="3">
        <v>0</v>
      </c>
      <c r="G3790" s="3">
        <v>16.25</v>
      </c>
      <c r="H3790" s="3">
        <v>-16.25</v>
      </c>
      <c r="I3790" t="s">
        <v>574</v>
      </c>
    </row>
    <row r="3791" spans="1:9" x14ac:dyDescent="0.35">
      <c r="A3791" s="2">
        <v>45626</v>
      </c>
      <c r="B3791">
        <v>96</v>
      </c>
      <c r="C3791">
        <v>2161005</v>
      </c>
      <c r="D3791" t="s">
        <v>39</v>
      </c>
      <c r="E3791" t="s">
        <v>1286</v>
      </c>
      <c r="F3791" s="3">
        <v>0</v>
      </c>
      <c r="G3791" s="3">
        <v>32.5</v>
      </c>
      <c r="H3791" s="3">
        <v>-32.5</v>
      </c>
      <c r="I3791" t="s">
        <v>574</v>
      </c>
    </row>
    <row r="3792" spans="1:9" x14ac:dyDescent="0.35">
      <c r="A3792" s="2">
        <v>45626</v>
      </c>
      <c r="B3792">
        <v>96</v>
      </c>
      <c r="C3792">
        <v>2241001</v>
      </c>
      <c r="D3792" t="s">
        <v>40</v>
      </c>
      <c r="E3792" t="s">
        <v>1286</v>
      </c>
      <c r="F3792" s="3">
        <v>0</v>
      </c>
      <c r="G3792" s="3">
        <v>81.900000000000006</v>
      </c>
      <c r="H3792" s="3">
        <v>-81.900000000000006</v>
      </c>
      <c r="I3792" t="s">
        <v>574</v>
      </c>
    </row>
    <row r="3793" spans="1:9" x14ac:dyDescent="0.35">
      <c r="A3793" s="2">
        <v>45626</v>
      </c>
      <c r="B3793">
        <v>96</v>
      </c>
      <c r="C3793">
        <v>2161001</v>
      </c>
      <c r="D3793" t="s">
        <v>93</v>
      </c>
      <c r="E3793" t="s">
        <v>1286</v>
      </c>
      <c r="F3793" s="3">
        <v>0</v>
      </c>
      <c r="G3793" s="3">
        <v>36249.1</v>
      </c>
      <c r="H3793" s="3">
        <v>-36249.1</v>
      </c>
      <c r="I3793" t="s">
        <v>574</v>
      </c>
    </row>
    <row r="3794" spans="1:9" x14ac:dyDescent="0.35">
      <c r="A3794" s="2">
        <v>45626</v>
      </c>
      <c r="B3794">
        <v>96</v>
      </c>
      <c r="C3794">
        <v>5131015</v>
      </c>
      <c r="D3794" t="s">
        <v>766</v>
      </c>
      <c r="E3794" t="s">
        <v>1287</v>
      </c>
      <c r="F3794" s="3">
        <v>4001.63</v>
      </c>
      <c r="G3794" s="3">
        <v>0</v>
      </c>
      <c r="H3794" s="3">
        <v>4001.63</v>
      </c>
      <c r="I3794" t="s">
        <v>950</v>
      </c>
    </row>
    <row r="3795" spans="1:9" x14ac:dyDescent="0.35">
      <c r="A3795" s="2">
        <v>45626</v>
      </c>
      <c r="B3795">
        <v>96</v>
      </c>
      <c r="C3795">
        <v>2124010</v>
      </c>
      <c r="D3795" t="s">
        <v>769</v>
      </c>
      <c r="E3795" t="s">
        <v>1287</v>
      </c>
      <c r="F3795" s="3">
        <v>0</v>
      </c>
      <c r="G3795" s="3">
        <v>4001.63</v>
      </c>
      <c r="H3795" s="3">
        <v>-4001.63</v>
      </c>
      <c r="I3795" t="s">
        <v>950</v>
      </c>
    </row>
    <row r="3796" spans="1:9" x14ac:dyDescent="0.35">
      <c r="A3796" s="2">
        <v>45626</v>
      </c>
      <c r="B3796">
        <v>96</v>
      </c>
      <c r="C3796">
        <v>2114001</v>
      </c>
      <c r="D3796" t="s">
        <v>97</v>
      </c>
      <c r="E3796" t="s">
        <v>1812</v>
      </c>
      <c r="F3796" s="3">
        <v>12030</v>
      </c>
      <c r="G3796" s="3">
        <v>0</v>
      </c>
      <c r="H3796" s="3">
        <v>12030</v>
      </c>
      <c r="I3796" t="s">
        <v>554</v>
      </c>
    </row>
    <row r="3797" spans="1:9" x14ac:dyDescent="0.35">
      <c r="A3797" s="2">
        <v>45626</v>
      </c>
      <c r="B3797">
        <v>96</v>
      </c>
      <c r="C3797">
        <v>5132010</v>
      </c>
      <c r="D3797" t="s">
        <v>211</v>
      </c>
      <c r="E3797" t="s">
        <v>1288</v>
      </c>
      <c r="F3797" s="3">
        <v>7000</v>
      </c>
      <c r="G3797" s="3">
        <v>0</v>
      </c>
      <c r="H3797" s="3">
        <v>7000</v>
      </c>
      <c r="I3797" t="s">
        <v>554</v>
      </c>
    </row>
    <row r="3798" spans="1:9" x14ac:dyDescent="0.35">
      <c r="A3798" s="2">
        <v>45626</v>
      </c>
      <c r="B3798">
        <v>96</v>
      </c>
      <c r="C3798">
        <v>2114001</v>
      </c>
      <c r="D3798" t="s">
        <v>97</v>
      </c>
      <c r="E3798" t="s">
        <v>1812</v>
      </c>
      <c r="F3798" s="3">
        <v>3400</v>
      </c>
      <c r="G3798" s="3">
        <v>0</v>
      </c>
      <c r="H3798" s="3">
        <v>3400</v>
      </c>
      <c r="I3798" t="s">
        <v>554</v>
      </c>
    </row>
    <row r="3799" spans="1:9" x14ac:dyDescent="0.35">
      <c r="A3799" s="2">
        <v>45626</v>
      </c>
      <c r="B3799">
        <v>96</v>
      </c>
      <c r="C3799">
        <v>2114001</v>
      </c>
      <c r="D3799" t="s">
        <v>97</v>
      </c>
      <c r="E3799" t="s">
        <v>1812</v>
      </c>
      <c r="F3799" s="3">
        <v>7637</v>
      </c>
      <c r="G3799" s="3">
        <v>0</v>
      </c>
      <c r="H3799" s="3">
        <v>7637</v>
      </c>
      <c r="I3799" t="s">
        <v>554</v>
      </c>
    </row>
    <row r="3800" spans="1:9" x14ac:dyDescent="0.35">
      <c r="A3800" s="2">
        <v>45626</v>
      </c>
      <c r="B3800">
        <v>96</v>
      </c>
      <c r="C3800">
        <v>5131016</v>
      </c>
      <c r="D3800" t="s">
        <v>238</v>
      </c>
      <c r="E3800" t="s">
        <v>1289</v>
      </c>
      <c r="F3800" s="3">
        <v>560</v>
      </c>
      <c r="G3800" s="3">
        <v>0</v>
      </c>
      <c r="H3800" s="3">
        <v>560</v>
      </c>
      <c r="I3800" t="s">
        <v>554</v>
      </c>
    </row>
    <row r="3801" spans="1:9" x14ac:dyDescent="0.35">
      <c r="A3801" s="2">
        <v>45626</v>
      </c>
      <c r="B3801">
        <v>96</v>
      </c>
      <c r="C3801">
        <v>6121023</v>
      </c>
      <c r="D3801" t="s">
        <v>49</v>
      </c>
      <c r="E3801" t="s">
        <v>1290</v>
      </c>
      <c r="F3801" s="3">
        <v>282</v>
      </c>
      <c r="G3801" s="3">
        <v>0</v>
      </c>
      <c r="H3801" s="3">
        <v>282</v>
      </c>
      <c r="I3801" t="s">
        <v>554</v>
      </c>
    </row>
    <row r="3802" spans="1:9" x14ac:dyDescent="0.35">
      <c r="A3802" s="2">
        <v>45626</v>
      </c>
      <c r="B3802">
        <v>96</v>
      </c>
      <c r="C3802">
        <v>5132002</v>
      </c>
      <c r="D3802" t="s">
        <v>115</v>
      </c>
      <c r="E3802" t="s">
        <v>1291</v>
      </c>
      <c r="F3802" s="3">
        <v>25000</v>
      </c>
      <c r="G3802" s="3">
        <v>0</v>
      </c>
      <c r="H3802" s="3">
        <v>25000</v>
      </c>
      <c r="I3802" t="s">
        <v>554</v>
      </c>
    </row>
    <row r="3803" spans="1:9" x14ac:dyDescent="0.35">
      <c r="A3803" s="2">
        <v>45626</v>
      </c>
      <c r="B3803">
        <v>96</v>
      </c>
      <c r="C3803">
        <v>2114001</v>
      </c>
      <c r="D3803" t="s">
        <v>97</v>
      </c>
      <c r="E3803" t="s">
        <v>1812</v>
      </c>
      <c r="F3803" s="3">
        <v>700</v>
      </c>
      <c r="G3803" s="3">
        <v>0</v>
      </c>
      <c r="H3803" s="3">
        <v>700</v>
      </c>
      <c r="I3803" t="s">
        <v>554</v>
      </c>
    </row>
    <row r="3804" spans="1:9" x14ac:dyDescent="0.35">
      <c r="A3804" s="2">
        <v>45626</v>
      </c>
      <c r="B3804">
        <v>96</v>
      </c>
      <c r="C3804">
        <v>5131016</v>
      </c>
      <c r="D3804" t="s">
        <v>238</v>
      </c>
      <c r="E3804" t="s">
        <v>239</v>
      </c>
      <c r="F3804" s="3">
        <v>1500</v>
      </c>
      <c r="G3804" s="3">
        <v>0</v>
      </c>
      <c r="H3804" s="3">
        <v>1500</v>
      </c>
      <c r="I3804" t="s">
        <v>554</v>
      </c>
    </row>
    <row r="3805" spans="1:9" x14ac:dyDescent="0.35">
      <c r="A3805" s="2">
        <v>45626</v>
      </c>
      <c r="B3805">
        <v>96</v>
      </c>
      <c r="C3805">
        <v>2114001</v>
      </c>
      <c r="D3805" t="s">
        <v>97</v>
      </c>
      <c r="E3805" t="s">
        <v>1812</v>
      </c>
      <c r="F3805" s="3">
        <v>12440</v>
      </c>
      <c r="G3805" s="3">
        <v>0</v>
      </c>
      <c r="H3805" s="3">
        <v>12440</v>
      </c>
      <c r="I3805" t="s">
        <v>554</v>
      </c>
    </row>
    <row r="3806" spans="1:9" x14ac:dyDescent="0.35">
      <c r="A3806" s="2">
        <v>45626</v>
      </c>
      <c r="B3806">
        <v>96</v>
      </c>
      <c r="C3806">
        <v>2114001</v>
      </c>
      <c r="D3806" t="s">
        <v>97</v>
      </c>
      <c r="E3806" t="s">
        <v>1812</v>
      </c>
      <c r="F3806" s="3">
        <v>2400</v>
      </c>
      <c r="G3806" s="3">
        <v>0</v>
      </c>
      <c r="H3806" s="3">
        <v>2400</v>
      </c>
      <c r="I3806" t="s">
        <v>554</v>
      </c>
    </row>
    <row r="3807" spans="1:9" x14ac:dyDescent="0.35">
      <c r="A3807" s="2">
        <v>45626</v>
      </c>
      <c r="B3807">
        <v>96</v>
      </c>
      <c r="C3807">
        <v>2124004</v>
      </c>
      <c r="D3807" t="s">
        <v>29</v>
      </c>
      <c r="E3807" t="s">
        <v>1292</v>
      </c>
      <c r="F3807" s="3">
        <v>1132.8499999999999</v>
      </c>
      <c r="G3807" s="3">
        <v>0</v>
      </c>
      <c r="H3807" s="3">
        <v>1132.8499999999999</v>
      </c>
      <c r="I3807" t="s">
        <v>554</v>
      </c>
    </row>
    <row r="3808" spans="1:9" x14ac:dyDescent="0.35">
      <c r="A3808" s="2">
        <v>45626</v>
      </c>
      <c r="B3808">
        <v>96</v>
      </c>
      <c r="C3808">
        <v>2114001</v>
      </c>
      <c r="D3808" t="s">
        <v>97</v>
      </c>
      <c r="E3808" t="s">
        <v>1812</v>
      </c>
      <c r="F3808" s="3">
        <v>5900</v>
      </c>
      <c r="G3808" s="3">
        <v>0</v>
      </c>
      <c r="H3808" s="3">
        <v>5900</v>
      </c>
      <c r="I3808" t="s">
        <v>554</v>
      </c>
    </row>
    <row r="3809" spans="1:9" x14ac:dyDescent="0.35">
      <c r="A3809" s="2">
        <v>45626</v>
      </c>
      <c r="B3809">
        <v>96</v>
      </c>
      <c r="C3809">
        <v>2114001</v>
      </c>
      <c r="D3809" t="s">
        <v>97</v>
      </c>
      <c r="E3809" t="s">
        <v>1812</v>
      </c>
      <c r="F3809" s="3">
        <v>6370</v>
      </c>
      <c r="G3809" s="3">
        <v>0</v>
      </c>
      <c r="H3809" s="3">
        <v>6370</v>
      </c>
      <c r="I3809" t="s">
        <v>554</v>
      </c>
    </row>
    <row r="3810" spans="1:9" x14ac:dyDescent="0.35">
      <c r="A3810" s="2">
        <v>45626</v>
      </c>
      <c r="B3810">
        <v>96</v>
      </c>
      <c r="C3810">
        <v>2161001</v>
      </c>
      <c r="D3810" t="s">
        <v>93</v>
      </c>
      <c r="E3810" t="s">
        <v>1813</v>
      </c>
      <c r="F3810" s="3">
        <v>6240</v>
      </c>
      <c r="G3810" s="3">
        <v>0</v>
      </c>
      <c r="H3810" s="3">
        <v>6240</v>
      </c>
      <c r="I3810" t="s">
        <v>554</v>
      </c>
    </row>
    <row r="3811" spans="1:9" x14ac:dyDescent="0.35">
      <c r="A3811" s="2">
        <v>45626</v>
      </c>
      <c r="B3811">
        <v>96</v>
      </c>
      <c r="C3811">
        <v>2161001</v>
      </c>
      <c r="D3811" t="s">
        <v>93</v>
      </c>
      <c r="E3811" t="s">
        <v>1814</v>
      </c>
      <c r="F3811" s="3">
        <v>7800</v>
      </c>
      <c r="G3811" s="3">
        <v>0</v>
      </c>
      <c r="H3811" s="3">
        <v>7800</v>
      </c>
      <c r="I3811" t="s">
        <v>554</v>
      </c>
    </row>
    <row r="3812" spans="1:9" x14ac:dyDescent="0.35">
      <c r="A3812" s="2">
        <v>45626</v>
      </c>
      <c r="B3812">
        <v>96</v>
      </c>
      <c r="C3812">
        <v>2161001</v>
      </c>
      <c r="D3812" t="s">
        <v>93</v>
      </c>
      <c r="E3812" t="s">
        <v>1815</v>
      </c>
      <c r="F3812" s="3">
        <v>6240</v>
      </c>
      <c r="G3812" s="3">
        <v>0</v>
      </c>
      <c r="H3812" s="3">
        <v>6240</v>
      </c>
      <c r="I3812" t="s">
        <v>554</v>
      </c>
    </row>
    <row r="3813" spans="1:9" x14ac:dyDescent="0.35">
      <c r="A3813" s="2">
        <v>45626</v>
      </c>
      <c r="B3813">
        <v>96</v>
      </c>
      <c r="C3813">
        <v>1112002</v>
      </c>
      <c r="D3813" t="s">
        <v>21</v>
      </c>
      <c r="E3813" t="s">
        <v>758</v>
      </c>
      <c r="F3813" s="3">
        <v>0</v>
      </c>
      <c r="G3813" s="3">
        <v>106631.85</v>
      </c>
      <c r="H3813" s="3">
        <v>-106631.85</v>
      </c>
      <c r="I3813" t="s">
        <v>554</v>
      </c>
    </row>
    <row r="3814" spans="1:9" x14ac:dyDescent="0.35">
      <c r="A3814" s="2">
        <v>45626</v>
      </c>
      <c r="B3814">
        <v>96</v>
      </c>
      <c r="C3814">
        <v>2114001</v>
      </c>
      <c r="D3814" t="s">
        <v>97</v>
      </c>
      <c r="E3814" t="s">
        <v>1812</v>
      </c>
      <c r="F3814" s="3">
        <v>2899</v>
      </c>
      <c r="G3814" s="3">
        <v>0</v>
      </c>
      <c r="H3814" s="3">
        <v>2899</v>
      </c>
      <c r="I3814" t="s">
        <v>480</v>
      </c>
    </row>
    <row r="3815" spans="1:9" x14ac:dyDescent="0.35">
      <c r="A3815" s="2">
        <v>45626</v>
      </c>
      <c r="B3815">
        <v>96</v>
      </c>
      <c r="C3815">
        <v>2114001</v>
      </c>
      <c r="D3815" t="s">
        <v>97</v>
      </c>
      <c r="E3815" t="s">
        <v>1812</v>
      </c>
      <c r="F3815" s="3">
        <v>1740</v>
      </c>
      <c r="G3815" s="3">
        <v>0</v>
      </c>
      <c r="H3815" s="3">
        <v>1740</v>
      </c>
      <c r="I3815" t="s">
        <v>480</v>
      </c>
    </row>
    <row r="3816" spans="1:9" x14ac:dyDescent="0.35">
      <c r="A3816" s="2">
        <v>45626</v>
      </c>
      <c r="B3816">
        <v>96</v>
      </c>
      <c r="C3816">
        <v>2114001</v>
      </c>
      <c r="D3816" t="s">
        <v>97</v>
      </c>
      <c r="E3816" t="s">
        <v>1812</v>
      </c>
      <c r="F3816" s="3">
        <v>830</v>
      </c>
      <c r="G3816" s="3">
        <v>0</v>
      </c>
      <c r="H3816" s="3">
        <v>830</v>
      </c>
      <c r="I3816" t="s">
        <v>480</v>
      </c>
    </row>
    <row r="3817" spans="1:9" x14ac:dyDescent="0.35">
      <c r="A3817" s="2">
        <v>45626</v>
      </c>
      <c r="B3817">
        <v>96</v>
      </c>
      <c r="C3817">
        <v>2114001</v>
      </c>
      <c r="D3817" t="s">
        <v>97</v>
      </c>
      <c r="E3817" t="s">
        <v>1293</v>
      </c>
      <c r="F3817" s="3">
        <v>202.5</v>
      </c>
      <c r="G3817" s="3">
        <v>0</v>
      </c>
      <c r="H3817" s="3">
        <v>202.5</v>
      </c>
      <c r="I3817" t="s">
        <v>480</v>
      </c>
    </row>
    <row r="3818" spans="1:9" x14ac:dyDescent="0.35">
      <c r="A3818" s="2">
        <v>45626</v>
      </c>
      <c r="B3818">
        <v>96</v>
      </c>
      <c r="C3818">
        <v>2114001</v>
      </c>
      <c r="D3818" t="s">
        <v>97</v>
      </c>
      <c r="E3818" t="s">
        <v>1812</v>
      </c>
      <c r="F3818" s="3">
        <v>9450</v>
      </c>
      <c r="G3818" s="3">
        <v>0</v>
      </c>
      <c r="H3818" s="3">
        <v>9450</v>
      </c>
      <c r="I3818" t="s">
        <v>480</v>
      </c>
    </row>
    <row r="3819" spans="1:9" x14ac:dyDescent="0.35">
      <c r="A3819" s="2">
        <v>45626</v>
      </c>
      <c r="B3819">
        <v>96</v>
      </c>
      <c r="C3819">
        <v>2114001</v>
      </c>
      <c r="D3819" t="s">
        <v>97</v>
      </c>
      <c r="E3819" t="s">
        <v>1812</v>
      </c>
      <c r="F3819" s="3">
        <v>2630</v>
      </c>
      <c r="G3819" s="3">
        <v>0</v>
      </c>
      <c r="H3819" s="3">
        <v>2630</v>
      </c>
      <c r="I3819" t="s">
        <v>480</v>
      </c>
    </row>
    <row r="3820" spans="1:9" x14ac:dyDescent="0.35">
      <c r="A3820" s="2">
        <v>45626</v>
      </c>
      <c r="B3820">
        <v>96</v>
      </c>
      <c r="C3820">
        <v>2114001</v>
      </c>
      <c r="D3820" t="s">
        <v>97</v>
      </c>
      <c r="E3820" t="s">
        <v>1812</v>
      </c>
      <c r="F3820" s="3">
        <v>1160</v>
      </c>
      <c r="G3820" s="3">
        <v>0</v>
      </c>
      <c r="H3820" s="3">
        <v>1160</v>
      </c>
      <c r="I3820" t="s">
        <v>480</v>
      </c>
    </row>
    <row r="3821" spans="1:9" x14ac:dyDescent="0.35">
      <c r="A3821" s="2">
        <v>45626</v>
      </c>
      <c r="B3821">
        <v>96</v>
      </c>
      <c r="C3821">
        <v>6121021</v>
      </c>
      <c r="D3821" t="s">
        <v>102</v>
      </c>
      <c r="E3821" t="s">
        <v>1293</v>
      </c>
      <c r="F3821" s="3">
        <v>1483.46</v>
      </c>
      <c r="G3821" s="3">
        <v>0</v>
      </c>
      <c r="H3821" s="3">
        <v>1483.46</v>
      </c>
      <c r="I3821" t="s">
        <v>480</v>
      </c>
    </row>
    <row r="3822" spans="1:9" x14ac:dyDescent="0.35">
      <c r="A3822" s="2">
        <v>45626</v>
      </c>
      <c r="B3822">
        <v>96</v>
      </c>
      <c r="C3822">
        <v>6121019</v>
      </c>
      <c r="D3822" t="s">
        <v>100</v>
      </c>
      <c r="E3822" t="s">
        <v>101</v>
      </c>
      <c r="F3822" s="3">
        <v>32.17</v>
      </c>
      <c r="G3822" s="3">
        <v>0</v>
      </c>
      <c r="H3822" s="3">
        <v>32.17</v>
      </c>
      <c r="I3822" t="s">
        <v>480</v>
      </c>
    </row>
    <row r="3823" spans="1:9" x14ac:dyDescent="0.35">
      <c r="A3823" s="2">
        <v>45626</v>
      </c>
      <c r="B3823">
        <v>96</v>
      </c>
      <c r="C3823">
        <v>2114001</v>
      </c>
      <c r="D3823" t="s">
        <v>97</v>
      </c>
      <c r="E3823" t="s">
        <v>1812</v>
      </c>
      <c r="F3823" s="3">
        <v>1035</v>
      </c>
      <c r="G3823" s="3">
        <v>0</v>
      </c>
      <c r="H3823" s="3">
        <v>1035</v>
      </c>
      <c r="I3823" t="s">
        <v>480</v>
      </c>
    </row>
    <row r="3824" spans="1:9" x14ac:dyDescent="0.35">
      <c r="A3824" s="2">
        <v>45626</v>
      </c>
      <c r="B3824">
        <v>96</v>
      </c>
      <c r="C3824">
        <v>2114001</v>
      </c>
      <c r="D3824" t="s">
        <v>97</v>
      </c>
      <c r="E3824" t="s">
        <v>1812</v>
      </c>
      <c r="F3824" s="3">
        <v>580</v>
      </c>
      <c r="G3824" s="3">
        <v>0</v>
      </c>
      <c r="H3824" s="3">
        <v>580</v>
      </c>
      <c r="I3824" t="s">
        <v>480</v>
      </c>
    </row>
    <row r="3825" spans="1:9" x14ac:dyDescent="0.35">
      <c r="A3825" s="2">
        <v>45626</v>
      </c>
      <c r="B3825">
        <v>96</v>
      </c>
      <c r="C3825">
        <v>1112001</v>
      </c>
      <c r="D3825" t="s">
        <v>20</v>
      </c>
      <c r="E3825" t="s">
        <v>758</v>
      </c>
      <c r="F3825" s="3">
        <v>0</v>
      </c>
      <c r="G3825" s="3">
        <v>22042.13</v>
      </c>
      <c r="H3825" s="3">
        <v>-22042.13</v>
      </c>
      <c r="I3825" t="s">
        <v>480</v>
      </c>
    </row>
    <row r="3826" spans="1:9" x14ac:dyDescent="0.35">
      <c r="A3826" s="2">
        <v>45626</v>
      </c>
      <c r="B3826">
        <v>96</v>
      </c>
      <c r="C3826">
        <v>2141001</v>
      </c>
      <c r="D3826" t="s">
        <v>35</v>
      </c>
      <c r="E3826" t="s">
        <v>551</v>
      </c>
      <c r="F3826" s="3">
        <v>138.6</v>
      </c>
      <c r="G3826" s="3">
        <v>0</v>
      </c>
      <c r="H3826" s="3">
        <v>138.6</v>
      </c>
      <c r="I3826" t="s">
        <v>114</v>
      </c>
    </row>
    <row r="3827" spans="1:9" x14ac:dyDescent="0.35">
      <c r="A3827" s="2">
        <v>45626</v>
      </c>
      <c r="B3827">
        <v>96</v>
      </c>
      <c r="C3827">
        <v>2141002</v>
      </c>
      <c r="D3827" t="s">
        <v>36</v>
      </c>
      <c r="E3827" t="s">
        <v>550</v>
      </c>
      <c r="F3827" s="3">
        <v>27.3</v>
      </c>
      <c r="G3827" s="3">
        <v>0</v>
      </c>
      <c r="H3827" s="3">
        <v>27.3</v>
      </c>
      <c r="I3827" t="s">
        <v>114</v>
      </c>
    </row>
    <row r="3828" spans="1:9" x14ac:dyDescent="0.35">
      <c r="A3828" s="2">
        <v>45626</v>
      </c>
      <c r="B3828">
        <v>96</v>
      </c>
      <c r="C3828">
        <v>5132002</v>
      </c>
      <c r="D3828" t="s">
        <v>115</v>
      </c>
      <c r="E3828" t="s">
        <v>1291</v>
      </c>
      <c r="F3828" s="3">
        <v>5000</v>
      </c>
      <c r="G3828" s="3">
        <v>0</v>
      </c>
      <c r="H3828" s="3">
        <v>5000</v>
      </c>
      <c r="I3828" t="s">
        <v>114</v>
      </c>
    </row>
    <row r="3829" spans="1:9" x14ac:dyDescent="0.35">
      <c r="A3829" s="2">
        <v>45626</v>
      </c>
      <c r="B3829">
        <v>96</v>
      </c>
      <c r="C3829">
        <v>1112003</v>
      </c>
      <c r="D3829" t="s">
        <v>22</v>
      </c>
      <c r="E3829" t="s">
        <v>758</v>
      </c>
      <c r="F3829" s="3">
        <v>0</v>
      </c>
      <c r="G3829" s="3">
        <v>5165.8999999999996</v>
      </c>
      <c r="H3829" s="3">
        <v>-5165.8999999999996</v>
      </c>
      <c r="I3829" t="s">
        <v>114</v>
      </c>
    </row>
    <row r="3830" spans="1:9" x14ac:dyDescent="0.35">
      <c r="A3830" s="2">
        <v>45626</v>
      </c>
      <c r="B3830">
        <v>96</v>
      </c>
      <c r="C3830">
        <v>2114010</v>
      </c>
      <c r="D3830" t="s">
        <v>48</v>
      </c>
      <c r="E3830" t="s">
        <v>368</v>
      </c>
      <c r="F3830" s="3">
        <v>25223.23</v>
      </c>
      <c r="G3830" s="3">
        <v>0</v>
      </c>
      <c r="H3830" s="3">
        <v>25223.23</v>
      </c>
      <c r="I3830" t="s">
        <v>144</v>
      </c>
    </row>
    <row r="3831" spans="1:9" x14ac:dyDescent="0.35">
      <c r="A3831" s="2">
        <v>45626</v>
      </c>
      <c r="B3831">
        <v>96</v>
      </c>
      <c r="C3831">
        <v>2114001</v>
      </c>
      <c r="D3831" t="s">
        <v>97</v>
      </c>
      <c r="E3831" t="s">
        <v>368</v>
      </c>
      <c r="F3831" s="3">
        <v>0</v>
      </c>
      <c r="G3831" s="3">
        <v>25223.23</v>
      </c>
      <c r="H3831" s="3">
        <v>-25223.23</v>
      </c>
      <c r="I3831" t="s">
        <v>144</v>
      </c>
    </row>
    <row r="3832" spans="1:9" x14ac:dyDescent="0.35">
      <c r="A3832" s="2">
        <v>45626</v>
      </c>
      <c r="B3832">
        <v>96</v>
      </c>
      <c r="C3832">
        <v>2161001</v>
      </c>
      <c r="D3832" t="s">
        <v>93</v>
      </c>
      <c r="E3832" t="s">
        <v>242</v>
      </c>
      <c r="F3832" s="3">
        <v>20310.400000000001</v>
      </c>
      <c r="G3832" s="3">
        <v>0</v>
      </c>
      <c r="H3832" s="3">
        <v>20310.400000000001</v>
      </c>
      <c r="I3832" t="s">
        <v>144</v>
      </c>
    </row>
    <row r="3833" spans="1:9" x14ac:dyDescent="0.35">
      <c r="A3833" s="2">
        <v>45626</v>
      </c>
      <c r="B3833">
        <v>96</v>
      </c>
      <c r="C3833">
        <v>2114001</v>
      </c>
      <c r="D3833" t="s">
        <v>97</v>
      </c>
      <c r="E3833" t="s">
        <v>242</v>
      </c>
      <c r="F3833" s="3">
        <v>0</v>
      </c>
      <c r="G3833" s="3">
        <v>20310.400000000001</v>
      </c>
      <c r="H3833" s="3">
        <v>-20310.400000000001</v>
      </c>
      <c r="I3833" t="s">
        <v>144</v>
      </c>
    </row>
    <row r="3834" spans="1:9" x14ac:dyDescent="0.35">
      <c r="A3834" s="2">
        <v>45626</v>
      </c>
      <c r="B3834">
        <v>96</v>
      </c>
      <c r="C3834">
        <v>1112001</v>
      </c>
      <c r="D3834" t="s">
        <v>20</v>
      </c>
      <c r="E3834" t="s">
        <v>744</v>
      </c>
      <c r="F3834" s="3">
        <v>22485.919999999998</v>
      </c>
      <c r="G3834" s="3">
        <v>0</v>
      </c>
      <c r="H3834" s="3">
        <v>22485.919999999998</v>
      </c>
      <c r="I3834" t="s">
        <v>480</v>
      </c>
    </row>
    <row r="3835" spans="1:9" x14ac:dyDescent="0.35">
      <c r="A3835" s="2">
        <v>45626</v>
      </c>
      <c r="B3835">
        <v>96</v>
      </c>
      <c r="C3835">
        <v>1111001</v>
      </c>
      <c r="D3835" t="s">
        <v>16</v>
      </c>
      <c r="E3835" t="s">
        <v>1294</v>
      </c>
      <c r="F3835" s="3">
        <v>0</v>
      </c>
      <c r="G3835" s="3">
        <v>22485.919999999998</v>
      </c>
      <c r="H3835" s="3">
        <v>-22485.919999999998</v>
      </c>
      <c r="I3835" t="s">
        <v>480</v>
      </c>
    </row>
    <row r="3836" spans="1:9" x14ac:dyDescent="0.35">
      <c r="A3836" s="2">
        <v>45626</v>
      </c>
      <c r="B3836">
        <v>96</v>
      </c>
      <c r="C3836">
        <v>1112002</v>
      </c>
      <c r="D3836" t="s">
        <v>21</v>
      </c>
      <c r="E3836" t="s">
        <v>744</v>
      </c>
      <c r="F3836" s="3">
        <v>106715.58</v>
      </c>
      <c r="G3836" s="3">
        <v>0</v>
      </c>
      <c r="H3836" s="3">
        <v>106715.58</v>
      </c>
      <c r="I3836" t="s">
        <v>554</v>
      </c>
    </row>
    <row r="3837" spans="1:9" x14ac:dyDescent="0.35">
      <c r="A3837" s="2">
        <v>45626</v>
      </c>
      <c r="B3837">
        <v>96</v>
      </c>
      <c r="C3837">
        <v>1111001</v>
      </c>
      <c r="D3837" t="s">
        <v>16</v>
      </c>
      <c r="E3837" t="s">
        <v>1294</v>
      </c>
      <c r="F3837" s="3">
        <v>0</v>
      </c>
      <c r="G3837" s="3">
        <v>106715.58</v>
      </c>
      <c r="H3837" s="3">
        <v>-106715.58</v>
      </c>
      <c r="I3837" t="s">
        <v>554</v>
      </c>
    </row>
    <row r="3838" spans="1:9" x14ac:dyDescent="0.35">
      <c r="A3838" s="2">
        <v>45626</v>
      </c>
      <c r="B3838">
        <v>96</v>
      </c>
      <c r="C3838">
        <v>1112003</v>
      </c>
      <c r="D3838" t="s">
        <v>22</v>
      </c>
      <c r="E3838" t="s">
        <v>744</v>
      </c>
      <c r="F3838" s="3">
        <v>3892.18</v>
      </c>
      <c r="G3838" s="3">
        <v>0</v>
      </c>
      <c r="H3838" s="3">
        <v>3892.18</v>
      </c>
      <c r="I3838" t="s">
        <v>114</v>
      </c>
    </row>
    <row r="3839" spans="1:9" x14ac:dyDescent="0.35">
      <c r="A3839" s="2">
        <v>45626</v>
      </c>
      <c r="B3839">
        <v>96</v>
      </c>
      <c r="C3839">
        <v>1111001</v>
      </c>
      <c r="D3839" t="s">
        <v>16</v>
      </c>
      <c r="E3839" t="s">
        <v>1294</v>
      </c>
      <c r="F3839" s="3">
        <v>0</v>
      </c>
      <c r="G3839" s="3">
        <v>3892.18</v>
      </c>
      <c r="H3839" s="3">
        <v>-3892.18</v>
      </c>
      <c r="I3839" t="s">
        <v>114</v>
      </c>
    </row>
    <row r="3840" spans="1:9" x14ac:dyDescent="0.35">
      <c r="A3840" s="2">
        <v>45641</v>
      </c>
      <c r="B3840">
        <v>97</v>
      </c>
      <c r="C3840">
        <v>6121018</v>
      </c>
      <c r="D3840" t="s">
        <v>150</v>
      </c>
      <c r="E3840" t="s">
        <v>151</v>
      </c>
      <c r="F3840" s="3">
        <v>8573.41</v>
      </c>
      <c r="G3840" s="3">
        <v>0</v>
      </c>
      <c r="H3840" s="3">
        <v>8573.41</v>
      </c>
      <c r="I3840" t="s">
        <v>1295</v>
      </c>
    </row>
    <row r="3841" spans="1:9" x14ac:dyDescent="0.35">
      <c r="A3841" s="2">
        <v>45641</v>
      </c>
      <c r="B3841">
        <v>97</v>
      </c>
      <c r="C3841">
        <v>1141001</v>
      </c>
      <c r="D3841" t="s">
        <v>153</v>
      </c>
      <c r="E3841" t="s">
        <v>151</v>
      </c>
      <c r="F3841" s="3">
        <v>1371.75</v>
      </c>
      <c r="G3841" s="3">
        <v>0</v>
      </c>
      <c r="H3841" s="3">
        <v>1371.75</v>
      </c>
      <c r="I3841" t="s">
        <v>1295</v>
      </c>
    </row>
    <row r="3842" spans="1:9" x14ac:dyDescent="0.35">
      <c r="A3842" s="2">
        <v>45641</v>
      </c>
      <c r="B3842">
        <v>97</v>
      </c>
      <c r="C3842">
        <v>2124009</v>
      </c>
      <c r="D3842" t="s">
        <v>154</v>
      </c>
      <c r="E3842" t="s">
        <v>151</v>
      </c>
      <c r="F3842" s="3">
        <v>0</v>
      </c>
      <c r="G3842" s="3">
        <v>1028.81</v>
      </c>
      <c r="H3842" s="3">
        <v>-1028.81</v>
      </c>
      <c r="I3842" t="s">
        <v>1438</v>
      </c>
    </row>
    <row r="3843" spans="1:9" x14ac:dyDescent="0.35">
      <c r="A3843" s="2">
        <v>45641</v>
      </c>
      <c r="B3843">
        <v>97</v>
      </c>
      <c r="C3843">
        <v>2122003</v>
      </c>
      <c r="D3843" t="s">
        <v>308</v>
      </c>
      <c r="E3843" t="s">
        <v>151</v>
      </c>
      <c r="F3843" s="3">
        <v>0</v>
      </c>
      <c r="G3843" s="3">
        <v>171.47</v>
      </c>
      <c r="H3843" s="3">
        <v>-171.47</v>
      </c>
      <c r="I3843" t="s">
        <v>1295</v>
      </c>
    </row>
    <row r="3844" spans="1:9" x14ac:dyDescent="0.35">
      <c r="A3844" s="2">
        <v>45641</v>
      </c>
      <c r="B3844">
        <v>97</v>
      </c>
      <c r="C3844">
        <v>2114010</v>
      </c>
      <c r="D3844" t="s">
        <v>48</v>
      </c>
      <c r="E3844" t="s">
        <v>151</v>
      </c>
      <c r="F3844" s="3">
        <v>0</v>
      </c>
      <c r="G3844" s="3">
        <v>8744.8799999999992</v>
      </c>
      <c r="H3844" s="3">
        <v>-8744.8799999999992</v>
      </c>
      <c r="I3844" t="s">
        <v>1295</v>
      </c>
    </row>
    <row r="3845" spans="1:9" x14ac:dyDescent="0.35">
      <c r="A3845" s="2">
        <v>45641</v>
      </c>
      <c r="B3845">
        <v>97</v>
      </c>
      <c r="C3845">
        <v>6121023</v>
      </c>
      <c r="D3845" t="s">
        <v>49</v>
      </c>
      <c r="E3845" t="s">
        <v>660</v>
      </c>
      <c r="F3845" s="3">
        <v>1136.43</v>
      </c>
      <c r="G3845" s="3">
        <v>0</v>
      </c>
      <c r="H3845" s="3">
        <v>1136.43</v>
      </c>
      <c r="I3845" t="s">
        <v>1296</v>
      </c>
    </row>
    <row r="3846" spans="1:9" x14ac:dyDescent="0.35">
      <c r="A3846" s="2">
        <v>45641</v>
      </c>
      <c r="B3846">
        <v>97</v>
      </c>
      <c r="C3846">
        <v>6121046</v>
      </c>
      <c r="D3846" t="s">
        <v>94</v>
      </c>
      <c r="E3846" t="s">
        <v>660</v>
      </c>
      <c r="F3846" s="3">
        <v>32.25</v>
      </c>
      <c r="G3846" s="3">
        <v>0</v>
      </c>
      <c r="H3846" s="3">
        <v>32.25</v>
      </c>
      <c r="I3846" t="s">
        <v>1296</v>
      </c>
    </row>
    <row r="3847" spans="1:9" x14ac:dyDescent="0.35">
      <c r="A3847" s="2">
        <v>45641</v>
      </c>
      <c r="B3847">
        <v>97</v>
      </c>
      <c r="C3847">
        <v>2114010</v>
      </c>
      <c r="D3847" t="s">
        <v>48</v>
      </c>
      <c r="E3847" t="s">
        <v>660</v>
      </c>
      <c r="F3847" s="3">
        <v>0</v>
      </c>
      <c r="G3847" s="3">
        <v>32.25</v>
      </c>
      <c r="H3847" s="3">
        <v>-32.25</v>
      </c>
      <c r="I3847" t="s">
        <v>1296</v>
      </c>
    </row>
    <row r="3848" spans="1:9" x14ac:dyDescent="0.35">
      <c r="A3848" s="2">
        <v>45641</v>
      </c>
      <c r="B3848">
        <v>97</v>
      </c>
      <c r="C3848">
        <v>2114010</v>
      </c>
      <c r="D3848" t="s">
        <v>48</v>
      </c>
      <c r="E3848" t="s">
        <v>660</v>
      </c>
      <c r="F3848" s="3">
        <v>0</v>
      </c>
      <c r="G3848" s="3">
        <v>1136.43</v>
      </c>
      <c r="H3848" s="3">
        <v>-1136.43</v>
      </c>
      <c r="I3848" t="s">
        <v>1296</v>
      </c>
    </row>
    <row r="3849" spans="1:9" x14ac:dyDescent="0.35">
      <c r="A3849" s="2">
        <v>45641</v>
      </c>
      <c r="B3849">
        <v>97</v>
      </c>
      <c r="C3849">
        <v>6121023</v>
      </c>
      <c r="D3849" t="s">
        <v>49</v>
      </c>
      <c r="E3849" t="s">
        <v>161</v>
      </c>
      <c r="F3849" s="3">
        <v>483.26</v>
      </c>
      <c r="G3849" s="3">
        <v>0</v>
      </c>
      <c r="H3849" s="3">
        <v>483.26</v>
      </c>
      <c r="I3849" t="s">
        <v>1297</v>
      </c>
    </row>
    <row r="3850" spans="1:9" x14ac:dyDescent="0.35">
      <c r="A3850" s="2">
        <v>45641</v>
      </c>
      <c r="B3850">
        <v>97</v>
      </c>
      <c r="C3850">
        <v>2114010</v>
      </c>
      <c r="D3850" t="s">
        <v>48</v>
      </c>
      <c r="E3850" t="s">
        <v>161</v>
      </c>
      <c r="F3850" s="3">
        <v>0</v>
      </c>
      <c r="G3850" s="3">
        <v>483.26</v>
      </c>
      <c r="H3850" s="3">
        <v>-483.26</v>
      </c>
      <c r="I3850" t="s">
        <v>1297</v>
      </c>
    </row>
    <row r="3851" spans="1:9" x14ac:dyDescent="0.35">
      <c r="A3851" s="2">
        <v>45641</v>
      </c>
      <c r="B3851">
        <v>97</v>
      </c>
      <c r="C3851">
        <v>6121023</v>
      </c>
      <c r="D3851" t="s">
        <v>49</v>
      </c>
      <c r="E3851" t="s">
        <v>52</v>
      </c>
      <c r="F3851" s="3">
        <v>819.18</v>
      </c>
      <c r="G3851" s="3">
        <v>0</v>
      </c>
      <c r="H3851" s="3">
        <v>819.18</v>
      </c>
      <c r="I3851" t="s">
        <v>1298</v>
      </c>
    </row>
    <row r="3852" spans="1:9" x14ac:dyDescent="0.35">
      <c r="A3852" s="2">
        <v>45641</v>
      </c>
      <c r="B3852">
        <v>97</v>
      </c>
      <c r="C3852">
        <v>2114010</v>
      </c>
      <c r="D3852" t="s">
        <v>48</v>
      </c>
      <c r="E3852" t="s">
        <v>52</v>
      </c>
      <c r="F3852" s="3">
        <v>0</v>
      </c>
      <c r="G3852" s="3">
        <v>819.18</v>
      </c>
      <c r="H3852" s="3">
        <v>-819.18</v>
      </c>
      <c r="I3852" t="s">
        <v>1298</v>
      </c>
    </row>
    <row r="3853" spans="1:9" x14ac:dyDescent="0.35">
      <c r="A3853" s="2">
        <v>45641</v>
      </c>
      <c r="B3853">
        <v>97</v>
      </c>
      <c r="C3853">
        <v>6121023</v>
      </c>
      <c r="D3853" t="s">
        <v>49</v>
      </c>
      <c r="E3853" t="s">
        <v>52</v>
      </c>
      <c r="F3853" s="3">
        <v>577.79999999999995</v>
      </c>
      <c r="G3853" s="3">
        <v>0</v>
      </c>
      <c r="H3853" s="3">
        <v>577.79999999999995</v>
      </c>
      <c r="I3853" t="s">
        <v>1299</v>
      </c>
    </row>
    <row r="3854" spans="1:9" x14ac:dyDescent="0.35">
      <c r="A3854" s="2">
        <v>45641</v>
      </c>
      <c r="B3854">
        <v>97</v>
      </c>
      <c r="C3854">
        <v>2114010</v>
      </c>
      <c r="D3854" t="s">
        <v>48</v>
      </c>
      <c r="E3854" t="s">
        <v>52</v>
      </c>
      <c r="F3854" s="3">
        <v>0</v>
      </c>
      <c r="G3854" s="3">
        <v>577.79999999999995</v>
      </c>
      <c r="H3854" s="3">
        <v>-577.79999999999995</v>
      </c>
      <c r="I3854" t="s">
        <v>1299</v>
      </c>
    </row>
    <row r="3855" spans="1:9" x14ac:dyDescent="0.35">
      <c r="A3855" s="2">
        <v>45641</v>
      </c>
      <c r="B3855">
        <v>97</v>
      </c>
      <c r="C3855">
        <v>5132009</v>
      </c>
      <c r="D3855" t="s">
        <v>655</v>
      </c>
      <c r="E3855" t="s">
        <v>656</v>
      </c>
      <c r="F3855" s="3">
        <v>248.05</v>
      </c>
      <c r="G3855" s="3">
        <v>0</v>
      </c>
      <c r="H3855" s="3">
        <v>248.05</v>
      </c>
      <c r="I3855" t="s">
        <v>1300</v>
      </c>
    </row>
    <row r="3856" spans="1:9" x14ac:dyDescent="0.35">
      <c r="A3856" s="2">
        <v>45641</v>
      </c>
      <c r="B3856">
        <v>97</v>
      </c>
      <c r="C3856">
        <v>2114010</v>
      </c>
      <c r="D3856" t="s">
        <v>48</v>
      </c>
      <c r="E3856" t="s">
        <v>656</v>
      </c>
      <c r="F3856" s="3">
        <v>0</v>
      </c>
      <c r="G3856" s="3">
        <v>248.05</v>
      </c>
      <c r="H3856" s="3">
        <v>-248.05</v>
      </c>
      <c r="I3856" t="s">
        <v>1300</v>
      </c>
    </row>
    <row r="3857" spans="1:9" x14ac:dyDescent="0.35">
      <c r="A3857" s="2">
        <v>45641</v>
      </c>
      <c r="B3857">
        <v>97</v>
      </c>
      <c r="C3857">
        <v>6121026</v>
      </c>
      <c r="D3857" t="s">
        <v>447</v>
      </c>
      <c r="E3857" t="s">
        <v>1301</v>
      </c>
      <c r="F3857" s="3">
        <v>119.03</v>
      </c>
      <c r="G3857" s="3">
        <v>0</v>
      </c>
      <c r="H3857" s="3">
        <v>119.03</v>
      </c>
      <c r="I3857" t="s">
        <v>1302</v>
      </c>
    </row>
    <row r="3858" spans="1:9" x14ac:dyDescent="0.35">
      <c r="A3858" s="2">
        <v>45641</v>
      </c>
      <c r="B3858">
        <v>97</v>
      </c>
      <c r="C3858">
        <v>2114010</v>
      </c>
      <c r="D3858" t="s">
        <v>48</v>
      </c>
      <c r="E3858" t="s">
        <v>1301</v>
      </c>
      <c r="F3858" s="3">
        <v>0</v>
      </c>
      <c r="G3858" s="3">
        <v>119.03</v>
      </c>
      <c r="H3858" s="3">
        <v>-119.03</v>
      </c>
      <c r="I3858" t="s">
        <v>1302</v>
      </c>
    </row>
    <row r="3859" spans="1:9" x14ac:dyDescent="0.35">
      <c r="A3859" s="2">
        <v>45641</v>
      </c>
      <c r="B3859">
        <v>97</v>
      </c>
      <c r="C3859">
        <v>6121023</v>
      </c>
      <c r="D3859" t="s">
        <v>49</v>
      </c>
      <c r="E3859" t="s">
        <v>52</v>
      </c>
      <c r="F3859" s="3">
        <v>81.680000000000007</v>
      </c>
      <c r="G3859" s="3">
        <v>0</v>
      </c>
      <c r="H3859" s="3">
        <v>81.680000000000007</v>
      </c>
      <c r="I3859" t="s">
        <v>1303</v>
      </c>
    </row>
    <row r="3860" spans="1:9" x14ac:dyDescent="0.35">
      <c r="A3860" s="2">
        <v>45641</v>
      </c>
      <c r="B3860">
        <v>97</v>
      </c>
      <c r="C3860">
        <v>2114010</v>
      </c>
      <c r="D3860" t="s">
        <v>48</v>
      </c>
      <c r="E3860" t="s">
        <v>52</v>
      </c>
      <c r="F3860" s="3">
        <v>0</v>
      </c>
      <c r="G3860" s="3">
        <v>81.680000000000007</v>
      </c>
      <c r="H3860" s="3">
        <v>-81.680000000000007</v>
      </c>
      <c r="I3860" t="s">
        <v>1303</v>
      </c>
    </row>
    <row r="3861" spans="1:9" x14ac:dyDescent="0.35">
      <c r="A3861" s="2">
        <v>45641</v>
      </c>
      <c r="B3861">
        <v>97</v>
      </c>
      <c r="C3861">
        <v>6121023</v>
      </c>
      <c r="D3861" t="s">
        <v>49</v>
      </c>
      <c r="E3861" t="s">
        <v>52</v>
      </c>
      <c r="F3861" s="3">
        <v>736.65</v>
      </c>
      <c r="G3861" s="3">
        <v>0</v>
      </c>
      <c r="H3861" s="3">
        <v>736.65</v>
      </c>
      <c r="I3861" t="s">
        <v>1304</v>
      </c>
    </row>
    <row r="3862" spans="1:9" x14ac:dyDescent="0.35">
      <c r="A3862" s="2">
        <v>45641</v>
      </c>
      <c r="B3862">
        <v>97</v>
      </c>
      <c r="C3862">
        <v>2114010</v>
      </c>
      <c r="D3862" t="s">
        <v>48</v>
      </c>
      <c r="E3862" t="s">
        <v>52</v>
      </c>
      <c r="F3862" s="3">
        <v>0</v>
      </c>
      <c r="G3862" s="3">
        <v>736.65</v>
      </c>
      <c r="H3862" s="3">
        <v>-736.65</v>
      </c>
      <c r="I3862" t="s">
        <v>1304</v>
      </c>
    </row>
    <row r="3863" spans="1:9" x14ac:dyDescent="0.35">
      <c r="A3863" s="2">
        <v>45641</v>
      </c>
      <c r="B3863">
        <v>97</v>
      </c>
      <c r="C3863">
        <v>6121023</v>
      </c>
      <c r="D3863" t="s">
        <v>49</v>
      </c>
      <c r="E3863" t="s">
        <v>166</v>
      </c>
      <c r="F3863" s="3">
        <v>175.6</v>
      </c>
      <c r="G3863" s="3">
        <v>0</v>
      </c>
      <c r="H3863" s="3">
        <v>175.6</v>
      </c>
      <c r="I3863" t="s">
        <v>1305</v>
      </c>
    </row>
    <row r="3864" spans="1:9" x14ac:dyDescent="0.35">
      <c r="A3864" s="2">
        <v>45641</v>
      </c>
      <c r="B3864">
        <v>97</v>
      </c>
      <c r="C3864">
        <v>2114010</v>
      </c>
      <c r="D3864" t="s">
        <v>48</v>
      </c>
      <c r="E3864" t="s">
        <v>166</v>
      </c>
      <c r="F3864" s="3">
        <v>0</v>
      </c>
      <c r="G3864" s="3">
        <v>175.6</v>
      </c>
      <c r="H3864" s="3">
        <v>-175.6</v>
      </c>
      <c r="I3864" t="s">
        <v>1305</v>
      </c>
    </row>
    <row r="3865" spans="1:9" x14ac:dyDescent="0.35">
      <c r="A3865" s="2">
        <v>45641</v>
      </c>
      <c r="B3865">
        <v>97</v>
      </c>
      <c r="C3865">
        <v>4112003</v>
      </c>
      <c r="D3865" t="s">
        <v>58</v>
      </c>
      <c r="E3865" t="s">
        <v>59</v>
      </c>
      <c r="F3865" s="3">
        <v>0</v>
      </c>
      <c r="G3865" s="3">
        <v>646.59</v>
      </c>
      <c r="H3865" s="3">
        <v>-646.59</v>
      </c>
      <c r="I3865" t="s">
        <v>925</v>
      </c>
    </row>
    <row r="3866" spans="1:9" x14ac:dyDescent="0.35">
      <c r="A3866" s="2">
        <v>45641</v>
      </c>
      <c r="B3866">
        <v>97</v>
      </c>
      <c r="C3866">
        <v>2121001</v>
      </c>
      <c r="D3866" t="s">
        <v>27</v>
      </c>
      <c r="E3866" t="s">
        <v>59</v>
      </c>
      <c r="F3866" s="3">
        <v>0</v>
      </c>
      <c r="G3866" s="3">
        <v>103.45</v>
      </c>
      <c r="H3866" s="3">
        <v>-103.45</v>
      </c>
      <c r="I3866" t="s">
        <v>925</v>
      </c>
    </row>
    <row r="3867" spans="1:9" x14ac:dyDescent="0.35">
      <c r="A3867" s="2">
        <v>45641</v>
      </c>
      <c r="B3867">
        <v>97</v>
      </c>
      <c r="C3867">
        <v>1111001</v>
      </c>
      <c r="D3867" t="s">
        <v>16</v>
      </c>
      <c r="E3867" t="s">
        <v>59</v>
      </c>
      <c r="F3867" s="3">
        <v>750.04</v>
      </c>
      <c r="G3867" s="3">
        <v>0</v>
      </c>
      <c r="H3867" s="3">
        <v>750.04</v>
      </c>
      <c r="I3867" t="s">
        <v>925</v>
      </c>
    </row>
    <row r="3868" spans="1:9" x14ac:dyDescent="0.35">
      <c r="A3868" s="2">
        <v>45641</v>
      </c>
      <c r="B3868">
        <v>97</v>
      </c>
      <c r="C3868">
        <v>4112003</v>
      </c>
      <c r="D3868" t="s">
        <v>58</v>
      </c>
      <c r="E3868" t="s">
        <v>59</v>
      </c>
      <c r="F3868" s="3">
        <v>0</v>
      </c>
      <c r="G3868" s="3">
        <v>9698.56</v>
      </c>
      <c r="H3868" s="3">
        <v>-9698.56</v>
      </c>
      <c r="I3868" t="s">
        <v>925</v>
      </c>
    </row>
    <row r="3869" spans="1:9" x14ac:dyDescent="0.35">
      <c r="A3869" s="2">
        <v>45641</v>
      </c>
      <c r="B3869">
        <v>97</v>
      </c>
      <c r="C3869">
        <v>2121001</v>
      </c>
      <c r="D3869" t="s">
        <v>27</v>
      </c>
      <c r="E3869" t="s">
        <v>59</v>
      </c>
      <c r="F3869" s="3">
        <v>0</v>
      </c>
      <c r="G3869" s="3">
        <v>1551.77</v>
      </c>
      <c r="H3869" s="3">
        <v>-1551.77</v>
      </c>
      <c r="I3869" t="s">
        <v>925</v>
      </c>
    </row>
    <row r="3870" spans="1:9" x14ac:dyDescent="0.35">
      <c r="A3870" s="2">
        <v>45641</v>
      </c>
      <c r="B3870">
        <v>97</v>
      </c>
      <c r="C3870">
        <v>1111001</v>
      </c>
      <c r="D3870" t="s">
        <v>16</v>
      </c>
      <c r="E3870" t="s">
        <v>59</v>
      </c>
      <c r="F3870" s="3">
        <v>11250.33</v>
      </c>
      <c r="G3870" s="3">
        <v>0</v>
      </c>
      <c r="H3870" s="3">
        <v>11250.33</v>
      </c>
      <c r="I3870" t="s">
        <v>925</v>
      </c>
    </row>
    <row r="3871" spans="1:9" x14ac:dyDescent="0.35">
      <c r="A3871" s="2">
        <v>45641</v>
      </c>
      <c r="B3871">
        <v>97</v>
      </c>
      <c r="C3871">
        <v>4112003</v>
      </c>
      <c r="D3871" t="s">
        <v>58</v>
      </c>
      <c r="E3871" t="s">
        <v>59</v>
      </c>
      <c r="F3871" s="3">
        <v>0</v>
      </c>
      <c r="G3871" s="3">
        <v>11897.52</v>
      </c>
      <c r="H3871" s="3">
        <v>-11897.52</v>
      </c>
      <c r="I3871" t="s">
        <v>925</v>
      </c>
    </row>
    <row r="3872" spans="1:9" x14ac:dyDescent="0.35">
      <c r="A3872" s="2">
        <v>45641</v>
      </c>
      <c r="B3872">
        <v>97</v>
      </c>
      <c r="C3872">
        <v>2121001</v>
      </c>
      <c r="D3872" t="s">
        <v>27</v>
      </c>
      <c r="E3872" t="s">
        <v>59</v>
      </c>
      <c r="F3872" s="3">
        <v>0</v>
      </c>
      <c r="G3872" s="3">
        <v>1903.6</v>
      </c>
      <c r="H3872" s="3">
        <v>-1903.6</v>
      </c>
      <c r="I3872" t="s">
        <v>925</v>
      </c>
    </row>
    <row r="3873" spans="1:9" x14ac:dyDescent="0.35">
      <c r="A3873" s="2">
        <v>45641</v>
      </c>
      <c r="B3873">
        <v>97</v>
      </c>
      <c r="C3873">
        <v>1111001</v>
      </c>
      <c r="D3873" t="s">
        <v>16</v>
      </c>
      <c r="E3873" t="s">
        <v>59</v>
      </c>
      <c r="F3873" s="3">
        <v>13801.12</v>
      </c>
      <c r="G3873" s="3">
        <v>0</v>
      </c>
      <c r="H3873" s="3">
        <v>13801.12</v>
      </c>
      <c r="I3873" t="s">
        <v>925</v>
      </c>
    </row>
    <row r="3874" spans="1:9" x14ac:dyDescent="0.35">
      <c r="A3874" s="2">
        <v>45641</v>
      </c>
      <c r="B3874">
        <v>97</v>
      </c>
      <c r="C3874">
        <v>4112003</v>
      </c>
      <c r="D3874" t="s">
        <v>58</v>
      </c>
      <c r="E3874" t="s">
        <v>59</v>
      </c>
      <c r="F3874" s="3">
        <v>0</v>
      </c>
      <c r="G3874" s="3">
        <v>9194.2199999999993</v>
      </c>
      <c r="H3874" s="3">
        <v>-9194.2199999999993</v>
      </c>
      <c r="I3874" t="s">
        <v>925</v>
      </c>
    </row>
    <row r="3875" spans="1:9" x14ac:dyDescent="0.35">
      <c r="A3875" s="2">
        <v>45641</v>
      </c>
      <c r="B3875">
        <v>97</v>
      </c>
      <c r="C3875">
        <v>2121001</v>
      </c>
      <c r="D3875" t="s">
        <v>27</v>
      </c>
      <c r="E3875" t="s">
        <v>59</v>
      </c>
      <c r="F3875" s="3">
        <v>0</v>
      </c>
      <c r="G3875" s="3">
        <v>1471.08</v>
      </c>
      <c r="H3875" s="3">
        <v>-1471.08</v>
      </c>
      <c r="I3875" t="s">
        <v>925</v>
      </c>
    </row>
    <row r="3876" spans="1:9" x14ac:dyDescent="0.35">
      <c r="A3876" s="2">
        <v>45641</v>
      </c>
      <c r="B3876">
        <v>97</v>
      </c>
      <c r="C3876">
        <v>1111001</v>
      </c>
      <c r="D3876" t="s">
        <v>16</v>
      </c>
      <c r="E3876" t="s">
        <v>59</v>
      </c>
      <c r="F3876" s="3">
        <v>10665.3</v>
      </c>
      <c r="G3876" s="3">
        <v>0</v>
      </c>
      <c r="H3876" s="3">
        <v>10665.3</v>
      </c>
      <c r="I3876" t="s">
        <v>925</v>
      </c>
    </row>
    <row r="3877" spans="1:9" x14ac:dyDescent="0.35">
      <c r="A3877" s="2">
        <v>45641</v>
      </c>
      <c r="B3877">
        <v>97</v>
      </c>
      <c r="C3877">
        <v>4112003</v>
      </c>
      <c r="D3877" t="s">
        <v>58</v>
      </c>
      <c r="E3877" t="s">
        <v>59</v>
      </c>
      <c r="F3877" s="3">
        <v>0</v>
      </c>
      <c r="G3877" s="3">
        <v>8431.2800000000007</v>
      </c>
      <c r="H3877" s="3">
        <v>-8431.2800000000007</v>
      </c>
      <c r="I3877" t="s">
        <v>925</v>
      </c>
    </row>
    <row r="3878" spans="1:9" x14ac:dyDescent="0.35">
      <c r="A3878" s="2">
        <v>45641</v>
      </c>
      <c r="B3878">
        <v>97</v>
      </c>
      <c r="C3878">
        <v>2121001</v>
      </c>
      <c r="D3878" t="s">
        <v>27</v>
      </c>
      <c r="E3878" t="s">
        <v>59</v>
      </c>
      <c r="F3878" s="3">
        <v>0</v>
      </c>
      <c r="G3878" s="3">
        <v>1349</v>
      </c>
      <c r="H3878" s="3">
        <v>-1349</v>
      </c>
      <c r="I3878" t="s">
        <v>925</v>
      </c>
    </row>
    <row r="3879" spans="1:9" x14ac:dyDescent="0.35">
      <c r="A3879" s="2">
        <v>45641</v>
      </c>
      <c r="B3879">
        <v>97</v>
      </c>
      <c r="C3879">
        <v>1111001</v>
      </c>
      <c r="D3879" t="s">
        <v>16</v>
      </c>
      <c r="E3879" t="s">
        <v>59</v>
      </c>
      <c r="F3879" s="3">
        <v>9780.2800000000007</v>
      </c>
      <c r="G3879" s="3">
        <v>0</v>
      </c>
      <c r="H3879" s="3">
        <v>9780.2800000000007</v>
      </c>
      <c r="I3879" t="s">
        <v>925</v>
      </c>
    </row>
    <row r="3880" spans="1:9" x14ac:dyDescent="0.35">
      <c r="A3880" s="2">
        <v>45641</v>
      </c>
      <c r="B3880">
        <v>97</v>
      </c>
      <c r="C3880">
        <v>4112003</v>
      </c>
      <c r="D3880" t="s">
        <v>58</v>
      </c>
      <c r="E3880" t="s">
        <v>59</v>
      </c>
      <c r="F3880" s="3">
        <v>0</v>
      </c>
      <c r="G3880" s="3">
        <v>8017.55</v>
      </c>
      <c r="H3880" s="3">
        <v>-8017.55</v>
      </c>
      <c r="I3880" t="s">
        <v>925</v>
      </c>
    </row>
    <row r="3881" spans="1:9" x14ac:dyDescent="0.35">
      <c r="A3881" s="2">
        <v>45641</v>
      </c>
      <c r="B3881">
        <v>97</v>
      </c>
      <c r="C3881">
        <v>2121001</v>
      </c>
      <c r="D3881" t="s">
        <v>27</v>
      </c>
      <c r="E3881" t="s">
        <v>59</v>
      </c>
      <c r="F3881" s="3">
        <v>0</v>
      </c>
      <c r="G3881" s="3">
        <v>1282.81</v>
      </c>
      <c r="H3881" s="3">
        <v>-1282.81</v>
      </c>
      <c r="I3881" t="s">
        <v>925</v>
      </c>
    </row>
    <row r="3882" spans="1:9" x14ac:dyDescent="0.35">
      <c r="A3882" s="2">
        <v>45641</v>
      </c>
      <c r="B3882">
        <v>97</v>
      </c>
      <c r="C3882">
        <v>1111001</v>
      </c>
      <c r="D3882" t="s">
        <v>16</v>
      </c>
      <c r="E3882" t="s">
        <v>59</v>
      </c>
      <c r="F3882" s="3">
        <v>9300.36</v>
      </c>
      <c r="G3882" s="3">
        <v>0</v>
      </c>
      <c r="H3882" s="3">
        <v>9300.36</v>
      </c>
      <c r="I3882" t="s">
        <v>925</v>
      </c>
    </row>
    <row r="3883" spans="1:9" x14ac:dyDescent="0.35">
      <c r="A3883" s="2">
        <v>45641</v>
      </c>
      <c r="B3883">
        <v>97</v>
      </c>
      <c r="C3883">
        <v>4112003</v>
      </c>
      <c r="D3883" t="s">
        <v>58</v>
      </c>
      <c r="E3883" t="s">
        <v>59</v>
      </c>
      <c r="F3883" s="3">
        <v>0</v>
      </c>
      <c r="G3883" s="3">
        <v>5431.41</v>
      </c>
      <c r="H3883" s="3">
        <v>-5431.41</v>
      </c>
      <c r="I3883" t="s">
        <v>925</v>
      </c>
    </row>
    <row r="3884" spans="1:9" x14ac:dyDescent="0.35">
      <c r="A3884" s="2">
        <v>45641</v>
      </c>
      <c r="B3884">
        <v>97</v>
      </c>
      <c r="C3884">
        <v>2121001</v>
      </c>
      <c r="D3884" t="s">
        <v>27</v>
      </c>
      <c r="E3884" t="s">
        <v>59</v>
      </c>
      <c r="F3884" s="3">
        <v>0</v>
      </c>
      <c r="G3884" s="3">
        <v>869.03</v>
      </c>
      <c r="H3884" s="3">
        <v>-869.03</v>
      </c>
      <c r="I3884" t="s">
        <v>925</v>
      </c>
    </row>
    <row r="3885" spans="1:9" x14ac:dyDescent="0.35">
      <c r="A3885" s="2">
        <v>45641</v>
      </c>
      <c r="B3885">
        <v>97</v>
      </c>
      <c r="C3885">
        <v>1111001</v>
      </c>
      <c r="D3885" t="s">
        <v>16</v>
      </c>
      <c r="E3885" t="s">
        <v>59</v>
      </c>
      <c r="F3885" s="3">
        <v>6300.44</v>
      </c>
      <c r="G3885" s="3">
        <v>0</v>
      </c>
      <c r="H3885" s="3">
        <v>6300.44</v>
      </c>
      <c r="I3885" t="s">
        <v>925</v>
      </c>
    </row>
    <row r="3886" spans="1:9" x14ac:dyDescent="0.35">
      <c r="A3886" s="2">
        <v>45641</v>
      </c>
      <c r="B3886">
        <v>97</v>
      </c>
      <c r="C3886">
        <v>4112003</v>
      </c>
      <c r="D3886" t="s">
        <v>58</v>
      </c>
      <c r="E3886" t="s">
        <v>59</v>
      </c>
      <c r="F3886" s="3">
        <v>0</v>
      </c>
      <c r="G3886" s="3">
        <v>3362.14</v>
      </c>
      <c r="H3886" s="3">
        <v>-3362.14</v>
      </c>
      <c r="I3886" t="s">
        <v>925</v>
      </c>
    </row>
    <row r="3887" spans="1:9" x14ac:dyDescent="0.35">
      <c r="A3887" s="2">
        <v>45641</v>
      </c>
      <c r="B3887">
        <v>97</v>
      </c>
      <c r="C3887">
        <v>2121001</v>
      </c>
      <c r="D3887" t="s">
        <v>27</v>
      </c>
      <c r="E3887" t="s">
        <v>59</v>
      </c>
      <c r="F3887" s="3">
        <v>0</v>
      </c>
      <c r="G3887" s="3">
        <v>537.94000000000005</v>
      </c>
      <c r="H3887" s="3">
        <v>-537.94000000000005</v>
      </c>
      <c r="I3887" t="s">
        <v>925</v>
      </c>
    </row>
    <row r="3888" spans="1:9" x14ac:dyDescent="0.35">
      <c r="A3888" s="2">
        <v>45641</v>
      </c>
      <c r="B3888">
        <v>97</v>
      </c>
      <c r="C3888">
        <v>1111001</v>
      </c>
      <c r="D3888" t="s">
        <v>16</v>
      </c>
      <c r="E3888" t="s">
        <v>59</v>
      </c>
      <c r="F3888" s="3">
        <v>3900.08</v>
      </c>
      <c r="G3888" s="3">
        <v>0</v>
      </c>
      <c r="H3888" s="3">
        <v>3900.08</v>
      </c>
      <c r="I3888" t="s">
        <v>925</v>
      </c>
    </row>
    <row r="3889" spans="1:9" x14ac:dyDescent="0.35">
      <c r="A3889" s="2">
        <v>45641</v>
      </c>
      <c r="B3889">
        <v>97</v>
      </c>
      <c r="C3889">
        <v>4112003</v>
      </c>
      <c r="D3889" t="s">
        <v>58</v>
      </c>
      <c r="E3889" t="s">
        <v>59</v>
      </c>
      <c r="F3889" s="3">
        <v>0</v>
      </c>
      <c r="G3889" s="3">
        <v>5301.92</v>
      </c>
      <c r="H3889" s="3">
        <v>-5301.92</v>
      </c>
      <c r="I3889" t="s">
        <v>925</v>
      </c>
    </row>
    <row r="3890" spans="1:9" x14ac:dyDescent="0.35">
      <c r="A3890" s="2">
        <v>45641</v>
      </c>
      <c r="B3890">
        <v>97</v>
      </c>
      <c r="C3890">
        <v>2121001</v>
      </c>
      <c r="D3890" t="s">
        <v>27</v>
      </c>
      <c r="E3890" t="s">
        <v>59</v>
      </c>
      <c r="F3890" s="3">
        <v>0</v>
      </c>
      <c r="G3890" s="3">
        <v>848.31</v>
      </c>
      <c r="H3890" s="3">
        <v>-848.31</v>
      </c>
      <c r="I3890" t="s">
        <v>925</v>
      </c>
    </row>
    <row r="3891" spans="1:9" x14ac:dyDescent="0.35">
      <c r="A3891" s="2">
        <v>45641</v>
      </c>
      <c r="B3891">
        <v>97</v>
      </c>
      <c r="C3891">
        <v>1111001</v>
      </c>
      <c r="D3891" t="s">
        <v>16</v>
      </c>
      <c r="E3891" t="s">
        <v>59</v>
      </c>
      <c r="F3891" s="3">
        <v>6150.23</v>
      </c>
      <c r="G3891" s="3">
        <v>0</v>
      </c>
      <c r="H3891" s="3">
        <v>6150.23</v>
      </c>
      <c r="I3891" t="s">
        <v>925</v>
      </c>
    </row>
    <row r="3892" spans="1:9" x14ac:dyDescent="0.35">
      <c r="A3892" s="2">
        <v>45641</v>
      </c>
      <c r="B3892">
        <v>97</v>
      </c>
      <c r="C3892">
        <v>4112003</v>
      </c>
      <c r="D3892" t="s">
        <v>58</v>
      </c>
      <c r="E3892" t="s">
        <v>59</v>
      </c>
      <c r="F3892" s="3">
        <v>0</v>
      </c>
      <c r="G3892" s="3">
        <v>6465.78</v>
      </c>
      <c r="H3892" s="3">
        <v>-6465.78</v>
      </c>
      <c r="I3892" t="s">
        <v>925</v>
      </c>
    </row>
    <row r="3893" spans="1:9" x14ac:dyDescent="0.35">
      <c r="A3893" s="2">
        <v>45641</v>
      </c>
      <c r="B3893">
        <v>97</v>
      </c>
      <c r="C3893">
        <v>2121001</v>
      </c>
      <c r="D3893" t="s">
        <v>27</v>
      </c>
      <c r="E3893" t="s">
        <v>59</v>
      </c>
      <c r="F3893" s="3">
        <v>0</v>
      </c>
      <c r="G3893" s="3">
        <v>1034.52</v>
      </c>
      <c r="H3893" s="3">
        <v>-1034.52</v>
      </c>
      <c r="I3893" t="s">
        <v>925</v>
      </c>
    </row>
    <row r="3894" spans="1:9" x14ac:dyDescent="0.35">
      <c r="A3894" s="2">
        <v>45641</v>
      </c>
      <c r="B3894">
        <v>97</v>
      </c>
      <c r="C3894">
        <v>1111001</v>
      </c>
      <c r="D3894" t="s">
        <v>16</v>
      </c>
      <c r="E3894" t="s">
        <v>59</v>
      </c>
      <c r="F3894" s="3">
        <v>7500.3</v>
      </c>
      <c r="G3894" s="3">
        <v>0</v>
      </c>
      <c r="H3894" s="3">
        <v>7500.3</v>
      </c>
      <c r="I3894" t="s">
        <v>925</v>
      </c>
    </row>
    <row r="3895" spans="1:9" x14ac:dyDescent="0.35">
      <c r="A3895" s="2">
        <v>45641</v>
      </c>
      <c r="B3895">
        <v>97</v>
      </c>
      <c r="C3895">
        <v>4112003</v>
      </c>
      <c r="D3895" t="s">
        <v>58</v>
      </c>
      <c r="E3895" t="s">
        <v>59</v>
      </c>
      <c r="F3895" s="3">
        <v>0</v>
      </c>
      <c r="G3895" s="3">
        <v>12491.81</v>
      </c>
      <c r="H3895" s="3">
        <v>-12491.81</v>
      </c>
      <c r="I3895" t="s">
        <v>925</v>
      </c>
    </row>
    <row r="3896" spans="1:9" x14ac:dyDescent="0.35">
      <c r="A3896" s="2">
        <v>45641</v>
      </c>
      <c r="B3896">
        <v>97</v>
      </c>
      <c r="C3896">
        <v>2121001</v>
      </c>
      <c r="D3896" t="s">
        <v>27</v>
      </c>
      <c r="E3896" t="s">
        <v>59</v>
      </c>
      <c r="F3896" s="3">
        <v>0</v>
      </c>
      <c r="G3896" s="3">
        <v>1998.69</v>
      </c>
      <c r="H3896" s="3">
        <v>-1998.69</v>
      </c>
      <c r="I3896" t="s">
        <v>925</v>
      </c>
    </row>
    <row r="3897" spans="1:9" x14ac:dyDescent="0.35">
      <c r="A3897" s="2">
        <v>45641</v>
      </c>
      <c r="B3897">
        <v>97</v>
      </c>
      <c r="C3897">
        <v>1111001</v>
      </c>
      <c r="D3897" t="s">
        <v>16</v>
      </c>
      <c r="E3897" t="s">
        <v>59</v>
      </c>
      <c r="F3897" s="3">
        <v>14490.5</v>
      </c>
      <c r="G3897" s="3">
        <v>0</v>
      </c>
      <c r="H3897" s="3">
        <v>14490.5</v>
      </c>
      <c r="I3897" t="s">
        <v>925</v>
      </c>
    </row>
    <row r="3898" spans="1:9" x14ac:dyDescent="0.35">
      <c r="A3898" s="2">
        <v>45641</v>
      </c>
      <c r="B3898">
        <v>97</v>
      </c>
      <c r="C3898">
        <v>4112003</v>
      </c>
      <c r="D3898" t="s">
        <v>58</v>
      </c>
      <c r="E3898" t="s">
        <v>59</v>
      </c>
      <c r="F3898" s="3">
        <v>0</v>
      </c>
      <c r="G3898" s="3">
        <v>13241.6</v>
      </c>
      <c r="H3898" s="3">
        <v>-13241.6</v>
      </c>
      <c r="I3898" t="s">
        <v>925</v>
      </c>
    </row>
    <row r="3899" spans="1:9" x14ac:dyDescent="0.35">
      <c r="A3899" s="2">
        <v>45641</v>
      </c>
      <c r="B3899">
        <v>97</v>
      </c>
      <c r="C3899">
        <v>2121001</v>
      </c>
      <c r="D3899" t="s">
        <v>27</v>
      </c>
      <c r="E3899" t="s">
        <v>59</v>
      </c>
      <c r="F3899" s="3">
        <v>0</v>
      </c>
      <c r="G3899" s="3">
        <v>2118.66</v>
      </c>
      <c r="H3899" s="3">
        <v>-2118.66</v>
      </c>
      <c r="I3899" t="s">
        <v>925</v>
      </c>
    </row>
    <row r="3900" spans="1:9" x14ac:dyDescent="0.35">
      <c r="A3900" s="2">
        <v>45641</v>
      </c>
      <c r="B3900">
        <v>97</v>
      </c>
      <c r="C3900">
        <v>1111001</v>
      </c>
      <c r="D3900" t="s">
        <v>16</v>
      </c>
      <c r="E3900" t="s">
        <v>59</v>
      </c>
      <c r="F3900" s="3">
        <v>15360.26</v>
      </c>
      <c r="G3900" s="3">
        <v>0</v>
      </c>
      <c r="H3900" s="3">
        <v>15360.26</v>
      </c>
      <c r="I3900" t="s">
        <v>925</v>
      </c>
    </row>
    <row r="3901" spans="1:9" x14ac:dyDescent="0.35">
      <c r="A3901" s="2">
        <v>45641</v>
      </c>
      <c r="B3901">
        <v>97</v>
      </c>
      <c r="C3901">
        <v>4112003</v>
      </c>
      <c r="D3901" t="s">
        <v>58</v>
      </c>
      <c r="E3901" t="s">
        <v>59</v>
      </c>
      <c r="F3901" s="3">
        <v>0</v>
      </c>
      <c r="G3901" s="3">
        <v>9741.65</v>
      </c>
      <c r="H3901" s="3">
        <v>-9741.65</v>
      </c>
      <c r="I3901" t="s">
        <v>925</v>
      </c>
    </row>
    <row r="3902" spans="1:9" x14ac:dyDescent="0.35">
      <c r="A3902" s="2">
        <v>45641</v>
      </c>
      <c r="B3902">
        <v>97</v>
      </c>
      <c r="C3902">
        <v>2121001</v>
      </c>
      <c r="D3902" t="s">
        <v>27</v>
      </c>
      <c r="E3902" t="s">
        <v>59</v>
      </c>
      <c r="F3902" s="3">
        <v>0</v>
      </c>
      <c r="G3902" s="3">
        <v>1558.66</v>
      </c>
      <c r="H3902" s="3">
        <v>-1558.66</v>
      </c>
      <c r="I3902" t="s">
        <v>925</v>
      </c>
    </row>
    <row r="3903" spans="1:9" x14ac:dyDescent="0.35">
      <c r="A3903" s="2">
        <v>45641</v>
      </c>
      <c r="B3903">
        <v>97</v>
      </c>
      <c r="C3903">
        <v>1111001</v>
      </c>
      <c r="D3903" t="s">
        <v>16</v>
      </c>
      <c r="E3903" t="s">
        <v>59</v>
      </c>
      <c r="F3903" s="3">
        <v>11300.31</v>
      </c>
      <c r="G3903" s="3">
        <v>0</v>
      </c>
      <c r="H3903" s="3">
        <v>11300.31</v>
      </c>
      <c r="I3903" t="s">
        <v>925</v>
      </c>
    </row>
    <row r="3904" spans="1:9" x14ac:dyDescent="0.35">
      <c r="A3904" s="2">
        <v>45641</v>
      </c>
      <c r="B3904">
        <v>97</v>
      </c>
      <c r="C3904">
        <v>4112003</v>
      </c>
      <c r="D3904" t="s">
        <v>58</v>
      </c>
      <c r="E3904" t="s">
        <v>59</v>
      </c>
      <c r="F3904" s="3">
        <v>0</v>
      </c>
      <c r="G3904" s="3">
        <v>8112.3</v>
      </c>
      <c r="H3904" s="3">
        <v>-8112.3</v>
      </c>
      <c r="I3904" t="s">
        <v>925</v>
      </c>
    </row>
    <row r="3905" spans="1:9" x14ac:dyDescent="0.35">
      <c r="A3905" s="2">
        <v>45641</v>
      </c>
      <c r="B3905">
        <v>97</v>
      </c>
      <c r="C3905">
        <v>2121001</v>
      </c>
      <c r="D3905" t="s">
        <v>27</v>
      </c>
      <c r="E3905" t="s">
        <v>59</v>
      </c>
      <c r="F3905" s="3">
        <v>0</v>
      </c>
      <c r="G3905" s="3">
        <v>1297.97</v>
      </c>
      <c r="H3905" s="3">
        <v>-1297.97</v>
      </c>
      <c r="I3905" t="s">
        <v>925</v>
      </c>
    </row>
    <row r="3906" spans="1:9" x14ac:dyDescent="0.35">
      <c r="A3906" s="2">
        <v>45641</v>
      </c>
      <c r="B3906">
        <v>97</v>
      </c>
      <c r="C3906">
        <v>1111001</v>
      </c>
      <c r="D3906" t="s">
        <v>16</v>
      </c>
      <c r="E3906" t="s">
        <v>59</v>
      </c>
      <c r="F3906" s="3">
        <v>9410.27</v>
      </c>
      <c r="G3906" s="3">
        <v>0</v>
      </c>
      <c r="H3906" s="3">
        <v>9410.27</v>
      </c>
      <c r="I3906" t="s">
        <v>925</v>
      </c>
    </row>
    <row r="3907" spans="1:9" x14ac:dyDescent="0.35">
      <c r="A3907" s="2">
        <v>45641</v>
      </c>
      <c r="B3907">
        <v>97</v>
      </c>
      <c r="C3907">
        <v>4112003</v>
      </c>
      <c r="D3907" t="s">
        <v>58</v>
      </c>
      <c r="E3907" t="s">
        <v>59</v>
      </c>
      <c r="F3907" s="3">
        <v>0</v>
      </c>
      <c r="G3907" s="3">
        <v>4138.09</v>
      </c>
      <c r="H3907" s="3">
        <v>-4138.09</v>
      </c>
      <c r="I3907" t="s">
        <v>925</v>
      </c>
    </row>
    <row r="3908" spans="1:9" x14ac:dyDescent="0.35">
      <c r="A3908" s="2">
        <v>45641</v>
      </c>
      <c r="B3908">
        <v>97</v>
      </c>
      <c r="C3908">
        <v>2121001</v>
      </c>
      <c r="D3908" t="s">
        <v>27</v>
      </c>
      <c r="E3908" t="s">
        <v>59</v>
      </c>
      <c r="F3908" s="3">
        <v>0</v>
      </c>
      <c r="G3908" s="3">
        <v>662.09</v>
      </c>
      <c r="H3908" s="3">
        <v>-662.09</v>
      </c>
      <c r="I3908" t="s">
        <v>925</v>
      </c>
    </row>
    <row r="3909" spans="1:9" x14ac:dyDescent="0.35">
      <c r="A3909" s="2">
        <v>45641</v>
      </c>
      <c r="B3909">
        <v>97</v>
      </c>
      <c r="C3909">
        <v>1111001</v>
      </c>
      <c r="D3909" t="s">
        <v>16</v>
      </c>
      <c r="E3909" t="s">
        <v>59</v>
      </c>
      <c r="F3909" s="3">
        <v>4800.18</v>
      </c>
      <c r="G3909" s="3">
        <v>0</v>
      </c>
      <c r="H3909" s="3">
        <v>4800.18</v>
      </c>
      <c r="I3909" t="s">
        <v>925</v>
      </c>
    </row>
    <row r="3910" spans="1:9" x14ac:dyDescent="0.35">
      <c r="A3910" s="2">
        <v>45641</v>
      </c>
      <c r="B3910">
        <v>97</v>
      </c>
      <c r="C3910">
        <v>4112004</v>
      </c>
      <c r="D3910" t="s">
        <v>74</v>
      </c>
      <c r="E3910" t="s">
        <v>740</v>
      </c>
      <c r="F3910" s="3">
        <v>0</v>
      </c>
      <c r="G3910" s="3">
        <v>7040.25</v>
      </c>
      <c r="H3910" s="3">
        <v>-7040.25</v>
      </c>
      <c r="I3910" t="s">
        <v>1306</v>
      </c>
    </row>
    <row r="3911" spans="1:9" x14ac:dyDescent="0.35">
      <c r="A3911" s="2">
        <v>45641</v>
      </c>
      <c r="B3911">
        <v>97</v>
      </c>
      <c r="C3911">
        <v>2121001</v>
      </c>
      <c r="D3911" t="s">
        <v>27</v>
      </c>
      <c r="E3911" t="s">
        <v>740</v>
      </c>
      <c r="F3911" s="3">
        <v>0</v>
      </c>
      <c r="G3911" s="3">
        <v>1126.44</v>
      </c>
      <c r="H3911" s="3">
        <v>-1126.44</v>
      </c>
      <c r="I3911" t="s">
        <v>1306</v>
      </c>
    </row>
    <row r="3912" spans="1:9" x14ac:dyDescent="0.35">
      <c r="A3912" s="2">
        <v>45641</v>
      </c>
      <c r="B3912">
        <v>97</v>
      </c>
      <c r="C3912">
        <v>1111001</v>
      </c>
      <c r="D3912" t="s">
        <v>16</v>
      </c>
      <c r="E3912" t="s">
        <v>740</v>
      </c>
      <c r="F3912" s="3">
        <v>245</v>
      </c>
      <c r="G3912" s="3">
        <v>0</v>
      </c>
      <c r="H3912" s="3">
        <v>245</v>
      </c>
      <c r="I3912" t="s">
        <v>1306</v>
      </c>
    </row>
    <row r="3913" spans="1:9" x14ac:dyDescent="0.35">
      <c r="A3913" s="2">
        <v>45641</v>
      </c>
      <c r="B3913">
        <v>97</v>
      </c>
      <c r="C3913">
        <v>2124007</v>
      </c>
      <c r="D3913" t="s">
        <v>30</v>
      </c>
      <c r="E3913" t="s">
        <v>740</v>
      </c>
      <c r="F3913" s="3">
        <v>0</v>
      </c>
      <c r="G3913" s="3">
        <v>245</v>
      </c>
      <c r="H3913" s="3">
        <v>-245</v>
      </c>
      <c r="I3913" t="s">
        <v>1306</v>
      </c>
    </row>
    <row r="3914" spans="1:9" x14ac:dyDescent="0.35">
      <c r="A3914" s="2">
        <v>45641</v>
      </c>
      <c r="B3914">
        <v>97</v>
      </c>
      <c r="C3914">
        <v>1111001</v>
      </c>
      <c r="D3914" t="s">
        <v>16</v>
      </c>
      <c r="E3914" t="s">
        <v>740</v>
      </c>
      <c r="F3914" s="3">
        <v>8166.69</v>
      </c>
      <c r="G3914" s="3">
        <v>0</v>
      </c>
      <c r="H3914" s="3">
        <v>8166.69</v>
      </c>
      <c r="I3914" t="s">
        <v>1306</v>
      </c>
    </row>
    <row r="3915" spans="1:9" x14ac:dyDescent="0.35">
      <c r="A3915" s="2">
        <v>45641</v>
      </c>
      <c r="B3915">
        <v>97</v>
      </c>
      <c r="C3915">
        <v>4112004</v>
      </c>
      <c r="D3915" t="s">
        <v>74</v>
      </c>
      <c r="E3915" t="s">
        <v>79</v>
      </c>
      <c r="F3915" s="3">
        <v>0</v>
      </c>
      <c r="G3915" s="3">
        <v>3122.85</v>
      </c>
      <c r="H3915" s="3">
        <v>-3122.85</v>
      </c>
      <c r="I3915" t="s">
        <v>1307</v>
      </c>
    </row>
    <row r="3916" spans="1:9" x14ac:dyDescent="0.35">
      <c r="A3916" s="2">
        <v>45641</v>
      </c>
      <c r="B3916">
        <v>97</v>
      </c>
      <c r="C3916">
        <v>2121001</v>
      </c>
      <c r="D3916" t="s">
        <v>27</v>
      </c>
      <c r="E3916" t="s">
        <v>79</v>
      </c>
      <c r="F3916" s="3">
        <v>0</v>
      </c>
      <c r="G3916" s="3">
        <v>499.66</v>
      </c>
      <c r="H3916" s="3">
        <v>-499.66</v>
      </c>
      <c r="I3916" t="s">
        <v>1307</v>
      </c>
    </row>
    <row r="3917" spans="1:9" x14ac:dyDescent="0.35">
      <c r="A3917" s="2">
        <v>45641</v>
      </c>
      <c r="B3917">
        <v>97</v>
      </c>
      <c r="C3917">
        <v>1111001</v>
      </c>
      <c r="D3917" t="s">
        <v>16</v>
      </c>
      <c r="E3917" t="s">
        <v>79</v>
      </c>
      <c r="F3917" s="3">
        <v>3622.51</v>
      </c>
      <c r="G3917" s="3">
        <v>0</v>
      </c>
      <c r="H3917" s="3">
        <v>3622.51</v>
      </c>
      <c r="I3917" t="s">
        <v>1307</v>
      </c>
    </row>
    <row r="3918" spans="1:9" x14ac:dyDescent="0.35">
      <c r="A3918" s="2">
        <v>45641</v>
      </c>
      <c r="B3918">
        <v>97</v>
      </c>
      <c r="C3918">
        <v>2121001</v>
      </c>
      <c r="D3918" t="s">
        <v>27</v>
      </c>
      <c r="E3918" t="s">
        <v>685</v>
      </c>
      <c r="F3918" s="3">
        <v>20213.68</v>
      </c>
      <c r="G3918" s="3">
        <v>0</v>
      </c>
      <c r="H3918" s="3">
        <v>20213.68</v>
      </c>
      <c r="I3918" t="s">
        <v>544</v>
      </c>
    </row>
    <row r="3919" spans="1:9" x14ac:dyDescent="0.35">
      <c r="A3919" s="2">
        <v>45641</v>
      </c>
      <c r="B3919">
        <v>97</v>
      </c>
      <c r="C3919">
        <v>1141001</v>
      </c>
      <c r="D3919" t="s">
        <v>153</v>
      </c>
      <c r="E3919" t="s">
        <v>685</v>
      </c>
      <c r="F3919" s="3">
        <v>0</v>
      </c>
      <c r="G3919" s="3">
        <v>1371.75</v>
      </c>
      <c r="H3919" s="3">
        <v>-1371.75</v>
      </c>
      <c r="I3919" t="s">
        <v>544</v>
      </c>
    </row>
    <row r="3920" spans="1:9" x14ac:dyDescent="0.35">
      <c r="A3920" s="2">
        <v>45641</v>
      </c>
      <c r="B3920">
        <v>97</v>
      </c>
      <c r="C3920">
        <v>2121003</v>
      </c>
      <c r="D3920" t="s">
        <v>28</v>
      </c>
      <c r="E3920" t="s">
        <v>685</v>
      </c>
      <c r="F3920" s="3">
        <v>0</v>
      </c>
      <c r="G3920" s="3">
        <v>18841.93</v>
      </c>
      <c r="H3920" s="3">
        <v>-18841.93</v>
      </c>
      <c r="I3920" t="s">
        <v>544</v>
      </c>
    </row>
    <row r="3921" spans="1:9" x14ac:dyDescent="0.35">
      <c r="A3921" s="2">
        <v>45641</v>
      </c>
      <c r="B3921">
        <v>97</v>
      </c>
      <c r="C3921">
        <v>1142004</v>
      </c>
      <c r="D3921" t="s">
        <v>83</v>
      </c>
      <c r="E3921" t="s">
        <v>502</v>
      </c>
      <c r="F3921" s="3">
        <v>1263.3599999999999</v>
      </c>
      <c r="G3921" s="3">
        <v>0</v>
      </c>
      <c r="H3921" s="3">
        <v>1263.3599999999999</v>
      </c>
      <c r="I3921" t="s">
        <v>503</v>
      </c>
    </row>
    <row r="3922" spans="1:9" x14ac:dyDescent="0.35">
      <c r="A3922" s="2">
        <v>45641</v>
      </c>
      <c r="B3922">
        <v>97</v>
      </c>
      <c r="C3922">
        <v>2124004</v>
      </c>
      <c r="D3922" t="s">
        <v>29</v>
      </c>
      <c r="E3922" t="s">
        <v>502</v>
      </c>
      <c r="F3922" s="3">
        <v>0</v>
      </c>
      <c r="G3922" s="3">
        <v>1263.3599999999999</v>
      </c>
      <c r="H3922" s="3">
        <v>-1263.3599999999999</v>
      </c>
      <c r="I3922" t="s">
        <v>503</v>
      </c>
    </row>
    <row r="3923" spans="1:9" x14ac:dyDescent="0.35">
      <c r="A3923" s="2">
        <v>45641</v>
      </c>
      <c r="B3923">
        <v>97</v>
      </c>
      <c r="C3923">
        <v>5131001</v>
      </c>
      <c r="D3923" t="s">
        <v>86</v>
      </c>
      <c r="E3923" t="s">
        <v>1308</v>
      </c>
      <c r="F3923" s="3">
        <v>390</v>
      </c>
      <c r="G3923" s="3">
        <v>0</v>
      </c>
      <c r="H3923" s="3">
        <v>390</v>
      </c>
      <c r="I3923" t="s">
        <v>574</v>
      </c>
    </row>
    <row r="3924" spans="1:9" x14ac:dyDescent="0.35">
      <c r="A3924" s="2">
        <v>45641</v>
      </c>
      <c r="B3924">
        <v>97</v>
      </c>
      <c r="C3924">
        <v>5131005</v>
      </c>
      <c r="D3924" t="s">
        <v>205</v>
      </c>
      <c r="E3924" t="s">
        <v>1308</v>
      </c>
      <c r="F3924" s="3">
        <v>5936.4</v>
      </c>
      <c r="G3924" s="3">
        <v>0</v>
      </c>
      <c r="H3924" s="3">
        <v>5936.4</v>
      </c>
      <c r="I3924" t="s">
        <v>574</v>
      </c>
    </row>
    <row r="3925" spans="1:9" x14ac:dyDescent="0.35">
      <c r="A3925" s="2">
        <v>45641</v>
      </c>
      <c r="B3925">
        <v>97</v>
      </c>
      <c r="C3925">
        <v>5131008</v>
      </c>
      <c r="D3925" t="s">
        <v>89</v>
      </c>
      <c r="E3925" t="s">
        <v>1308</v>
      </c>
      <c r="F3925" s="3">
        <v>81.900000000000006</v>
      </c>
      <c r="G3925" s="3">
        <v>0</v>
      </c>
      <c r="H3925" s="3">
        <v>81.900000000000006</v>
      </c>
      <c r="I3925" t="s">
        <v>574</v>
      </c>
    </row>
    <row r="3926" spans="1:9" x14ac:dyDescent="0.35">
      <c r="A3926" s="2">
        <v>45641</v>
      </c>
      <c r="B3926">
        <v>97</v>
      </c>
      <c r="C3926">
        <v>5131009</v>
      </c>
      <c r="D3926" t="s">
        <v>90</v>
      </c>
      <c r="E3926" t="s">
        <v>1308</v>
      </c>
      <c r="F3926" s="3">
        <v>16.25</v>
      </c>
      <c r="G3926" s="3">
        <v>0</v>
      </c>
      <c r="H3926" s="3">
        <v>16.25</v>
      </c>
      <c r="I3926" t="s">
        <v>574</v>
      </c>
    </row>
    <row r="3927" spans="1:9" x14ac:dyDescent="0.35">
      <c r="A3927" s="2">
        <v>45641</v>
      </c>
      <c r="B3927">
        <v>97</v>
      </c>
      <c r="C3927">
        <v>5131010</v>
      </c>
      <c r="D3927" t="s">
        <v>91</v>
      </c>
      <c r="E3927" t="s">
        <v>1308</v>
      </c>
      <c r="F3927" s="3">
        <v>32.5</v>
      </c>
      <c r="G3927" s="3">
        <v>0</v>
      </c>
      <c r="H3927" s="3">
        <v>32.5</v>
      </c>
      <c r="I3927" t="s">
        <v>574</v>
      </c>
    </row>
    <row r="3928" spans="1:9" x14ac:dyDescent="0.35">
      <c r="A3928" s="2">
        <v>45641</v>
      </c>
      <c r="B3928">
        <v>97</v>
      </c>
      <c r="C3928">
        <v>5131012</v>
      </c>
      <c r="D3928" t="s">
        <v>206</v>
      </c>
      <c r="E3928" t="s">
        <v>1308</v>
      </c>
      <c r="F3928" s="3">
        <v>42.9</v>
      </c>
      <c r="G3928" s="3">
        <v>0</v>
      </c>
      <c r="H3928" s="3">
        <v>42.9</v>
      </c>
      <c r="I3928" t="s">
        <v>574</v>
      </c>
    </row>
    <row r="3929" spans="1:9" x14ac:dyDescent="0.35">
      <c r="A3929" s="2">
        <v>45641</v>
      </c>
      <c r="B3929">
        <v>97</v>
      </c>
      <c r="C3929">
        <v>5131013</v>
      </c>
      <c r="D3929" t="s">
        <v>92</v>
      </c>
      <c r="E3929" t="s">
        <v>1308</v>
      </c>
      <c r="F3929" s="3">
        <v>7.8</v>
      </c>
      <c r="G3929" s="3">
        <v>0</v>
      </c>
      <c r="H3929" s="3">
        <v>7.8</v>
      </c>
      <c r="I3929" t="s">
        <v>574</v>
      </c>
    </row>
    <row r="3930" spans="1:9" x14ac:dyDescent="0.35">
      <c r="A3930" s="2">
        <v>45641</v>
      </c>
      <c r="B3930">
        <v>97</v>
      </c>
      <c r="C3930">
        <v>5131014</v>
      </c>
      <c r="D3930" t="s">
        <v>207</v>
      </c>
      <c r="E3930" t="s">
        <v>1308</v>
      </c>
      <c r="F3930" s="3">
        <v>7.8</v>
      </c>
      <c r="G3930" s="3">
        <v>0</v>
      </c>
      <c r="H3930" s="3">
        <v>7.8</v>
      </c>
      <c r="I3930" t="s">
        <v>574</v>
      </c>
    </row>
    <row r="3931" spans="1:9" x14ac:dyDescent="0.35">
      <c r="A3931" s="2">
        <v>45641</v>
      </c>
      <c r="B3931">
        <v>97</v>
      </c>
      <c r="C3931">
        <v>5131006</v>
      </c>
      <c r="D3931" t="s">
        <v>125</v>
      </c>
      <c r="E3931" t="s">
        <v>1308</v>
      </c>
      <c r="F3931" s="3">
        <v>31668.13</v>
      </c>
      <c r="G3931" s="3">
        <v>0</v>
      </c>
      <c r="H3931" s="3">
        <v>31668.13</v>
      </c>
      <c r="I3931" t="s">
        <v>574</v>
      </c>
    </row>
    <row r="3932" spans="1:9" x14ac:dyDescent="0.35">
      <c r="A3932" s="2">
        <v>45641</v>
      </c>
      <c r="B3932">
        <v>97</v>
      </c>
      <c r="C3932">
        <v>2131002</v>
      </c>
      <c r="D3932" t="s">
        <v>31</v>
      </c>
      <c r="E3932" t="s">
        <v>1308</v>
      </c>
      <c r="F3932" s="3">
        <v>0</v>
      </c>
      <c r="G3932" s="3">
        <v>15.6</v>
      </c>
      <c r="H3932" s="3">
        <v>-15.6</v>
      </c>
      <c r="I3932" t="s">
        <v>574</v>
      </c>
    </row>
    <row r="3933" spans="1:9" x14ac:dyDescent="0.35">
      <c r="A3933" s="2">
        <v>45641</v>
      </c>
      <c r="B3933">
        <v>97</v>
      </c>
      <c r="C3933">
        <v>2131003</v>
      </c>
      <c r="D3933" t="s">
        <v>32</v>
      </c>
      <c r="E3933" t="s">
        <v>1308</v>
      </c>
      <c r="F3933" s="3">
        <v>0</v>
      </c>
      <c r="G3933" s="3">
        <v>1.95</v>
      </c>
      <c r="H3933" s="3">
        <v>-1.95</v>
      </c>
      <c r="I3933" t="s">
        <v>574</v>
      </c>
    </row>
    <row r="3934" spans="1:9" x14ac:dyDescent="0.35">
      <c r="A3934" s="2">
        <v>45641</v>
      </c>
      <c r="B3934">
        <v>97</v>
      </c>
      <c r="C3934">
        <v>2131004</v>
      </c>
      <c r="D3934" t="s">
        <v>33</v>
      </c>
      <c r="E3934" t="s">
        <v>1308</v>
      </c>
      <c r="F3934" s="3">
        <v>0</v>
      </c>
      <c r="G3934" s="3">
        <v>3.9</v>
      </c>
      <c r="H3934" s="3">
        <v>-3.9</v>
      </c>
      <c r="I3934" t="s">
        <v>574</v>
      </c>
    </row>
    <row r="3935" spans="1:9" x14ac:dyDescent="0.35">
      <c r="A3935" s="2">
        <v>45641</v>
      </c>
      <c r="B3935">
        <v>97</v>
      </c>
      <c r="C3935">
        <v>2141001</v>
      </c>
      <c r="D3935" t="s">
        <v>35</v>
      </c>
      <c r="E3935" t="s">
        <v>1308</v>
      </c>
      <c r="F3935" s="3">
        <v>0</v>
      </c>
      <c r="G3935" s="3">
        <v>42.9</v>
      </c>
      <c r="H3935" s="3">
        <v>-42.9</v>
      </c>
      <c r="I3935" t="s">
        <v>574</v>
      </c>
    </row>
    <row r="3936" spans="1:9" x14ac:dyDescent="0.35">
      <c r="A3936" s="2">
        <v>45641</v>
      </c>
      <c r="B3936">
        <v>97</v>
      </c>
      <c r="C3936">
        <v>2141002</v>
      </c>
      <c r="D3936" t="s">
        <v>36</v>
      </c>
      <c r="E3936" t="s">
        <v>1308</v>
      </c>
      <c r="F3936" s="3">
        <v>0</v>
      </c>
      <c r="G3936" s="3">
        <v>7.8</v>
      </c>
      <c r="H3936" s="3">
        <v>-7.8</v>
      </c>
      <c r="I3936" t="s">
        <v>574</v>
      </c>
    </row>
    <row r="3937" spans="1:9" x14ac:dyDescent="0.35">
      <c r="A3937" s="2">
        <v>45641</v>
      </c>
      <c r="B3937">
        <v>97</v>
      </c>
      <c r="C3937">
        <v>2141003</v>
      </c>
      <c r="D3937" t="s">
        <v>37</v>
      </c>
      <c r="E3937" t="s">
        <v>1308</v>
      </c>
      <c r="F3937" s="3">
        <v>0</v>
      </c>
      <c r="G3937" s="3">
        <v>7.8</v>
      </c>
      <c r="H3937" s="3">
        <v>-7.8</v>
      </c>
      <c r="I3937" t="s">
        <v>574</v>
      </c>
    </row>
    <row r="3938" spans="1:9" x14ac:dyDescent="0.35">
      <c r="A3938" s="2">
        <v>45641</v>
      </c>
      <c r="B3938">
        <v>97</v>
      </c>
      <c r="C3938">
        <v>2161004</v>
      </c>
      <c r="D3938" t="s">
        <v>38</v>
      </c>
      <c r="E3938" t="s">
        <v>1308</v>
      </c>
      <c r="F3938" s="3">
        <v>0</v>
      </c>
      <c r="G3938" s="3">
        <v>16.25</v>
      </c>
      <c r="H3938" s="3">
        <v>-16.25</v>
      </c>
      <c r="I3938" t="s">
        <v>574</v>
      </c>
    </row>
    <row r="3939" spans="1:9" x14ac:dyDescent="0.35">
      <c r="A3939" s="2">
        <v>45641</v>
      </c>
      <c r="B3939">
        <v>97</v>
      </c>
      <c r="C3939">
        <v>2161005</v>
      </c>
      <c r="D3939" t="s">
        <v>39</v>
      </c>
      <c r="E3939" t="s">
        <v>1308</v>
      </c>
      <c r="F3939" s="3">
        <v>0</v>
      </c>
      <c r="G3939" s="3">
        <v>32.5</v>
      </c>
      <c r="H3939" s="3">
        <v>-32.5</v>
      </c>
      <c r="I3939" t="s">
        <v>574</v>
      </c>
    </row>
    <row r="3940" spans="1:9" x14ac:dyDescent="0.35">
      <c r="A3940" s="2">
        <v>45641</v>
      </c>
      <c r="B3940">
        <v>97</v>
      </c>
      <c r="C3940">
        <v>2241001</v>
      </c>
      <c r="D3940" t="s">
        <v>40</v>
      </c>
      <c r="E3940" t="s">
        <v>1308</v>
      </c>
      <c r="F3940" s="3">
        <v>0</v>
      </c>
      <c r="G3940" s="3">
        <v>81.900000000000006</v>
      </c>
      <c r="H3940" s="3">
        <v>-81.900000000000006</v>
      </c>
      <c r="I3940" t="s">
        <v>574</v>
      </c>
    </row>
    <row r="3941" spans="1:9" x14ac:dyDescent="0.35">
      <c r="A3941" s="2">
        <v>45641</v>
      </c>
      <c r="B3941">
        <v>97</v>
      </c>
      <c r="C3941">
        <v>2161001</v>
      </c>
      <c r="D3941" t="s">
        <v>93</v>
      </c>
      <c r="E3941" t="s">
        <v>1308</v>
      </c>
      <c r="F3941" s="3">
        <v>0</v>
      </c>
      <c r="G3941" s="3">
        <v>37973.08</v>
      </c>
      <c r="H3941" s="3">
        <v>-37973.08</v>
      </c>
      <c r="I3941" t="s">
        <v>574</v>
      </c>
    </row>
    <row r="3942" spans="1:9" x14ac:dyDescent="0.35">
      <c r="A3942" s="2">
        <v>45641</v>
      </c>
      <c r="B3942">
        <v>97</v>
      </c>
      <c r="C3942">
        <v>2241002</v>
      </c>
      <c r="D3942" t="s">
        <v>1309</v>
      </c>
      <c r="E3942" t="s">
        <v>1310</v>
      </c>
      <c r="F3942" s="3">
        <v>5269.3</v>
      </c>
      <c r="G3942" s="3">
        <v>0</v>
      </c>
      <c r="H3942" s="3">
        <v>5269.3</v>
      </c>
      <c r="I3942" t="s">
        <v>1311</v>
      </c>
    </row>
    <row r="3943" spans="1:9" x14ac:dyDescent="0.35">
      <c r="A3943" s="2">
        <v>45641</v>
      </c>
      <c r="B3943">
        <v>97</v>
      </c>
      <c r="C3943">
        <v>5131008</v>
      </c>
      <c r="D3943" t="s">
        <v>89</v>
      </c>
      <c r="E3943" t="s">
        <v>1310</v>
      </c>
      <c r="F3943" s="3">
        <v>200.89</v>
      </c>
      <c r="G3943" s="3">
        <v>0</v>
      </c>
      <c r="H3943" s="3">
        <v>200.89</v>
      </c>
      <c r="I3943" t="s">
        <v>1311</v>
      </c>
    </row>
    <row r="3944" spans="1:9" x14ac:dyDescent="0.35">
      <c r="A3944" s="2">
        <v>45641</v>
      </c>
      <c r="B3944">
        <v>97</v>
      </c>
      <c r="C3944">
        <v>2161004</v>
      </c>
      <c r="D3944" t="s">
        <v>38</v>
      </c>
      <c r="E3944" t="s">
        <v>1310</v>
      </c>
      <c r="F3944" s="3">
        <v>288.25</v>
      </c>
      <c r="G3944" s="3">
        <v>0</v>
      </c>
      <c r="H3944" s="3">
        <v>288.25</v>
      </c>
      <c r="I3944" t="s">
        <v>1311</v>
      </c>
    </row>
    <row r="3945" spans="1:9" x14ac:dyDescent="0.35">
      <c r="A3945" s="2">
        <v>45641</v>
      </c>
      <c r="B3945">
        <v>97</v>
      </c>
      <c r="C3945">
        <v>2161004</v>
      </c>
      <c r="D3945" t="s">
        <v>38</v>
      </c>
      <c r="E3945" t="s">
        <v>1310</v>
      </c>
      <c r="F3945" s="3">
        <v>288.25</v>
      </c>
      <c r="G3945" s="3">
        <v>0</v>
      </c>
      <c r="H3945" s="3">
        <v>288.25</v>
      </c>
      <c r="I3945" t="s">
        <v>1311</v>
      </c>
    </row>
    <row r="3946" spans="1:9" x14ac:dyDescent="0.35">
      <c r="A3946" s="2">
        <v>45641</v>
      </c>
      <c r="B3946">
        <v>97</v>
      </c>
      <c r="C3946">
        <v>2161005</v>
      </c>
      <c r="D3946" t="s">
        <v>39</v>
      </c>
      <c r="E3946" t="s">
        <v>1310</v>
      </c>
      <c r="F3946" s="3">
        <v>780</v>
      </c>
      <c r="G3946" s="3">
        <v>0</v>
      </c>
      <c r="H3946" s="3">
        <v>780</v>
      </c>
      <c r="I3946" t="s">
        <v>1311</v>
      </c>
    </row>
    <row r="3947" spans="1:9" x14ac:dyDescent="0.35">
      <c r="A3947" s="2">
        <v>45641</v>
      </c>
      <c r="B3947">
        <v>97</v>
      </c>
      <c r="C3947">
        <v>5131005</v>
      </c>
      <c r="D3947" t="s">
        <v>205</v>
      </c>
      <c r="E3947" t="s">
        <v>1310</v>
      </c>
      <c r="F3947" s="3">
        <v>11548.8</v>
      </c>
      <c r="G3947" s="3">
        <v>0</v>
      </c>
      <c r="H3947" s="3">
        <v>11548.8</v>
      </c>
      <c r="I3947" t="s">
        <v>1311</v>
      </c>
    </row>
    <row r="3948" spans="1:9" x14ac:dyDescent="0.35">
      <c r="A3948" s="2">
        <v>45641</v>
      </c>
      <c r="B3948">
        <v>97</v>
      </c>
      <c r="C3948">
        <v>2131005</v>
      </c>
      <c r="D3948" t="s">
        <v>34</v>
      </c>
      <c r="E3948" t="s">
        <v>1310</v>
      </c>
      <c r="F3948" s="3">
        <v>0</v>
      </c>
      <c r="G3948" s="3">
        <v>8.1</v>
      </c>
      <c r="H3948" s="3">
        <v>-8.1</v>
      </c>
      <c r="I3948" t="s">
        <v>1311</v>
      </c>
    </row>
    <row r="3949" spans="1:9" x14ac:dyDescent="0.35">
      <c r="A3949" s="2">
        <v>45641</v>
      </c>
      <c r="B3949">
        <v>97</v>
      </c>
      <c r="C3949">
        <v>2131002</v>
      </c>
      <c r="D3949" t="s">
        <v>31</v>
      </c>
      <c r="E3949" t="s">
        <v>1310</v>
      </c>
      <c r="F3949" s="3">
        <v>0</v>
      </c>
      <c r="G3949" s="3">
        <v>37.83</v>
      </c>
      <c r="H3949" s="3">
        <v>-37.83</v>
      </c>
      <c r="I3949" t="s">
        <v>1311</v>
      </c>
    </row>
    <row r="3950" spans="1:9" x14ac:dyDescent="0.35">
      <c r="A3950" s="2">
        <v>45641</v>
      </c>
      <c r="B3950">
        <v>97</v>
      </c>
      <c r="C3950">
        <v>2131004</v>
      </c>
      <c r="D3950" t="s">
        <v>33</v>
      </c>
      <c r="E3950" t="s">
        <v>1310</v>
      </c>
      <c r="F3950" s="3">
        <v>0</v>
      </c>
      <c r="G3950" s="3">
        <v>8.41</v>
      </c>
      <c r="H3950" s="3">
        <v>-8.41</v>
      </c>
      <c r="I3950" t="s">
        <v>1311</v>
      </c>
    </row>
    <row r="3951" spans="1:9" x14ac:dyDescent="0.35">
      <c r="A3951" s="2">
        <v>45641</v>
      </c>
      <c r="B3951">
        <v>97</v>
      </c>
      <c r="C3951">
        <v>2241001</v>
      </c>
      <c r="D3951" t="s">
        <v>40</v>
      </c>
      <c r="E3951" t="s">
        <v>1310</v>
      </c>
      <c r="F3951" s="3">
        <v>0</v>
      </c>
      <c r="G3951" s="3">
        <v>3435.5</v>
      </c>
      <c r="H3951" s="3">
        <v>-3435.5</v>
      </c>
      <c r="I3951" t="s">
        <v>1311</v>
      </c>
    </row>
    <row r="3952" spans="1:9" x14ac:dyDescent="0.35">
      <c r="A3952" s="2">
        <v>45641</v>
      </c>
      <c r="B3952">
        <v>97</v>
      </c>
      <c r="C3952">
        <v>2161001</v>
      </c>
      <c r="D3952" t="s">
        <v>93</v>
      </c>
      <c r="E3952" t="s">
        <v>1310</v>
      </c>
      <c r="F3952" s="3">
        <v>0</v>
      </c>
      <c r="G3952" s="3">
        <v>15201.82</v>
      </c>
      <c r="H3952" s="3">
        <v>-15201.82</v>
      </c>
      <c r="I3952" t="s">
        <v>1311</v>
      </c>
    </row>
    <row r="3953" spans="1:9" x14ac:dyDescent="0.35">
      <c r="A3953" s="2">
        <v>45641</v>
      </c>
      <c r="B3953">
        <v>97</v>
      </c>
      <c r="C3953">
        <v>2114010</v>
      </c>
      <c r="D3953" t="s">
        <v>48</v>
      </c>
      <c r="E3953" t="s">
        <v>368</v>
      </c>
      <c r="F3953" s="3">
        <v>4409.93</v>
      </c>
      <c r="G3953" s="3">
        <v>0</v>
      </c>
      <c r="H3953" s="3">
        <v>4409.93</v>
      </c>
      <c r="I3953" t="s">
        <v>144</v>
      </c>
    </row>
    <row r="3954" spans="1:9" x14ac:dyDescent="0.35">
      <c r="A3954" s="2">
        <v>45641</v>
      </c>
      <c r="B3954">
        <v>97</v>
      </c>
      <c r="C3954">
        <v>2114001</v>
      </c>
      <c r="D3954" t="s">
        <v>97</v>
      </c>
      <c r="E3954" t="s">
        <v>368</v>
      </c>
      <c r="F3954" s="3">
        <v>0</v>
      </c>
      <c r="G3954" s="3">
        <v>4409.93</v>
      </c>
      <c r="H3954" s="3">
        <v>-4409.93</v>
      </c>
      <c r="I3954" t="s">
        <v>144</v>
      </c>
    </row>
    <row r="3955" spans="1:9" x14ac:dyDescent="0.35">
      <c r="A3955" s="2">
        <v>45641</v>
      </c>
      <c r="B3955">
        <v>97</v>
      </c>
      <c r="C3955">
        <v>5131009</v>
      </c>
      <c r="D3955" t="s">
        <v>90</v>
      </c>
      <c r="E3955" t="s">
        <v>1310</v>
      </c>
      <c r="F3955" s="3">
        <v>316.17</v>
      </c>
      <c r="G3955" s="3">
        <v>0</v>
      </c>
      <c r="H3955" s="3">
        <v>316.17</v>
      </c>
      <c r="I3955" t="s">
        <v>1311</v>
      </c>
    </row>
    <row r="3956" spans="1:9" x14ac:dyDescent="0.35">
      <c r="A3956" s="2">
        <v>45657</v>
      </c>
      <c r="B3956">
        <v>98</v>
      </c>
      <c r="C3956">
        <v>6121023</v>
      </c>
      <c r="D3956" t="s">
        <v>49</v>
      </c>
      <c r="E3956" t="s">
        <v>166</v>
      </c>
      <c r="F3956" s="3">
        <v>5043.21</v>
      </c>
      <c r="G3956" s="3">
        <v>0</v>
      </c>
      <c r="H3956" s="3">
        <v>5043.21</v>
      </c>
      <c r="I3956" t="s">
        <v>1312</v>
      </c>
    </row>
    <row r="3957" spans="1:9" x14ac:dyDescent="0.35">
      <c r="A3957" s="2">
        <v>45657</v>
      </c>
      <c r="B3957">
        <v>98</v>
      </c>
      <c r="C3957">
        <v>2114010</v>
      </c>
      <c r="D3957" t="s">
        <v>48</v>
      </c>
      <c r="E3957" t="s">
        <v>166</v>
      </c>
      <c r="F3957" s="3">
        <v>0</v>
      </c>
      <c r="G3957" s="3">
        <v>5043.21</v>
      </c>
      <c r="H3957" s="3">
        <v>-5043.21</v>
      </c>
      <c r="I3957" t="s">
        <v>1312</v>
      </c>
    </row>
    <row r="3958" spans="1:9" x14ac:dyDescent="0.35">
      <c r="A3958" s="2">
        <v>45657</v>
      </c>
      <c r="B3958">
        <v>98</v>
      </c>
      <c r="C3958">
        <v>6121023</v>
      </c>
      <c r="D3958" t="s">
        <v>49</v>
      </c>
      <c r="E3958" t="s">
        <v>52</v>
      </c>
      <c r="F3958" s="3">
        <v>95.96</v>
      </c>
      <c r="G3958" s="3">
        <v>0</v>
      </c>
      <c r="H3958" s="3">
        <v>95.96</v>
      </c>
      <c r="I3958" t="s">
        <v>1313</v>
      </c>
    </row>
    <row r="3959" spans="1:9" x14ac:dyDescent="0.35">
      <c r="A3959" s="2">
        <v>45657</v>
      </c>
      <c r="B3959">
        <v>98</v>
      </c>
      <c r="C3959">
        <v>2114010</v>
      </c>
      <c r="D3959" t="s">
        <v>48</v>
      </c>
      <c r="E3959" t="s">
        <v>52</v>
      </c>
      <c r="F3959" s="3">
        <v>0</v>
      </c>
      <c r="G3959" s="3">
        <v>95.96</v>
      </c>
      <c r="H3959" s="3">
        <v>-95.96</v>
      </c>
      <c r="I3959" t="s">
        <v>1313</v>
      </c>
    </row>
    <row r="3960" spans="1:9" x14ac:dyDescent="0.35">
      <c r="A3960" s="2">
        <v>45657</v>
      </c>
      <c r="B3960">
        <v>98</v>
      </c>
      <c r="C3960">
        <v>6121023</v>
      </c>
      <c r="D3960" t="s">
        <v>49</v>
      </c>
      <c r="E3960" t="s">
        <v>52</v>
      </c>
      <c r="F3960" s="3">
        <v>231.68</v>
      </c>
      <c r="G3960" s="3">
        <v>0</v>
      </c>
      <c r="H3960" s="3">
        <v>231.68</v>
      </c>
      <c r="I3960" t="s">
        <v>1314</v>
      </c>
    </row>
    <row r="3961" spans="1:9" x14ac:dyDescent="0.35">
      <c r="A3961" s="2">
        <v>45657</v>
      </c>
      <c r="B3961">
        <v>98</v>
      </c>
      <c r="C3961">
        <v>2114010</v>
      </c>
      <c r="D3961" t="s">
        <v>48</v>
      </c>
      <c r="E3961" t="s">
        <v>52</v>
      </c>
      <c r="F3961" s="3">
        <v>0</v>
      </c>
      <c r="G3961" s="3">
        <v>231.68</v>
      </c>
      <c r="H3961" s="3">
        <v>-231.68</v>
      </c>
      <c r="I3961" t="s">
        <v>1314</v>
      </c>
    </row>
    <row r="3962" spans="1:9" x14ac:dyDescent="0.35">
      <c r="A3962" s="2">
        <v>45657</v>
      </c>
      <c r="B3962">
        <v>98</v>
      </c>
      <c r="C3962">
        <v>4112003</v>
      </c>
      <c r="D3962" t="s">
        <v>58</v>
      </c>
      <c r="E3962" t="s">
        <v>59</v>
      </c>
      <c r="F3962" s="3">
        <v>0</v>
      </c>
      <c r="G3962" s="3">
        <v>7034.62</v>
      </c>
      <c r="H3962" s="3">
        <v>-7034.62</v>
      </c>
      <c r="I3962" t="s">
        <v>1315</v>
      </c>
    </row>
    <row r="3963" spans="1:9" x14ac:dyDescent="0.35">
      <c r="A3963" s="2">
        <v>45657</v>
      </c>
      <c r="B3963">
        <v>98</v>
      </c>
      <c r="C3963">
        <v>2121001</v>
      </c>
      <c r="D3963" t="s">
        <v>27</v>
      </c>
      <c r="E3963" t="s">
        <v>59</v>
      </c>
      <c r="F3963" s="3">
        <v>0</v>
      </c>
      <c r="G3963" s="3">
        <v>1125.54</v>
      </c>
      <c r="H3963" s="3">
        <v>-1125.54</v>
      </c>
      <c r="I3963" t="s">
        <v>1315</v>
      </c>
    </row>
    <row r="3964" spans="1:9" x14ac:dyDescent="0.35">
      <c r="A3964" s="2">
        <v>45657</v>
      </c>
      <c r="B3964">
        <v>98</v>
      </c>
      <c r="C3964">
        <v>1111001</v>
      </c>
      <c r="D3964" t="s">
        <v>16</v>
      </c>
      <c r="E3964" t="s">
        <v>59</v>
      </c>
      <c r="F3964" s="3">
        <v>8160.16</v>
      </c>
      <c r="G3964" s="3">
        <v>0</v>
      </c>
      <c r="H3964" s="3">
        <v>8160.16</v>
      </c>
      <c r="I3964" t="s">
        <v>1315</v>
      </c>
    </row>
    <row r="3965" spans="1:9" x14ac:dyDescent="0.35">
      <c r="A3965" s="2">
        <v>45657</v>
      </c>
      <c r="B3965">
        <v>98</v>
      </c>
      <c r="C3965">
        <v>4112003</v>
      </c>
      <c r="D3965" t="s">
        <v>58</v>
      </c>
      <c r="E3965" t="s">
        <v>59</v>
      </c>
      <c r="F3965" s="3">
        <v>0</v>
      </c>
      <c r="G3965" s="3">
        <v>6896.64</v>
      </c>
      <c r="H3965" s="3">
        <v>-6896.64</v>
      </c>
      <c r="I3965" t="s">
        <v>1316</v>
      </c>
    </row>
    <row r="3966" spans="1:9" x14ac:dyDescent="0.35">
      <c r="A3966" s="2">
        <v>45657</v>
      </c>
      <c r="B3966">
        <v>98</v>
      </c>
      <c r="C3966">
        <v>2121001</v>
      </c>
      <c r="D3966" t="s">
        <v>27</v>
      </c>
      <c r="E3966" t="s">
        <v>59</v>
      </c>
      <c r="F3966" s="3">
        <v>0</v>
      </c>
      <c r="G3966" s="3">
        <v>1103.46</v>
      </c>
      <c r="H3966" s="3">
        <v>-1103.46</v>
      </c>
      <c r="I3966" t="s">
        <v>1316</v>
      </c>
    </row>
    <row r="3967" spans="1:9" x14ac:dyDescent="0.35">
      <c r="A3967" s="2">
        <v>45657</v>
      </c>
      <c r="B3967">
        <v>98</v>
      </c>
      <c r="C3967">
        <v>1111001</v>
      </c>
      <c r="D3967" t="s">
        <v>16</v>
      </c>
      <c r="E3967" t="s">
        <v>59</v>
      </c>
      <c r="F3967" s="3">
        <v>8000.1</v>
      </c>
      <c r="G3967" s="3">
        <v>0</v>
      </c>
      <c r="H3967" s="3">
        <v>8000.1</v>
      </c>
      <c r="I3967" t="s">
        <v>1316</v>
      </c>
    </row>
    <row r="3968" spans="1:9" x14ac:dyDescent="0.35">
      <c r="A3968" s="2">
        <v>45657</v>
      </c>
      <c r="B3968">
        <v>98</v>
      </c>
      <c r="C3968">
        <v>4112003</v>
      </c>
      <c r="D3968" t="s">
        <v>58</v>
      </c>
      <c r="E3968" t="s">
        <v>59</v>
      </c>
      <c r="F3968" s="3">
        <v>0</v>
      </c>
      <c r="G3968" s="3">
        <v>8413.98</v>
      </c>
      <c r="H3968" s="3">
        <v>-8413.98</v>
      </c>
      <c r="I3968" t="s">
        <v>1317</v>
      </c>
    </row>
    <row r="3969" spans="1:9" x14ac:dyDescent="0.35">
      <c r="A3969" s="2">
        <v>45657</v>
      </c>
      <c r="B3969">
        <v>98</v>
      </c>
      <c r="C3969">
        <v>2121001</v>
      </c>
      <c r="D3969" t="s">
        <v>27</v>
      </c>
      <c r="E3969" t="s">
        <v>59</v>
      </c>
      <c r="F3969" s="3">
        <v>0</v>
      </c>
      <c r="G3969" s="3">
        <v>1346.24</v>
      </c>
      <c r="H3969" s="3">
        <v>-1346.24</v>
      </c>
      <c r="I3969" t="s">
        <v>1317</v>
      </c>
    </row>
    <row r="3970" spans="1:9" x14ac:dyDescent="0.35">
      <c r="A3970" s="2">
        <v>45657</v>
      </c>
      <c r="B3970">
        <v>98</v>
      </c>
      <c r="C3970">
        <v>1111001</v>
      </c>
      <c r="D3970" t="s">
        <v>16</v>
      </c>
      <c r="E3970" t="s">
        <v>59</v>
      </c>
      <c r="F3970" s="3">
        <v>9760.2199999999993</v>
      </c>
      <c r="G3970" s="3">
        <v>0</v>
      </c>
      <c r="H3970" s="3">
        <v>9760.2199999999993</v>
      </c>
      <c r="I3970" t="s">
        <v>1317</v>
      </c>
    </row>
    <row r="3971" spans="1:9" x14ac:dyDescent="0.35">
      <c r="A3971" s="2">
        <v>45657</v>
      </c>
      <c r="B3971">
        <v>98</v>
      </c>
      <c r="C3971">
        <v>4112003</v>
      </c>
      <c r="D3971" t="s">
        <v>58</v>
      </c>
      <c r="E3971" t="s">
        <v>59</v>
      </c>
      <c r="F3971" s="3">
        <v>0</v>
      </c>
      <c r="G3971" s="3">
        <v>9807</v>
      </c>
      <c r="H3971" s="3">
        <v>-9807</v>
      </c>
      <c r="I3971" t="s">
        <v>1318</v>
      </c>
    </row>
    <row r="3972" spans="1:9" x14ac:dyDescent="0.35">
      <c r="A3972" s="2">
        <v>45657</v>
      </c>
      <c r="B3972">
        <v>98</v>
      </c>
      <c r="C3972">
        <v>2121001</v>
      </c>
      <c r="D3972" t="s">
        <v>27</v>
      </c>
      <c r="E3972" t="s">
        <v>59</v>
      </c>
      <c r="F3972" s="3">
        <v>0</v>
      </c>
      <c r="G3972" s="3">
        <v>1569.12</v>
      </c>
      <c r="H3972" s="3">
        <v>-1569.12</v>
      </c>
      <c r="I3972" t="s">
        <v>1318</v>
      </c>
    </row>
    <row r="3973" spans="1:9" x14ac:dyDescent="0.35">
      <c r="A3973" s="2">
        <v>45657</v>
      </c>
      <c r="B3973">
        <v>98</v>
      </c>
      <c r="C3973">
        <v>1111001</v>
      </c>
      <c r="D3973" t="s">
        <v>16</v>
      </c>
      <c r="E3973" t="s">
        <v>59</v>
      </c>
      <c r="F3973" s="3">
        <v>11376.12</v>
      </c>
      <c r="G3973" s="3">
        <v>0</v>
      </c>
      <c r="H3973" s="3">
        <v>11376.12</v>
      </c>
      <c r="I3973" t="s">
        <v>1318</v>
      </c>
    </row>
    <row r="3974" spans="1:9" x14ac:dyDescent="0.35">
      <c r="A3974" s="2">
        <v>45657</v>
      </c>
      <c r="B3974">
        <v>98</v>
      </c>
      <c r="C3974">
        <v>4112003</v>
      </c>
      <c r="D3974" t="s">
        <v>58</v>
      </c>
      <c r="E3974" t="s">
        <v>59</v>
      </c>
      <c r="F3974" s="3">
        <v>0</v>
      </c>
      <c r="G3974" s="3">
        <v>8000.15</v>
      </c>
      <c r="H3974" s="3">
        <v>-8000.15</v>
      </c>
      <c r="I3974" t="s">
        <v>1319</v>
      </c>
    </row>
    <row r="3975" spans="1:9" x14ac:dyDescent="0.35">
      <c r="A3975" s="2">
        <v>45657</v>
      </c>
      <c r="B3975">
        <v>98</v>
      </c>
      <c r="C3975">
        <v>2121001</v>
      </c>
      <c r="D3975" t="s">
        <v>27</v>
      </c>
      <c r="E3975" t="s">
        <v>59</v>
      </c>
      <c r="F3975" s="3">
        <v>0</v>
      </c>
      <c r="G3975" s="3">
        <v>1280.02</v>
      </c>
      <c r="H3975" s="3">
        <v>-1280.02</v>
      </c>
      <c r="I3975" t="s">
        <v>1319</v>
      </c>
    </row>
    <row r="3976" spans="1:9" x14ac:dyDescent="0.35">
      <c r="A3976" s="2">
        <v>45657</v>
      </c>
      <c r="B3976">
        <v>98</v>
      </c>
      <c r="C3976">
        <v>1111001</v>
      </c>
      <c r="D3976" t="s">
        <v>16</v>
      </c>
      <c r="E3976" t="s">
        <v>59</v>
      </c>
      <c r="F3976" s="3">
        <v>9280.17</v>
      </c>
      <c r="G3976" s="3">
        <v>0</v>
      </c>
      <c r="H3976" s="3">
        <v>9280.17</v>
      </c>
      <c r="I3976" t="s">
        <v>1319</v>
      </c>
    </row>
    <row r="3977" spans="1:9" x14ac:dyDescent="0.35">
      <c r="A3977" s="2">
        <v>45657</v>
      </c>
      <c r="B3977">
        <v>98</v>
      </c>
      <c r="C3977">
        <v>4112003</v>
      </c>
      <c r="D3977" t="s">
        <v>58</v>
      </c>
      <c r="E3977" t="s">
        <v>59</v>
      </c>
      <c r="F3977" s="3">
        <v>0</v>
      </c>
      <c r="G3977" s="3">
        <v>6345.11</v>
      </c>
      <c r="H3977" s="3">
        <v>-6345.11</v>
      </c>
      <c r="I3977" t="s">
        <v>1320</v>
      </c>
    </row>
    <row r="3978" spans="1:9" x14ac:dyDescent="0.35">
      <c r="A3978" s="2">
        <v>45657</v>
      </c>
      <c r="B3978">
        <v>98</v>
      </c>
      <c r="C3978">
        <v>2121001</v>
      </c>
      <c r="D3978" t="s">
        <v>27</v>
      </c>
      <c r="E3978" t="s">
        <v>59</v>
      </c>
      <c r="F3978" s="3">
        <v>0</v>
      </c>
      <c r="G3978" s="3">
        <v>1015.22</v>
      </c>
      <c r="H3978" s="3">
        <v>-1015.22</v>
      </c>
      <c r="I3978" t="s">
        <v>1320</v>
      </c>
    </row>
    <row r="3979" spans="1:9" x14ac:dyDescent="0.35">
      <c r="A3979" s="2">
        <v>45657</v>
      </c>
      <c r="B3979">
        <v>98</v>
      </c>
      <c r="C3979">
        <v>1111001</v>
      </c>
      <c r="D3979" t="s">
        <v>16</v>
      </c>
      <c r="E3979" t="s">
        <v>59</v>
      </c>
      <c r="F3979" s="3">
        <v>7360.33</v>
      </c>
      <c r="G3979" s="3">
        <v>0</v>
      </c>
      <c r="H3979" s="3">
        <v>7360.33</v>
      </c>
      <c r="I3979" t="s">
        <v>1320</v>
      </c>
    </row>
    <row r="3980" spans="1:9" x14ac:dyDescent="0.35">
      <c r="A3980" s="2">
        <v>45657</v>
      </c>
      <c r="B3980">
        <v>98</v>
      </c>
      <c r="C3980">
        <v>4112003</v>
      </c>
      <c r="D3980" t="s">
        <v>58</v>
      </c>
      <c r="E3980" t="s">
        <v>59</v>
      </c>
      <c r="F3980" s="3">
        <v>0</v>
      </c>
      <c r="G3980" s="3">
        <v>4275.8599999999997</v>
      </c>
      <c r="H3980" s="3">
        <v>-4275.8599999999997</v>
      </c>
      <c r="I3980" t="s">
        <v>1321</v>
      </c>
    </row>
    <row r="3981" spans="1:9" x14ac:dyDescent="0.35">
      <c r="A3981" s="2">
        <v>45657</v>
      </c>
      <c r="B3981">
        <v>98</v>
      </c>
      <c r="C3981">
        <v>2121001</v>
      </c>
      <c r="D3981" t="s">
        <v>27</v>
      </c>
      <c r="E3981" t="s">
        <v>59</v>
      </c>
      <c r="F3981" s="3">
        <v>0</v>
      </c>
      <c r="G3981" s="3">
        <v>684.14</v>
      </c>
      <c r="H3981" s="3">
        <v>-684.14</v>
      </c>
      <c r="I3981" t="s">
        <v>1321</v>
      </c>
    </row>
    <row r="3982" spans="1:9" x14ac:dyDescent="0.35">
      <c r="A3982" s="2">
        <v>45657</v>
      </c>
      <c r="B3982">
        <v>98</v>
      </c>
      <c r="C3982">
        <v>1111001</v>
      </c>
      <c r="D3982" t="s">
        <v>16</v>
      </c>
      <c r="E3982" t="s">
        <v>59</v>
      </c>
      <c r="F3982" s="3">
        <v>4960</v>
      </c>
      <c r="G3982" s="3">
        <v>0</v>
      </c>
      <c r="H3982" s="3">
        <v>4960</v>
      </c>
      <c r="I3982" t="s">
        <v>1321</v>
      </c>
    </row>
    <row r="3983" spans="1:9" x14ac:dyDescent="0.35">
      <c r="A3983" s="2">
        <v>45657</v>
      </c>
      <c r="B3983">
        <v>98</v>
      </c>
      <c r="C3983">
        <v>4112003</v>
      </c>
      <c r="D3983" t="s">
        <v>58</v>
      </c>
      <c r="E3983" t="s">
        <v>59</v>
      </c>
      <c r="F3983" s="3">
        <v>0</v>
      </c>
      <c r="G3983" s="3">
        <v>3724.24</v>
      </c>
      <c r="H3983" s="3">
        <v>-3724.24</v>
      </c>
      <c r="I3983" t="s">
        <v>1322</v>
      </c>
    </row>
    <row r="3984" spans="1:9" x14ac:dyDescent="0.35">
      <c r="A3984" s="2">
        <v>45657</v>
      </c>
      <c r="B3984">
        <v>98</v>
      </c>
      <c r="C3984">
        <v>2121001</v>
      </c>
      <c r="D3984" t="s">
        <v>27</v>
      </c>
      <c r="E3984" t="s">
        <v>59</v>
      </c>
      <c r="F3984" s="3">
        <v>0</v>
      </c>
      <c r="G3984" s="3">
        <v>595.88</v>
      </c>
      <c r="H3984" s="3">
        <v>-595.88</v>
      </c>
      <c r="I3984" t="s">
        <v>1322</v>
      </c>
    </row>
    <row r="3985" spans="1:9" x14ac:dyDescent="0.35">
      <c r="A3985" s="2">
        <v>45657</v>
      </c>
      <c r="B3985">
        <v>98</v>
      </c>
      <c r="C3985">
        <v>1111001</v>
      </c>
      <c r="D3985" t="s">
        <v>16</v>
      </c>
      <c r="E3985" t="s">
        <v>59</v>
      </c>
      <c r="F3985" s="3">
        <v>4320.12</v>
      </c>
      <c r="G3985" s="3">
        <v>0</v>
      </c>
      <c r="H3985" s="3">
        <v>4320.12</v>
      </c>
      <c r="I3985" t="s">
        <v>1322</v>
      </c>
    </row>
    <row r="3986" spans="1:9" x14ac:dyDescent="0.35">
      <c r="A3986" s="2">
        <v>45657</v>
      </c>
      <c r="B3986">
        <v>98</v>
      </c>
      <c r="C3986">
        <v>4112003</v>
      </c>
      <c r="D3986" t="s">
        <v>58</v>
      </c>
      <c r="E3986" t="s">
        <v>59</v>
      </c>
      <c r="F3986" s="3">
        <v>0</v>
      </c>
      <c r="G3986" s="3">
        <v>3172.49</v>
      </c>
      <c r="H3986" s="3">
        <v>-3172.49</v>
      </c>
      <c r="I3986" t="s">
        <v>1323</v>
      </c>
    </row>
    <row r="3987" spans="1:9" x14ac:dyDescent="0.35">
      <c r="A3987" s="2">
        <v>45657</v>
      </c>
      <c r="B3987">
        <v>98</v>
      </c>
      <c r="C3987">
        <v>2121001</v>
      </c>
      <c r="D3987" t="s">
        <v>27</v>
      </c>
      <c r="E3987" t="s">
        <v>59</v>
      </c>
      <c r="F3987" s="3">
        <v>0</v>
      </c>
      <c r="G3987" s="3">
        <v>507.6</v>
      </c>
      <c r="H3987" s="3">
        <v>-507.6</v>
      </c>
      <c r="I3987" t="s">
        <v>1323</v>
      </c>
    </row>
    <row r="3988" spans="1:9" x14ac:dyDescent="0.35">
      <c r="A3988" s="2">
        <v>45657</v>
      </c>
      <c r="B3988">
        <v>98</v>
      </c>
      <c r="C3988">
        <v>1111001</v>
      </c>
      <c r="D3988" t="s">
        <v>16</v>
      </c>
      <c r="E3988" t="s">
        <v>59</v>
      </c>
      <c r="F3988" s="3">
        <v>3680.09</v>
      </c>
      <c r="G3988" s="3">
        <v>0</v>
      </c>
      <c r="H3988" s="3">
        <v>3680.09</v>
      </c>
      <c r="I3988" t="s">
        <v>1323</v>
      </c>
    </row>
    <row r="3989" spans="1:9" x14ac:dyDescent="0.35">
      <c r="A3989" s="2">
        <v>45657</v>
      </c>
      <c r="B3989">
        <v>98</v>
      </c>
      <c r="C3989">
        <v>4112003</v>
      </c>
      <c r="D3989" t="s">
        <v>58</v>
      </c>
      <c r="E3989" t="s">
        <v>59</v>
      </c>
      <c r="F3989" s="3">
        <v>0</v>
      </c>
      <c r="G3989" s="3">
        <v>4827.71</v>
      </c>
      <c r="H3989" s="3">
        <v>-4827.71</v>
      </c>
      <c r="I3989" t="s">
        <v>1324</v>
      </c>
    </row>
    <row r="3990" spans="1:9" x14ac:dyDescent="0.35">
      <c r="A3990" s="2">
        <v>45657</v>
      </c>
      <c r="B3990">
        <v>98</v>
      </c>
      <c r="C3990">
        <v>2121001</v>
      </c>
      <c r="D3990" t="s">
        <v>27</v>
      </c>
      <c r="E3990" t="s">
        <v>59</v>
      </c>
      <c r="F3990" s="3">
        <v>0</v>
      </c>
      <c r="G3990" s="3">
        <v>772.43</v>
      </c>
      <c r="H3990" s="3">
        <v>-772.43</v>
      </c>
      <c r="I3990" t="s">
        <v>1324</v>
      </c>
    </row>
    <row r="3991" spans="1:9" x14ac:dyDescent="0.35">
      <c r="A3991" s="2">
        <v>45657</v>
      </c>
      <c r="B3991">
        <v>98</v>
      </c>
      <c r="C3991">
        <v>1111001</v>
      </c>
      <c r="D3991" t="s">
        <v>16</v>
      </c>
      <c r="E3991" t="s">
        <v>59</v>
      </c>
      <c r="F3991" s="3">
        <v>5600.14</v>
      </c>
      <c r="G3991" s="3">
        <v>0</v>
      </c>
      <c r="H3991" s="3">
        <v>5600.14</v>
      </c>
      <c r="I3991" t="s">
        <v>1324</v>
      </c>
    </row>
    <row r="3992" spans="1:9" x14ac:dyDescent="0.35">
      <c r="A3992" s="2">
        <v>45657</v>
      </c>
      <c r="B3992">
        <v>98</v>
      </c>
      <c r="C3992">
        <v>4112003</v>
      </c>
      <c r="D3992" t="s">
        <v>58</v>
      </c>
      <c r="E3992" t="s">
        <v>59</v>
      </c>
      <c r="F3992" s="3">
        <v>0</v>
      </c>
      <c r="G3992" s="3">
        <v>4000.05</v>
      </c>
      <c r="H3992" s="3">
        <v>-4000.05</v>
      </c>
      <c r="I3992" t="s">
        <v>1325</v>
      </c>
    </row>
    <row r="3993" spans="1:9" x14ac:dyDescent="0.35">
      <c r="A3993" s="2">
        <v>45657</v>
      </c>
      <c r="B3993">
        <v>98</v>
      </c>
      <c r="C3993">
        <v>2121001</v>
      </c>
      <c r="D3993" t="s">
        <v>27</v>
      </c>
      <c r="E3993" t="s">
        <v>59</v>
      </c>
      <c r="F3993" s="3">
        <v>0</v>
      </c>
      <c r="G3993" s="3">
        <v>640.01</v>
      </c>
      <c r="H3993" s="3">
        <v>-640.01</v>
      </c>
      <c r="I3993" t="s">
        <v>1325</v>
      </c>
    </row>
    <row r="3994" spans="1:9" x14ac:dyDescent="0.35">
      <c r="A3994" s="2">
        <v>45657</v>
      </c>
      <c r="B3994">
        <v>98</v>
      </c>
      <c r="C3994">
        <v>1111001</v>
      </c>
      <c r="D3994" t="s">
        <v>16</v>
      </c>
      <c r="E3994" t="s">
        <v>59</v>
      </c>
      <c r="F3994" s="3">
        <v>4640.0600000000004</v>
      </c>
      <c r="G3994" s="3">
        <v>0</v>
      </c>
      <c r="H3994" s="3">
        <v>4640.0600000000004</v>
      </c>
      <c r="I3994" t="s">
        <v>1325</v>
      </c>
    </row>
    <row r="3995" spans="1:9" x14ac:dyDescent="0.35">
      <c r="A3995" s="2">
        <v>45657</v>
      </c>
      <c r="B3995">
        <v>98</v>
      </c>
      <c r="C3995">
        <v>4112003</v>
      </c>
      <c r="D3995" t="s">
        <v>58</v>
      </c>
      <c r="E3995" t="s">
        <v>59</v>
      </c>
      <c r="F3995" s="3">
        <v>0</v>
      </c>
      <c r="G3995" s="3">
        <v>2482.83</v>
      </c>
      <c r="H3995" s="3">
        <v>-2482.83</v>
      </c>
      <c r="I3995" t="s">
        <v>1326</v>
      </c>
    </row>
    <row r="3996" spans="1:9" x14ac:dyDescent="0.35">
      <c r="A3996" s="2">
        <v>45657</v>
      </c>
      <c r="B3996">
        <v>98</v>
      </c>
      <c r="C3996">
        <v>2121001</v>
      </c>
      <c r="D3996" t="s">
        <v>27</v>
      </c>
      <c r="E3996" t="s">
        <v>59</v>
      </c>
      <c r="F3996" s="3">
        <v>0</v>
      </c>
      <c r="G3996" s="3">
        <v>397.25</v>
      </c>
      <c r="H3996" s="3">
        <v>-397.25</v>
      </c>
      <c r="I3996" t="s">
        <v>1326</v>
      </c>
    </row>
    <row r="3997" spans="1:9" x14ac:dyDescent="0.35">
      <c r="A3997" s="2">
        <v>45657</v>
      </c>
      <c r="B3997">
        <v>98</v>
      </c>
      <c r="C3997">
        <v>1111001</v>
      </c>
      <c r="D3997" t="s">
        <v>16</v>
      </c>
      <c r="E3997" t="s">
        <v>59</v>
      </c>
      <c r="F3997" s="3">
        <v>2880.08</v>
      </c>
      <c r="G3997" s="3">
        <v>0</v>
      </c>
      <c r="H3997" s="3">
        <v>2880.08</v>
      </c>
      <c r="I3997" t="s">
        <v>1326</v>
      </c>
    </row>
    <row r="3998" spans="1:9" x14ac:dyDescent="0.35">
      <c r="A3998" s="2">
        <v>45657</v>
      </c>
      <c r="B3998">
        <v>98</v>
      </c>
      <c r="C3998">
        <v>4112003</v>
      </c>
      <c r="D3998" t="s">
        <v>58</v>
      </c>
      <c r="E3998" t="s">
        <v>59</v>
      </c>
      <c r="F3998" s="3">
        <v>0</v>
      </c>
      <c r="G3998" s="3">
        <v>2896.56</v>
      </c>
      <c r="H3998" s="3">
        <v>-2896.56</v>
      </c>
      <c r="I3998" t="s">
        <v>1327</v>
      </c>
    </row>
    <row r="3999" spans="1:9" x14ac:dyDescent="0.35">
      <c r="A3999" s="2">
        <v>45657</v>
      </c>
      <c r="B3999">
        <v>98</v>
      </c>
      <c r="C3999">
        <v>2121001</v>
      </c>
      <c r="D3999" t="s">
        <v>27</v>
      </c>
      <c r="E3999" t="s">
        <v>59</v>
      </c>
      <c r="F3999" s="3">
        <v>0</v>
      </c>
      <c r="G3999" s="3">
        <v>463.45</v>
      </c>
      <c r="H3999" s="3">
        <v>-463.45</v>
      </c>
      <c r="I3999" t="s">
        <v>1327</v>
      </c>
    </row>
    <row r="4000" spans="1:9" x14ac:dyDescent="0.35">
      <c r="A4000" s="2">
        <v>45657</v>
      </c>
      <c r="B4000">
        <v>98</v>
      </c>
      <c r="C4000">
        <v>1111001</v>
      </c>
      <c r="D4000" t="s">
        <v>16</v>
      </c>
      <c r="E4000" t="s">
        <v>59</v>
      </c>
      <c r="F4000" s="3">
        <v>3360.01</v>
      </c>
      <c r="G4000" s="3">
        <v>0</v>
      </c>
      <c r="H4000" s="3">
        <v>3360.01</v>
      </c>
      <c r="I4000" t="s">
        <v>1327</v>
      </c>
    </row>
    <row r="4001" spans="1:9" x14ac:dyDescent="0.35">
      <c r="A4001" s="2">
        <v>45657</v>
      </c>
      <c r="B4001">
        <v>98</v>
      </c>
      <c r="C4001">
        <v>4112004</v>
      </c>
      <c r="D4001" t="s">
        <v>74</v>
      </c>
      <c r="E4001" t="s">
        <v>197</v>
      </c>
      <c r="F4001" s="3">
        <v>0</v>
      </c>
      <c r="G4001" s="3">
        <v>9310.34</v>
      </c>
      <c r="H4001" s="3">
        <v>-9310.34</v>
      </c>
      <c r="I4001" t="s">
        <v>1328</v>
      </c>
    </row>
    <row r="4002" spans="1:9" x14ac:dyDescent="0.35">
      <c r="A4002" s="2">
        <v>45657</v>
      </c>
      <c r="B4002">
        <v>98</v>
      </c>
      <c r="C4002">
        <v>2121001</v>
      </c>
      <c r="D4002" t="s">
        <v>27</v>
      </c>
      <c r="E4002" t="s">
        <v>197</v>
      </c>
      <c r="F4002" s="3">
        <v>0</v>
      </c>
      <c r="G4002" s="3">
        <v>1489.65</v>
      </c>
      <c r="H4002" s="3">
        <v>-1489.65</v>
      </c>
      <c r="I4002" t="s">
        <v>1328</v>
      </c>
    </row>
    <row r="4003" spans="1:9" x14ac:dyDescent="0.35">
      <c r="A4003" s="2">
        <v>45657</v>
      </c>
      <c r="B4003">
        <v>98</v>
      </c>
      <c r="C4003">
        <v>1141002</v>
      </c>
      <c r="D4003" t="s">
        <v>23</v>
      </c>
      <c r="E4003" t="s">
        <v>197</v>
      </c>
      <c r="F4003" s="3">
        <v>1117.24</v>
      </c>
      <c r="G4003" s="3">
        <v>0</v>
      </c>
      <c r="H4003" s="3">
        <v>1117.24</v>
      </c>
      <c r="I4003" t="s">
        <v>1328</v>
      </c>
    </row>
    <row r="4004" spans="1:9" x14ac:dyDescent="0.35">
      <c r="A4004" s="2">
        <v>45657</v>
      </c>
      <c r="B4004">
        <v>98</v>
      </c>
      <c r="C4004">
        <v>1142001</v>
      </c>
      <c r="D4004" t="s">
        <v>199</v>
      </c>
      <c r="E4004" t="s">
        <v>197</v>
      </c>
      <c r="F4004" s="3">
        <v>186.21</v>
      </c>
      <c r="G4004" s="3">
        <v>0</v>
      </c>
      <c r="H4004" s="3">
        <v>186.21</v>
      </c>
      <c r="I4004" t="s">
        <v>1328</v>
      </c>
    </row>
    <row r="4005" spans="1:9" x14ac:dyDescent="0.35">
      <c r="A4005" s="2">
        <v>45657</v>
      </c>
      <c r="B4005">
        <v>98</v>
      </c>
      <c r="C4005">
        <v>6121040</v>
      </c>
      <c r="D4005" t="s">
        <v>98</v>
      </c>
      <c r="E4005" t="s">
        <v>197</v>
      </c>
      <c r="F4005" s="3">
        <v>216</v>
      </c>
      <c r="G4005" s="3">
        <v>0</v>
      </c>
      <c r="H4005" s="3">
        <v>216</v>
      </c>
      <c r="I4005" t="s">
        <v>1328</v>
      </c>
    </row>
    <row r="4006" spans="1:9" x14ac:dyDescent="0.35">
      <c r="A4006" s="2">
        <v>45657</v>
      </c>
      <c r="B4006">
        <v>98</v>
      </c>
      <c r="C4006">
        <v>1111001</v>
      </c>
      <c r="D4006" t="s">
        <v>16</v>
      </c>
      <c r="E4006" t="s">
        <v>197</v>
      </c>
      <c r="F4006" s="3">
        <v>9280.5400000000009</v>
      </c>
      <c r="G4006" s="3">
        <v>0</v>
      </c>
      <c r="H4006" s="3">
        <v>9280.5400000000009</v>
      </c>
      <c r="I4006" t="s">
        <v>1328</v>
      </c>
    </row>
    <row r="4007" spans="1:9" x14ac:dyDescent="0.35">
      <c r="A4007" s="2">
        <v>45657</v>
      </c>
      <c r="B4007">
        <v>98</v>
      </c>
      <c r="C4007">
        <v>4112004</v>
      </c>
      <c r="D4007" t="s">
        <v>74</v>
      </c>
      <c r="E4007" t="s">
        <v>195</v>
      </c>
      <c r="F4007" s="3">
        <v>0</v>
      </c>
      <c r="G4007" s="3">
        <v>4260.4799999999996</v>
      </c>
      <c r="H4007" s="3">
        <v>-4260.4799999999996</v>
      </c>
      <c r="I4007" t="s">
        <v>1329</v>
      </c>
    </row>
    <row r="4008" spans="1:9" x14ac:dyDescent="0.35">
      <c r="A4008" s="2">
        <v>45657</v>
      </c>
      <c r="B4008">
        <v>98</v>
      </c>
      <c r="C4008">
        <v>2121001</v>
      </c>
      <c r="D4008" t="s">
        <v>27</v>
      </c>
      <c r="E4008" t="s">
        <v>195</v>
      </c>
      <c r="F4008" s="3">
        <v>0</v>
      </c>
      <c r="G4008" s="3">
        <v>681.68</v>
      </c>
      <c r="H4008" s="3">
        <v>-681.68</v>
      </c>
      <c r="I4008" t="s">
        <v>1329</v>
      </c>
    </row>
    <row r="4009" spans="1:9" x14ac:dyDescent="0.35">
      <c r="A4009" s="2">
        <v>45657</v>
      </c>
      <c r="B4009">
        <v>98</v>
      </c>
      <c r="C4009">
        <v>1141002</v>
      </c>
      <c r="D4009" t="s">
        <v>23</v>
      </c>
      <c r="E4009" t="s">
        <v>195</v>
      </c>
      <c r="F4009" s="3">
        <v>511.26</v>
      </c>
      <c r="G4009" s="3">
        <v>0</v>
      </c>
      <c r="H4009" s="3">
        <v>511.26</v>
      </c>
      <c r="I4009" t="s">
        <v>1329</v>
      </c>
    </row>
    <row r="4010" spans="1:9" x14ac:dyDescent="0.35">
      <c r="A4010" s="2">
        <v>45657</v>
      </c>
      <c r="B4010">
        <v>98</v>
      </c>
      <c r="C4010">
        <v>1142001</v>
      </c>
      <c r="D4010" t="s">
        <v>199</v>
      </c>
      <c r="E4010" t="s">
        <v>195</v>
      </c>
      <c r="F4010" s="3">
        <v>85.21</v>
      </c>
      <c r="G4010" s="3">
        <v>0</v>
      </c>
      <c r="H4010" s="3">
        <v>85.21</v>
      </c>
      <c r="I4010" t="s">
        <v>1329</v>
      </c>
    </row>
    <row r="4011" spans="1:9" x14ac:dyDescent="0.35">
      <c r="A4011" s="2">
        <v>45657</v>
      </c>
      <c r="B4011">
        <v>98</v>
      </c>
      <c r="C4011">
        <v>1111001</v>
      </c>
      <c r="D4011" t="s">
        <v>16</v>
      </c>
      <c r="E4011" t="s">
        <v>195</v>
      </c>
      <c r="F4011" s="3">
        <v>148.26</v>
      </c>
      <c r="G4011" s="3">
        <v>0</v>
      </c>
      <c r="H4011" s="3">
        <v>148.26</v>
      </c>
      <c r="I4011" t="s">
        <v>1329</v>
      </c>
    </row>
    <row r="4012" spans="1:9" x14ac:dyDescent="0.35">
      <c r="A4012" s="2">
        <v>45657</v>
      </c>
      <c r="B4012">
        <v>98</v>
      </c>
      <c r="C4012">
        <v>2124007</v>
      </c>
      <c r="D4012" t="s">
        <v>30</v>
      </c>
      <c r="E4012" t="s">
        <v>195</v>
      </c>
      <c r="F4012" s="3">
        <v>0</v>
      </c>
      <c r="G4012" s="3">
        <v>148.26</v>
      </c>
      <c r="H4012" s="3">
        <v>-148.26</v>
      </c>
      <c r="I4012" t="s">
        <v>1329</v>
      </c>
    </row>
    <row r="4013" spans="1:9" x14ac:dyDescent="0.35">
      <c r="A4013" s="2">
        <v>45657</v>
      </c>
      <c r="B4013">
        <v>98</v>
      </c>
      <c r="C4013">
        <v>1111001</v>
      </c>
      <c r="D4013" t="s">
        <v>16</v>
      </c>
      <c r="E4013" t="s">
        <v>195</v>
      </c>
      <c r="F4013" s="3">
        <v>4345.6899999999996</v>
      </c>
      <c r="G4013" s="3">
        <v>0</v>
      </c>
      <c r="H4013" s="3">
        <v>4345.6899999999996</v>
      </c>
      <c r="I4013" t="s">
        <v>1329</v>
      </c>
    </row>
    <row r="4014" spans="1:9" x14ac:dyDescent="0.35">
      <c r="A4014" s="2">
        <v>45657</v>
      </c>
      <c r="B4014">
        <v>98</v>
      </c>
      <c r="C4014">
        <v>2121001</v>
      </c>
      <c r="D4014" t="s">
        <v>27</v>
      </c>
      <c r="E4014" t="s">
        <v>1330</v>
      </c>
      <c r="F4014" s="3">
        <v>13671.69</v>
      </c>
      <c r="G4014" s="3">
        <v>0</v>
      </c>
      <c r="H4014" s="3">
        <v>13671.69</v>
      </c>
      <c r="I4014" t="s">
        <v>544</v>
      </c>
    </row>
    <row r="4015" spans="1:9" x14ac:dyDescent="0.35">
      <c r="A4015" s="2">
        <v>45657</v>
      </c>
      <c r="B4015">
        <v>98</v>
      </c>
      <c r="C4015">
        <v>1141002</v>
      </c>
      <c r="D4015" t="s">
        <v>23</v>
      </c>
      <c r="E4015" t="s">
        <v>1330</v>
      </c>
      <c r="F4015" s="3">
        <v>0</v>
      </c>
      <c r="G4015" s="3">
        <v>1628.5</v>
      </c>
      <c r="H4015" s="3">
        <v>-1628.5</v>
      </c>
      <c r="I4015" t="s">
        <v>544</v>
      </c>
    </row>
    <row r="4016" spans="1:9" x14ac:dyDescent="0.35">
      <c r="A4016" s="2">
        <v>45657</v>
      </c>
      <c r="B4016">
        <v>98</v>
      </c>
      <c r="C4016">
        <v>2121003</v>
      </c>
      <c r="D4016" t="s">
        <v>28</v>
      </c>
      <c r="E4016" t="s">
        <v>1330</v>
      </c>
      <c r="F4016" s="3">
        <v>0</v>
      </c>
      <c r="G4016" s="3">
        <v>12043.19</v>
      </c>
      <c r="H4016" s="3">
        <v>-12043.19</v>
      </c>
      <c r="I4016" t="s">
        <v>544</v>
      </c>
    </row>
    <row r="4017" spans="1:9" x14ac:dyDescent="0.35">
      <c r="A4017" s="2">
        <v>45657</v>
      </c>
      <c r="B4017">
        <v>98</v>
      </c>
      <c r="C4017">
        <v>1142004</v>
      </c>
      <c r="D4017" t="s">
        <v>83</v>
      </c>
      <c r="E4017" t="s">
        <v>502</v>
      </c>
      <c r="F4017" s="3">
        <v>854.48</v>
      </c>
      <c r="G4017" s="3">
        <v>0</v>
      </c>
      <c r="H4017" s="3">
        <v>854.48</v>
      </c>
      <c r="I4017" t="s">
        <v>503</v>
      </c>
    </row>
    <row r="4018" spans="1:9" x14ac:dyDescent="0.35">
      <c r="A4018" s="2">
        <v>45657</v>
      </c>
      <c r="B4018">
        <v>98</v>
      </c>
      <c r="C4018">
        <v>2124004</v>
      </c>
      <c r="D4018" t="s">
        <v>29</v>
      </c>
      <c r="E4018" t="s">
        <v>502</v>
      </c>
      <c r="F4018" s="3">
        <v>0</v>
      </c>
      <c r="G4018" s="3">
        <v>854.48</v>
      </c>
      <c r="H4018" s="3">
        <v>-854.48</v>
      </c>
      <c r="I4018" t="s">
        <v>503</v>
      </c>
    </row>
    <row r="4019" spans="1:9" x14ac:dyDescent="0.35">
      <c r="A4019" s="2">
        <v>45657</v>
      </c>
      <c r="B4019">
        <v>98</v>
      </c>
      <c r="C4019">
        <v>5131001</v>
      </c>
      <c r="D4019" t="s">
        <v>86</v>
      </c>
      <c r="E4019" t="s">
        <v>1331</v>
      </c>
      <c r="F4019" s="3">
        <v>390</v>
      </c>
      <c r="G4019" s="3">
        <v>0</v>
      </c>
      <c r="H4019" s="3">
        <v>390</v>
      </c>
      <c r="I4019" t="s">
        <v>574</v>
      </c>
    </row>
    <row r="4020" spans="1:9" x14ac:dyDescent="0.35">
      <c r="A4020" s="2">
        <v>45657</v>
      </c>
      <c r="B4020">
        <v>98</v>
      </c>
      <c r="C4020">
        <v>5131005</v>
      </c>
      <c r="D4020" t="s">
        <v>205</v>
      </c>
      <c r="E4020" t="s">
        <v>1331</v>
      </c>
      <c r="F4020" s="3">
        <v>6231.6</v>
      </c>
      <c r="G4020" s="3">
        <v>0</v>
      </c>
      <c r="H4020" s="3">
        <v>6231.6</v>
      </c>
      <c r="I4020" t="s">
        <v>574</v>
      </c>
    </row>
    <row r="4021" spans="1:9" x14ac:dyDescent="0.35">
      <c r="A4021" s="2">
        <v>45657</v>
      </c>
      <c r="B4021">
        <v>98</v>
      </c>
      <c r="C4021">
        <v>5131008</v>
      </c>
      <c r="D4021" t="s">
        <v>89</v>
      </c>
      <c r="E4021" t="s">
        <v>1331</v>
      </c>
      <c r="F4021" s="3">
        <v>81.900000000000006</v>
      </c>
      <c r="G4021" s="3">
        <v>0</v>
      </c>
      <c r="H4021" s="3">
        <v>81.900000000000006</v>
      </c>
      <c r="I4021" t="s">
        <v>574</v>
      </c>
    </row>
    <row r="4022" spans="1:9" x14ac:dyDescent="0.35">
      <c r="A4022" s="2">
        <v>45657</v>
      </c>
      <c r="B4022">
        <v>98</v>
      </c>
      <c r="C4022">
        <v>5131009</v>
      </c>
      <c r="D4022" t="s">
        <v>90</v>
      </c>
      <c r="E4022" t="s">
        <v>1331</v>
      </c>
      <c r="F4022" s="3">
        <v>16.25</v>
      </c>
      <c r="G4022" s="3">
        <v>0</v>
      </c>
      <c r="H4022" s="3">
        <v>16.25</v>
      </c>
      <c r="I4022" t="s">
        <v>574</v>
      </c>
    </row>
    <row r="4023" spans="1:9" x14ac:dyDescent="0.35">
      <c r="A4023" s="2">
        <v>45657</v>
      </c>
      <c r="B4023">
        <v>98</v>
      </c>
      <c r="C4023">
        <v>5131010</v>
      </c>
      <c r="D4023" t="s">
        <v>91</v>
      </c>
      <c r="E4023" t="s">
        <v>1331</v>
      </c>
      <c r="F4023" s="3">
        <v>32.5</v>
      </c>
      <c r="G4023" s="3">
        <v>0</v>
      </c>
      <c r="H4023" s="3">
        <v>32.5</v>
      </c>
      <c r="I4023" t="s">
        <v>574</v>
      </c>
    </row>
    <row r="4024" spans="1:9" x14ac:dyDescent="0.35">
      <c r="A4024" s="2">
        <v>45657</v>
      </c>
      <c r="B4024">
        <v>98</v>
      </c>
      <c r="C4024">
        <v>5131012</v>
      </c>
      <c r="D4024" t="s">
        <v>206</v>
      </c>
      <c r="E4024" t="s">
        <v>1331</v>
      </c>
      <c r="F4024" s="3">
        <v>42.9</v>
      </c>
      <c r="G4024" s="3">
        <v>0</v>
      </c>
      <c r="H4024" s="3">
        <v>42.9</v>
      </c>
      <c r="I4024" t="s">
        <v>574</v>
      </c>
    </row>
    <row r="4025" spans="1:9" x14ac:dyDescent="0.35">
      <c r="A4025" s="2">
        <v>45657</v>
      </c>
      <c r="B4025">
        <v>98</v>
      </c>
      <c r="C4025">
        <v>5131013</v>
      </c>
      <c r="D4025" t="s">
        <v>92</v>
      </c>
      <c r="E4025" t="s">
        <v>1331</v>
      </c>
      <c r="F4025" s="3">
        <v>7.8</v>
      </c>
      <c r="G4025" s="3">
        <v>0</v>
      </c>
      <c r="H4025" s="3">
        <v>7.8</v>
      </c>
      <c r="I4025" t="s">
        <v>574</v>
      </c>
    </row>
    <row r="4026" spans="1:9" x14ac:dyDescent="0.35">
      <c r="A4026" s="2">
        <v>45657</v>
      </c>
      <c r="B4026">
        <v>98</v>
      </c>
      <c r="C4026">
        <v>5131014</v>
      </c>
      <c r="D4026" t="s">
        <v>207</v>
      </c>
      <c r="E4026" t="s">
        <v>1331</v>
      </c>
      <c r="F4026" s="3">
        <v>7.8</v>
      </c>
      <c r="G4026" s="3">
        <v>0</v>
      </c>
      <c r="H4026" s="3">
        <v>7.8</v>
      </c>
      <c r="I4026" t="s">
        <v>574</v>
      </c>
    </row>
    <row r="4027" spans="1:9" x14ac:dyDescent="0.35">
      <c r="A4027" s="2">
        <v>45657</v>
      </c>
      <c r="B4027">
        <v>98</v>
      </c>
      <c r="C4027">
        <v>5131006</v>
      </c>
      <c r="D4027" t="s">
        <v>125</v>
      </c>
      <c r="E4027" t="s">
        <v>1331</v>
      </c>
      <c r="F4027" s="3">
        <v>32007.13</v>
      </c>
      <c r="G4027" s="3">
        <v>0</v>
      </c>
      <c r="H4027" s="3">
        <v>32007.13</v>
      </c>
      <c r="I4027" t="s">
        <v>574</v>
      </c>
    </row>
    <row r="4028" spans="1:9" x14ac:dyDescent="0.35">
      <c r="A4028" s="2">
        <v>45657</v>
      </c>
      <c r="B4028">
        <v>98</v>
      </c>
      <c r="C4028">
        <v>2131002</v>
      </c>
      <c r="D4028" t="s">
        <v>31</v>
      </c>
      <c r="E4028" t="s">
        <v>1331</v>
      </c>
      <c r="F4028" s="3">
        <v>0</v>
      </c>
      <c r="G4028" s="3">
        <v>15.6</v>
      </c>
      <c r="H4028" s="3">
        <v>-15.6</v>
      </c>
      <c r="I4028" t="s">
        <v>574</v>
      </c>
    </row>
    <row r="4029" spans="1:9" x14ac:dyDescent="0.35">
      <c r="A4029" s="2">
        <v>45657</v>
      </c>
      <c r="B4029">
        <v>98</v>
      </c>
      <c r="C4029">
        <v>2131003</v>
      </c>
      <c r="D4029" t="s">
        <v>32</v>
      </c>
      <c r="E4029" t="s">
        <v>1331</v>
      </c>
      <c r="F4029" s="3">
        <v>0</v>
      </c>
      <c r="G4029" s="3">
        <v>1.95</v>
      </c>
      <c r="H4029" s="3">
        <v>-1.95</v>
      </c>
      <c r="I4029" t="s">
        <v>574</v>
      </c>
    </row>
    <row r="4030" spans="1:9" x14ac:dyDescent="0.35">
      <c r="A4030" s="2">
        <v>45657</v>
      </c>
      <c r="B4030">
        <v>98</v>
      </c>
      <c r="C4030">
        <v>2131004</v>
      </c>
      <c r="D4030" t="s">
        <v>33</v>
      </c>
      <c r="E4030" t="s">
        <v>1331</v>
      </c>
      <c r="F4030" s="3">
        <v>0</v>
      </c>
      <c r="G4030" s="3">
        <v>3.9</v>
      </c>
      <c r="H4030" s="3">
        <v>-3.9</v>
      </c>
      <c r="I4030" t="s">
        <v>574</v>
      </c>
    </row>
    <row r="4031" spans="1:9" x14ac:dyDescent="0.35">
      <c r="A4031" s="2">
        <v>45657</v>
      </c>
      <c r="B4031">
        <v>98</v>
      </c>
      <c r="C4031">
        <v>2141001</v>
      </c>
      <c r="D4031" t="s">
        <v>35</v>
      </c>
      <c r="E4031" t="s">
        <v>1331</v>
      </c>
      <c r="F4031" s="3">
        <v>0</v>
      </c>
      <c r="G4031" s="3">
        <v>42.9</v>
      </c>
      <c r="H4031" s="3">
        <v>-42.9</v>
      </c>
      <c r="I4031" t="s">
        <v>574</v>
      </c>
    </row>
    <row r="4032" spans="1:9" x14ac:dyDescent="0.35">
      <c r="A4032" s="2">
        <v>45657</v>
      </c>
      <c r="B4032">
        <v>98</v>
      </c>
      <c r="C4032">
        <v>2141002</v>
      </c>
      <c r="D4032" t="s">
        <v>36</v>
      </c>
      <c r="E4032" t="s">
        <v>1331</v>
      </c>
      <c r="F4032" s="3">
        <v>0</v>
      </c>
      <c r="G4032" s="3">
        <v>7.8</v>
      </c>
      <c r="H4032" s="3">
        <v>-7.8</v>
      </c>
      <c r="I4032" t="s">
        <v>574</v>
      </c>
    </row>
    <row r="4033" spans="1:9" x14ac:dyDescent="0.35">
      <c r="A4033" s="2">
        <v>45657</v>
      </c>
      <c r="B4033">
        <v>98</v>
      </c>
      <c r="C4033">
        <v>2141003</v>
      </c>
      <c r="D4033" t="s">
        <v>37</v>
      </c>
      <c r="E4033" t="s">
        <v>1331</v>
      </c>
      <c r="F4033" s="3">
        <v>0</v>
      </c>
      <c r="G4033" s="3">
        <v>7.8</v>
      </c>
      <c r="H4033" s="3">
        <v>-7.8</v>
      </c>
      <c r="I4033" t="s">
        <v>574</v>
      </c>
    </row>
    <row r="4034" spans="1:9" x14ac:dyDescent="0.35">
      <c r="A4034" s="2">
        <v>45657</v>
      </c>
      <c r="B4034">
        <v>98</v>
      </c>
      <c r="C4034">
        <v>2161004</v>
      </c>
      <c r="D4034" t="s">
        <v>38</v>
      </c>
      <c r="E4034" t="s">
        <v>1331</v>
      </c>
      <c r="F4034" s="3">
        <v>0</v>
      </c>
      <c r="G4034" s="3">
        <v>16.25</v>
      </c>
      <c r="H4034" s="3">
        <v>-16.25</v>
      </c>
      <c r="I4034" t="s">
        <v>574</v>
      </c>
    </row>
    <row r="4035" spans="1:9" x14ac:dyDescent="0.35">
      <c r="A4035" s="2">
        <v>45657</v>
      </c>
      <c r="B4035">
        <v>98</v>
      </c>
      <c r="C4035">
        <v>2161005</v>
      </c>
      <c r="D4035" t="s">
        <v>39</v>
      </c>
      <c r="E4035" t="s">
        <v>1331</v>
      </c>
      <c r="F4035" s="3">
        <v>0</v>
      </c>
      <c r="G4035" s="3">
        <v>32.5</v>
      </c>
      <c r="H4035" s="3">
        <v>-32.5</v>
      </c>
      <c r="I4035" t="s">
        <v>574</v>
      </c>
    </row>
    <row r="4036" spans="1:9" x14ac:dyDescent="0.35">
      <c r="A4036" s="2">
        <v>45657</v>
      </c>
      <c r="B4036">
        <v>98</v>
      </c>
      <c r="C4036">
        <v>2241001</v>
      </c>
      <c r="D4036" t="s">
        <v>40</v>
      </c>
      <c r="E4036" t="s">
        <v>1331</v>
      </c>
      <c r="F4036" s="3">
        <v>0</v>
      </c>
      <c r="G4036" s="3">
        <v>81.900000000000006</v>
      </c>
      <c r="H4036" s="3">
        <v>-81.900000000000006</v>
      </c>
      <c r="I4036" t="s">
        <v>574</v>
      </c>
    </row>
    <row r="4037" spans="1:9" x14ac:dyDescent="0.35">
      <c r="A4037" s="2">
        <v>45657</v>
      </c>
      <c r="B4037">
        <v>98</v>
      </c>
      <c r="C4037">
        <v>2161001</v>
      </c>
      <c r="D4037" t="s">
        <v>93</v>
      </c>
      <c r="E4037" t="s">
        <v>1331</v>
      </c>
      <c r="F4037" s="3">
        <v>0</v>
      </c>
      <c r="G4037" s="3">
        <v>38607.279999999999</v>
      </c>
      <c r="H4037" s="3">
        <v>-38607.279999999999</v>
      </c>
      <c r="I4037" t="s">
        <v>574</v>
      </c>
    </row>
    <row r="4038" spans="1:9" x14ac:dyDescent="0.35">
      <c r="A4038" s="2">
        <v>45657</v>
      </c>
      <c r="B4038">
        <v>98</v>
      </c>
      <c r="C4038">
        <v>1111001</v>
      </c>
      <c r="D4038" t="s">
        <v>16</v>
      </c>
      <c r="E4038" t="s">
        <v>1332</v>
      </c>
      <c r="F4038" s="3">
        <v>1775</v>
      </c>
      <c r="G4038" s="3">
        <v>0</v>
      </c>
      <c r="H4038" s="3">
        <v>1775</v>
      </c>
      <c r="I4038" t="s">
        <v>480</v>
      </c>
    </row>
    <row r="4039" spans="1:9" x14ac:dyDescent="0.35">
      <c r="A4039" s="2">
        <v>45657</v>
      </c>
      <c r="B4039">
        <v>98</v>
      </c>
      <c r="C4039">
        <v>6121040</v>
      </c>
      <c r="D4039" t="s">
        <v>98</v>
      </c>
      <c r="E4039" t="s">
        <v>99</v>
      </c>
      <c r="F4039" s="3">
        <v>413.05</v>
      </c>
      <c r="G4039" s="3">
        <v>0</v>
      </c>
      <c r="H4039" s="3">
        <v>413.05</v>
      </c>
      <c r="I4039" t="s">
        <v>480</v>
      </c>
    </row>
    <row r="4040" spans="1:9" x14ac:dyDescent="0.35">
      <c r="A4040" s="2">
        <v>45657</v>
      </c>
      <c r="B4040">
        <v>98</v>
      </c>
      <c r="C4040">
        <v>2114001</v>
      </c>
      <c r="D4040" t="s">
        <v>97</v>
      </c>
      <c r="E4040" t="s">
        <v>1768</v>
      </c>
      <c r="F4040" s="3">
        <v>35780</v>
      </c>
      <c r="G4040" s="3">
        <v>0</v>
      </c>
      <c r="H4040" s="3">
        <v>35780</v>
      </c>
      <c r="I4040" t="s">
        <v>480</v>
      </c>
    </row>
    <row r="4041" spans="1:9" x14ac:dyDescent="0.35">
      <c r="A4041" s="2">
        <v>45657</v>
      </c>
      <c r="B4041">
        <v>98</v>
      </c>
      <c r="C4041">
        <v>1112001</v>
      </c>
      <c r="D4041" t="s">
        <v>20</v>
      </c>
      <c r="E4041" t="s">
        <v>758</v>
      </c>
      <c r="F4041" s="3">
        <v>0</v>
      </c>
      <c r="G4041" s="3">
        <v>37968.050000000003</v>
      </c>
      <c r="H4041" s="3">
        <v>-37968.050000000003</v>
      </c>
      <c r="I4041" t="s">
        <v>480</v>
      </c>
    </row>
    <row r="4042" spans="1:9" x14ac:dyDescent="0.35">
      <c r="A4042" s="2">
        <v>45657</v>
      </c>
      <c r="B4042">
        <v>98</v>
      </c>
      <c r="C4042">
        <v>1112001</v>
      </c>
      <c r="D4042" t="s">
        <v>20</v>
      </c>
      <c r="E4042" t="s">
        <v>744</v>
      </c>
      <c r="F4042" s="3">
        <v>37840.04</v>
      </c>
      <c r="G4042" s="3">
        <v>0</v>
      </c>
      <c r="H4042" s="3">
        <v>37840.04</v>
      </c>
      <c r="I4042" t="s">
        <v>480</v>
      </c>
    </row>
    <row r="4043" spans="1:9" x14ac:dyDescent="0.35">
      <c r="A4043" s="2">
        <v>45657</v>
      </c>
      <c r="B4043">
        <v>98</v>
      </c>
      <c r="C4043">
        <v>1111001</v>
      </c>
      <c r="D4043" t="s">
        <v>16</v>
      </c>
      <c r="E4043" t="s">
        <v>1333</v>
      </c>
      <c r="F4043" s="3">
        <v>0</v>
      </c>
      <c r="G4043" s="3">
        <v>3622.5</v>
      </c>
      <c r="H4043" s="3">
        <v>-3622.5</v>
      </c>
      <c r="I4043" t="s">
        <v>480</v>
      </c>
    </row>
    <row r="4044" spans="1:9" x14ac:dyDescent="0.35">
      <c r="A4044" s="2">
        <v>45657</v>
      </c>
      <c r="B4044">
        <v>98</v>
      </c>
      <c r="C4044">
        <v>1111001</v>
      </c>
      <c r="D4044" t="s">
        <v>16</v>
      </c>
      <c r="E4044" t="s">
        <v>1271</v>
      </c>
      <c r="F4044" s="3">
        <v>0</v>
      </c>
      <c r="G4044" s="3">
        <v>3822</v>
      </c>
      <c r="H4044" s="3">
        <v>-3822</v>
      </c>
      <c r="I4044" t="s">
        <v>480</v>
      </c>
    </row>
    <row r="4045" spans="1:9" x14ac:dyDescent="0.35">
      <c r="A4045" s="2">
        <v>45657</v>
      </c>
      <c r="B4045">
        <v>98</v>
      </c>
      <c r="C4045">
        <v>1111001</v>
      </c>
      <c r="D4045" t="s">
        <v>16</v>
      </c>
      <c r="E4045" t="s">
        <v>112</v>
      </c>
      <c r="F4045" s="3">
        <v>0</v>
      </c>
      <c r="G4045" s="3">
        <v>30395.54</v>
      </c>
      <c r="H4045" s="3">
        <v>-30395.54</v>
      </c>
      <c r="I4045" t="s">
        <v>480</v>
      </c>
    </row>
    <row r="4046" spans="1:9" x14ac:dyDescent="0.35">
      <c r="A4046" s="2">
        <v>45657</v>
      </c>
      <c r="B4046">
        <v>98</v>
      </c>
      <c r="C4046">
        <v>6121040</v>
      </c>
      <c r="D4046" t="s">
        <v>98</v>
      </c>
      <c r="E4046" t="s">
        <v>99</v>
      </c>
      <c r="F4046" s="3">
        <v>7068.02</v>
      </c>
      <c r="G4046" s="3">
        <v>0</v>
      </c>
      <c r="H4046" s="3">
        <v>7068.02</v>
      </c>
      <c r="I4046" t="s">
        <v>1256</v>
      </c>
    </row>
    <row r="4047" spans="1:9" x14ac:dyDescent="0.35">
      <c r="A4047" s="2">
        <v>45657</v>
      </c>
      <c r="B4047">
        <v>98</v>
      </c>
      <c r="C4047">
        <v>2161001</v>
      </c>
      <c r="D4047" t="s">
        <v>93</v>
      </c>
      <c r="E4047" t="s">
        <v>1816</v>
      </c>
      <c r="F4047" s="3">
        <v>14560</v>
      </c>
      <c r="G4047" s="3">
        <v>0</v>
      </c>
      <c r="H4047" s="3">
        <v>14560</v>
      </c>
      <c r="I4047" t="s">
        <v>1256</v>
      </c>
    </row>
    <row r="4048" spans="1:9" x14ac:dyDescent="0.35">
      <c r="A4048" s="2">
        <v>45657</v>
      </c>
      <c r="B4048">
        <v>98</v>
      </c>
      <c r="C4048">
        <v>2161001</v>
      </c>
      <c r="D4048" t="s">
        <v>93</v>
      </c>
      <c r="E4048" t="s">
        <v>1817</v>
      </c>
      <c r="F4048" s="3">
        <v>7800</v>
      </c>
      <c r="G4048" s="3">
        <v>0</v>
      </c>
      <c r="H4048" s="3">
        <v>7800</v>
      </c>
      <c r="I4048" t="s">
        <v>1256</v>
      </c>
    </row>
    <row r="4049" spans="1:9" x14ac:dyDescent="0.35">
      <c r="A4049" s="2">
        <v>45657</v>
      </c>
      <c r="B4049">
        <v>98</v>
      </c>
      <c r="C4049">
        <v>2114001</v>
      </c>
      <c r="D4049" t="s">
        <v>97</v>
      </c>
      <c r="E4049" t="s">
        <v>1768</v>
      </c>
      <c r="F4049" s="3">
        <v>146838</v>
      </c>
      <c r="G4049" s="3">
        <v>0</v>
      </c>
      <c r="H4049" s="3">
        <v>146838</v>
      </c>
      <c r="I4049" t="s">
        <v>1256</v>
      </c>
    </row>
    <row r="4050" spans="1:9" x14ac:dyDescent="0.35">
      <c r="A4050" s="2">
        <v>45657</v>
      </c>
      <c r="B4050">
        <v>98</v>
      </c>
      <c r="C4050">
        <v>2161001</v>
      </c>
      <c r="D4050" t="s">
        <v>93</v>
      </c>
      <c r="E4050" t="s">
        <v>1771</v>
      </c>
      <c r="F4050" s="3">
        <v>4530</v>
      </c>
      <c r="G4050" s="3">
        <v>0</v>
      </c>
      <c r="H4050" s="3">
        <v>4530</v>
      </c>
      <c r="I4050" t="s">
        <v>1256</v>
      </c>
    </row>
    <row r="4051" spans="1:9" x14ac:dyDescent="0.35">
      <c r="A4051" s="2">
        <v>45657</v>
      </c>
      <c r="B4051">
        <v>98</v>
      </c>
      <c r="C4051">
        <v>5131016</v>
      </c>
      <c r="D4051" t="s">
        <v>238</v>
      </c>
      <c r="E4051" t="s">
        <v>1334</v>
      </c>
      <c r="F4051" s="3">
        <v>1000</v>
      </c>
      <c r="G4051" s="3">
        <v>0</v>
      </c>
      <c r="H4051" s="3">
        <v>1000</v>
      </c>
      <c r="I4051" t="s">
        <v>1256</v>
      </c>
    </row>
    <row r="4052" spans="1:9" x14ac:dyDescent="0.35">
      <c r="A4052" s="2">
        <v>45657</v>
      </c>
      <c r="B4052">
        <v>98</v>
      </c>
      <c r="C4052">
        <v>1111001</v>
      </c>
      <c r="D4052" t="s">
        <v>16</v>
      </c>
      <c r="E4052" t="s">
        <v>1335</v>
      </c>
      <c r="F4052" s="3">
        <v>4000</v>
      </c>
      <c r="G4052" s="3">
        <v>0</v>
      </c>
      <c r="H4052" s="3">
        <v>4000</v>
      </c>
      <c r="I4052" t="s">
        <v>1256</v>
      </c>
    </row>
    <row r="4053" spans="1:9" x14ac:dyDescent="0.35">
      <c r="A4053" s="2">
        <v>45657</v>
      </c>
      <c r="B4053">
        <v>98</v>
      </c>
      <c r="C4053">
        <v>1111001</v>
      </c>
      <c r="D4053" t="s">
        <v>16</v>
      </c>
      <c r="E4053" t="s">
        <v>1336</v>
      </c>
      <c r="F4053" s="3">
        <v>4200</v>
      </c>
      <c r="G4053" s="3">
        <v>0</v>
      </c>
      <c r="H4053" s="3">
        <v>4200</v>
      </c>
      <c r="I4053" t="s">
        <v>1256</v>
      </c>
    </row>
    <row r="4054" spans="1:9" x14ac:dyDescent="0.35">
      <c r="A4054" s="2">
        <v>45657</v>
      </c>
      <c r="B4054">
        <v>98</v>
      </c>
      <c r="C4054">
        <v>1111001</v>
      </c>
      <c r="D4054" t="s">
        <v>16</v>
      </c>
      <c r="E4054" t="s">
        <v>1262</v>
      </c>
      <c r="F4054" s="3">
        <v>42400</v>
      </c>
      <c r="G4054" s="3">
        <v>0</v>
      </c>
      <c r="H4054" s="3">
        <v>42400</v>
      </c>
      <c r="I4054" t="s">
        <v>1256</v>
      </c>
    </row>
    <row r="4055" spans="1:9" x14ac:dyDescent="0.35">
      <c r="A4055" s="2">
        <v>45657</v>
      </c>
      <c r="B4055">
        <v>98</v>
      </c>
      <c r="C4055">
        <v>5132007</v>
      </c>
      <c r="D4055" t="s">
        <v>355</v>
      </c>
      <c r="E4055" t="s">
        <v>1337</v>
      </c>
      <c r="F4055" s="3">
        <v>1764</v>
      </c>
      <c r="G4055" s="3">
        <v>0</v>
      </c>
      <c r="H4055" s="3">
        <v>1764</v>
      </c>
      <c r="I4055" t="s">
        <v>1256</v>
      </c>
    </row>
    <row r="4056" spans="1:9" x14ac:dyDescent="0.35">
      <c r="A4056" s="2">
        <v>45657</v>
      </c>
      <c r="B4056">
        <v>98</v>
      </c>
      <c r="C4056">
        <v>1111001</v>
      </c>
      <c r="D4056" t="s">
        <v>16</v>
      </c>
      <c r="E4056" t="s">
        <v>1338</v>
      </c>
      <c r="F4056" s="3">
        <v>300</v>
      </c>
      <c r="G4056" s="3">
        <v>0</v>
      </c>
      <c r="H4056" s="3">
        <v>300</v>
      </c>
      <c r="I4056" t="s">
        <v>1256</v>
      </c>
    </row>
    <row r="4057" spans="1:9" x14ac:dyDescent="0.35">
      <c r="A4057" s="2">
        <v>45657</v>
      </c>
      <c r="B4057">
        <v>98</v>
      </c>
      <c r="C4057">
        <v>2114010</v>
      </c>
      <c r="D4057" t="s">
        <v>48</v>
      </c>
      <c r="E4057" t="s">
        <v>1339</v>
      </c>
      <c r="F4057" s="3">
        <v>8744.89</v>
      </c>
      <c r="G4057" s="3">
        <v>0</v>
      </c>
      <c r="H4057" s="3">
        <v>8744.89</v>
      </c>
      <c r="I4057" t="s">
        <v>1256</v>
      </c>
    </row>
    <row r="4058" spans="1:9" x14ac:dyDescent="0.35">
      <c r="A4058" s="2">
        <v>45657</v>
      </c>
      <c r="B4058">
        <v>98</v>
      </c>
      <c r="C4058">
        <v>2161001</v>
      </c>
      <c r="D4058" t="s">
        <v>93</v>
      </c>
      <c r="E4058" t="s">
        <v>1771</v>
      </c>
      <c r="F4058" s="3">
        <v>9240</v>
      </c>
      <c r="G4058" s="3">
        <v>0</v>
      </c>
      <c r="H4058" s="3">
        <v>9240</v>
      </c>
      <c r="I4058" t="s">
        <v>1256</v>
      </c>
    </row>
    <row r="4059" spans="1:9" x14ac:dyDescent="0.35">
      <c r="A4059" s="2">
        <v>45657</v>
      </c>
      <c r="B4059">
        <v>98</v>
      </c>
      <c r="C4059">
        <v>2161001</v>
      </c>
      <c r="D4059" t="s">
        <v>93</v>
      </c>
      <c r="E4059" t="s">
        <v>1771</v>
      </c>
      <c r="F4059" s="3">
        <v>9256</v>
      </c>
      <c r="G4059" s="3">
        <v>0</v>
      </c>
      <c r="H4059" s="3">
        <v>9256</v>
      </c>
      <c r="I4059" t="s">
        <v>1256</v>
      </c>
    </row>
    <row r="4060" spans="1:9" x14ac:dyDescent="0.35">
      <c r="A4060" s="2">
        <v>45657</v>
      </c>
      <c r="B4060">
        <v>98</v>
      </c>
      <c r="C4060">
        <v>2161001</v>
      </c>
      <c r="D4060" t="s">
        <v>93</v>
      </c>
      <c r="E4060" t="s">
        <v>1771</v>
      </c>
      <c r="F4060" s="3">
        <v>7800</v>
      </c>
      <c r="G4060" s="3">
        <v>0</v>
      </c>
      <c r="H4060" s="3">
        <v>7800</v>
      </c>
      <c r="I4060" t="s">
        <v>1256</v>
      </c>
    </row>
    <row r="4061" spans="1:9" x14ac:dyDescent="0.35">
      <c r="A4061" s="2">
        <v>45657</v>
      </c>
      <c r="B4061">
        <v>98</v>
      </c>
      <c r="C4061">
        <v>2161001</v>
      </c>
      <c r="D4061" t="s">
        <v>93</v>
      </c>
      <c r="E4061" t="s">
        <v>1776</v>
      </c>
      <c r="F4061" s="3">
        <v>9840</v>
      </c>
      <c r="G4061" s="3">
        <v>0</v>
      </c>
      <c r="H4061" s="3">
        <v>9840</v>
      </c>
      <c r="I4061" t="s">
        <v>1256</v>
      </c>
    </row>
    <row r="4062" spans="1:9" x14ac:dyDescent="0.35">
      <c r="A4062" s="2">
        <v>45657</v>
      </c>
      <c r="B4062">
        <v>98</v>
      </c>
      <c r="C4062">
        <v>1111001</v>
      </c>
      <c r="D4062" t="s">
        <v>16</v>
      </c>
      <c r="E4062" t="s">
        <v>1340</v>
      </c>
      <c r="F4062" s="3">
        <v>10300</v>
      </c>
      <c r="G4062" s="3">
        <v>0</v>
      </c>
      <c r="H4062" s="3">
        <v>10300</v>
      </c>
      <c r="I4062" t="s">
        <v>1256</v>
      </c>
    </row>
    <row r="4063" spans="1:9" x14ac:dyDescent="0.35">
      <c r="A4063" s="2">
        <v>45657</v>
      </c>
      <c r="B4063">
        <v>98</v>
      </c>
      <c r="C4063">
        <v>2114010</v>
      </c>
      <c r="D4063" t="s">
        <v>48</v>
      </c>
      <c r="E4063" t="s">
        <v>1341</v>
      </c>
      <c r="F4063" s="3">
        <v>1071</v>
      </c>
      <c r="G4063" s="3">
        <v>0</v>
      </c>
      <c r="H4063" s="3">
        <v>1071</v>
      </c>
      <c r="I4063" t="s">
        <v>1256</v>
      </c>
    </row>
    <row r="4064" spans="1:9" x14ac:dyDescent="0.35">
      <c r="A4064" s="2">
        <v>45657</v>
      </c>
      <c r="B4064">
        <v>98</v>
      </c>
      <c r="C4064">
        <v>2114010</v>
      </c>
      <c r="D4064" t="s">
        <v>48</v>
      </c>
      <c r="E4064" t="s">
        <v>1342</v>
      </c>
      <c r="F4064" s="3">
        <v>6255</v>
      </c>
      <c r="G4064" s="3">
        <v>0</v>
      </c>
      <c r="H4064" s="3">
        <v>6255</v>
      </c>
      <c r="I4064" t="s">
        <v>1256</v>
      </c>
    </row>
    <row r="4065" spans="1:9" x14ac:dyDescent="0.35">
      <c r="A4065" s="2">
        <v>45657</v>
      </c>
      <c r="B4065">
        <v>98</v>
      </c>
      <c r="C4065">
        <v>2161001</v>
      </c>
      <c r="D4065" t="s">
        <v>93</v>
      </c>
      <c r="E4065" t="s">
        <v>1818</v>
      </c>
      <c r="F4065" s="3">
        <v>3000</v>
      </c>
      <c r="G4065" s="3">
        <v>0</v>
      </c>
      <c r="H4065" s="3">
        <v>3000</v>
      </c>
      <c r="I4065" t="s">
        <v>1256</v>
      </c>
    </row>
    <row r="4066" spans="1:9" x14ac:dyDescent="0.35">
      <c r="A4066" s="2">
        <v>45657</v>
      </c>
      <c r="B4066">
        <v>98</v>
      </c>
      <c r="C4066">
        <v>1112002</v>
      </c>
      <c r="D4066" t="s">
        <v>21</v>
      </c>
      <c r="E4066" t="s">
        <v>758</v>
      </c>
      <c r="F4066" s="3">
        <v>0</v>
      </c>
      <c r="G4066" s="3">
        <v>299966.90999999997</v>
      </c>
      <c r="H4066" s="3">
        <v>-299966.90999999997</v>
      </c>
      <c r="I4066" t="s">
        <v>1256</v>
      </c>
    </row>
    <row r="4067" spans="1:9" x14ac:dyDescent="0.35">
      <c r="A4067" s="2">
        <v>45657</v>
      </c>
      <c r="B4067">
        <v>98</v>
      </c>
      <c r="C4067">
        <v>1112002</v>
      </c>
      <c r="D4067" t="s">
        <v>21</v>
      </c>
      <c r="E4067" t="s">
        <v>744</v>
      </c>
      <c r="F4067" s="3">
        <v>302569.58</v>
      </c>
      <c r="G4067" s="3">
        <v>0</v>
      </c>
      <c r="H4067" s="3">
        <v>302569.58</v>
      </c>
      <c r="I4067" t="s">
        <v>1256</v>
      </c>
    </row>
    <row r="4068" spans="1:9" x14ac:dyDescent="0.35">
      <c r="A4068" s="2">
        <v>45657</v>
      </c>
      <c r="B4068">
        <v>98</v>
      </c>
      <c r="C4068">
        <v>1111001</v>
      </c>
      <c r="D4068" t="s">
        <v>16</v>
      </c>
      <c r="E4068" t="s">
        <v>427</v>
      </c>
      <c r="F4068" s="3">
        <v>0</v>
      </c>
      <c r="G4068" s="3">
        <v>2601</v>
      </c>
      <c r="H4068" s="3">
        <v>-2601</v>
      </c>
      <c r="I4068" t="s">
        <v>1256</v>
      </c>
    </row>
    <row r="4069" spans="1:9" x14ac:dyDescent="0.35">
      <c r="A4069" s="2">
        <v>45657</v>
      </c>
      <c r="B4069">
        <v>98</v>
      </c>
      <c r="C4069">
        <v>1111001</v>
      </c>
      <c r="D4069" t="s">
        <v>16</v>
      </c>
      <c r="E4069" t="s">
        <v>137</v>
      </c>
      <c r="F4069" s="3">
        <v>0</v>
      </c>
      <c r="G4069" s="3">
        <v>195679.8</v>
      </c>
      <c r="H4069" s="3">
        <v>-195679.8</v>
      </c>
      <c r="I4069" t="s">
        <v>1256</v>
      </c>
    </row>
    <row r="4070" spans="1:9" x14ac:dyDescent="0.35">
      <c r="A4070" s="2">
        <v>45657</v>
      </c>
      <c r="B4070">
        <v>98</v>
      </c>
      <c r="C4070">
        <v>4141003</v>
      </c>
      <c r="D4070" t="s">
        <v>141</v>
      </c>
      <c r="E4070" t="s">
        <v>142</v>
      </c>
      <c r="F4070" s="3">
        <v>0</v>
      </c>
      <c r="G4070" s="3">
        <v>408.59</v>
      </c>
      <c r="H4070" s="3">
        <v>-408.59</v>
      </c>
      <c r="I4070" t="s">
        <v>1256</v>
      </c>
    </row>
    <row r="4071" spans="1:9" x14ac:dyDescent="0.35">
      <c r="A4071" s="2">
        <v>45657</v>
      </c>
      <c r="B4071">
        <v>98</v>
      </c>
      <c r="C4071">
        <v>1111001</v>
      </c>
      <c r="D4071" t="s">
        <v>16</v>
      </c>
      <c r="E4071" t="s">
        <v>299</v>
      </c>
      <c r="F4071" s="3">
        <v>0</v>
      </c>
      <c r="G4071" s="3">
        <v>10749.7</v>
      </c>
      <c r="H4071" s="3">
        <v>-10749.7</v>
      </c>
      <c r="I4071" t="s">
        <v>1256</v>
      </c>
    </row>
    <row r="4072" spans="1:9" x14ac:dyDescent="0.35">
      <c r="A4072" s="2">
        <v>45657</v>
      </c>
      <c r="B4072">
        <v>98</v>
      </c>
      <c r="C4072">
        <v>1111001</v>
      </c>
      <c r="D4072" t="s">
        <v>16</v>
      </c>
      <c r="E4072" t="s">
        <v>1343</v>
      </c>
      <c r="F4072" s="3">
        <v>0</v>
      </c>
      <c r="G4072" s="3">
        <v>17252.63</v>
      </c>
      <c r="H4072" s="3">
        <v>-17252.63</v>
      </c>
      <c r="I4072" t="s">
        <v>1256</v>
      </c>
    </row>
    <row r="4073" spans="1:9" x14ac:dyDescent="0.35">
      <c r="A4073" s="2">
        <v>45657</v>
      </c>
      <c r="B4073">
        <v>98</v>
      </c>
      <c r="C4073">
        <v>1111001</v>
      </c>
      <c r="D4073" t="s">
        <v>16</v>
      </c>
      <c r="E4073" t="s">
        <v>1344</v>
      </c>
      <c r="F4073" s="3">
        <v>0</v>
      </c>
      <c r="G4073" s="3">
        <v>1086.21</v>
      </c>
      <c r="H4073" s="3">
        <v>-1086.21</v>
      </c>
      <c r="I4073" t="s">
        <v>1256</v>
      </c>
    </row>
    <row r="4074" spans="1:9" x14ac:dyDescent="0.35">
      <c r="A4074" s="2">
        <v>45657</v>
      </c>
      <c r="B4074">
        <v>98</v>
      </c>
      <c r="C4074">
        <v>1111001</v>
      </c>
      <c r="D4074" t="s">
        <v>16</v>
      </c>
      <c r="E4074" t="s">
        <v>1345</v>
      </c>
      <c r="F4074" s="3">
        <v>0</v>
      </c>
      <c r="G4074" s="3">
        <v>25200</v>
      </c>
      <c r="H4074" s="3">
        <v>-25200</v>
      </c>
      <c r="I4074" t="s">
        <v>1256</v>
      </c>
    </row>
    <row r="4075" spans="1:9" x14ac:dyDescent="0.35">
      <c r="A4075" s="2">
        <v>45657</v>
      </c>
      <c r="B4075">
        <v>98</v>
      </c>
      <c r="C4075">
        <v>1111001</v>
      </c>
      <c r="D4075" t="s">
        <v>16</v>
      </c>
      <c r="E4075" t="s">
        <v>1346</v>
      </c>
      <c r="F4075" s="3">
        <v>0</v>
      </c>
      <c r="G4075" s="3">
        <v>10000</v>
      </c>
      <c r="H4075" s="3">
        <v>-10000</v>
      </c>
      <c r="I4075" t="s">
        <v>1256</v>
      </c>
    </row>
    <row r="4076" spans="1:9" x14ac:dyDescent="0.35">
      <c r="A4076" s="2">
        <v>45657</v>
      </c>
      <c r="B4076">
        <v>98</v>
      </c>
      <c r="C4076">
        <v>1111001</v>
      </c>
      <c r="D4076" t="s">
        <v>16</v>
      </c>
      <c r="E4076" t="s">
        <v>139</v>
      </c>
      <c r="F4076" s="3">
        <v>0</v>
      </c>
      <c r="G4076" s="3">
        <v>23762.59</v>
      </c>
      <c r="H4076" s="3">
        <v>-23762.59</v>
      </c>
      <c r="I4076" t="s">
        <v>1256</v>
      </c>
    </row>
    <row r="4077" spans="1:9" x14ac:dyDescent="0.35">
      <c r="A4077" s="2">
        <v>45657</v>
      </c>
      <c r="B4077">
        <v>98</v>
      </c>
      <c r="C4077">
        <v>1111001</v>
      </c>
      <c r="D4077" t="s">
        <v>16</v>
      </c>
      <c r="E4077" t="s">
        <v>1347</v>
      </c>
      <c r="F4077" s="3">
        <v>0</v>
      </c>
      <c r="G4077" s="3">
        <v>1193</v>
      </c>
      <c r="H4077" s="3">
        <v>-1193</v>
      </c>
      <c r="I4077" t="s">
        <v>1256</v>
      </c>
    </row>
    <row r="4078" spans="1:9" x14ac:dyDescent="0.35">
      <c r="A4078" s="2">
        <v>45657</v>
      </c>
      <c r="B4078">
        <v>98</v>
      </c>
      <c r="C4078">
        <v>1111001</v>
      </c>
      <c r="D4078" t="s">
        <v>16</v>
      </c>
      <c r="E4078" t="s">
        <v>1348</v>
      </c>
      <c r="F4078" s="3">
        <v>0</v>
      </c>
      <c r="G4078" s="3">
        <v>8636.06</v>
      </c>
      <c r="H4078" s="3">
        <v>-8636.06</v>
      </c>
      <c r="I4078" t="s">
        <v>1256</v>
      </c>
    </row>
    <row r="4079" spans="1:9" x14ac:dyDescent="0.35">
      <c r="A4079" s="2">
        <v>45657</v>
      </c>
      <c r="B4079">
        <v>98</v>
      </c>
      <c r="C4079">
        <v>1111001</v>
      </c>
      <c r="D4079" t="s">
        <v>16</v>
      </c>
      <c r="E4079" t="s">
        <v>1349</v>
      </c>
      <c r="F4079" s="3">
        <v>0</v>
      </c>
      <c r="G4079" s="3">
        <v>6000</v>
      </c>
      <c r="H4079" s="3">
        <v>-6000</v>
      </c>
      <c r="I4079" t="s">
        <v>1256</v>
      </c>
    </row>
    <row r="4080" spans="1:9" x14ac:dyDescent="0.35">
      <c r="A4080" s="2">
        <v>45657</v>
      </c>
      <c r="B4080">
        <v>98</v>
      </c>
      <c r="C4080">
        <v>6121040</v>
      </c>
      <c r="D4080" t="s">
        <v>98</v>
      </c>
      <c r="E4080" t="s">
        <v>1350</v>
      </c>
      <c r="F4080" s="3">
        <v>0.5</v>
      </c>
      <c r="G4080" s="3">
        <v>0</v>
      </c>
      <c r="H4080" s="3">
        <v>0.5</v>
      </c>
      <c r="I4080" t="s">
        <v>114</v>
      </c>
    </row>
    <row r="4081" spans="1:9" x14ac:dyDescent="0.35">
      <c r="A4081" s="2">
        <v>45657</v>
      </c>
      <c r="B4081">
        <v>98</v>
      </c>
      <c r="C4081">
        <v>1112003</v>
      </c>
      <c r="D4081" t="s">
        <v>22</v>
      </c>
      <c r="E4081" t="s">
        <v>758</v>
      </c>
      <c r="F4081" s="3">
        <v>0</v>
      </c>
      <c r="G4081" s="3">
        <v>0.5</v>
      </c>
      <c r="H4081" s="3">
        <v>-0.5</v>
      </c>
      <c r="I4081" t="s">
        <v>114</v>
      </c>
    </row>
    <row r="4082" spans="1:9" x14ac:dyDescent="0.35">
      <c r="A4082" s="2">
        <v>45657</v>
      </c>
      <c r="B4082">
        <v>98</v>
      </c>
      <c r="C4082">
        <v>2161001</v>
      </c>
      <c r="D4082" t="s">
        <v>93</v>
      </c>
      <c r="E4082" t="s">
        <v>511</v>
      </c>
      <c r="F4082" s="3">
        <v>25756.17</v>
      </c>
      <c r="G4082" s="3">
        <v>0</v>
      </c>
      <c r="H4082" s="3">
        <v>25756.17</v>
      </c>
      <c r="I4082" t="s">
        <v>144</v>
      </c>
    </row>
    <row r="4083" spans="1:9" x14ac:dyDescent="0.35">
      <c r="A4083" s="2">
        <v>45657</v>
      </c>
      <c r="B4083">
        <v>98</v>
      </c>
      <c r="C4083">
        <v>2114001</v>
      </c>
      <c r="D4083" t="s">
        <v>97</v>
      </c>
      <c r="E4083" t="s">
        <v>511</v>
      </c>
      <c r="F4083" s="3">
        <v>0</v>
      </c>
      <c r="G4083" s="3">
        <v>25756.17</v>
      </c>
      <c r="H4083" s="3">
        <v>-25756.17</v>
      </c>
      <c r="I4083" t="s">
        <v>144</v>
      </c>
    </row>
    <row r="4084" spans="1:9" x14ac:dyDescent="0.35">
      <c r="A4084" s="2">
        <v>45657</v>
      </c>
      <c r="B4084">
        <v>98</v>
      </c>
      <c r="C4084">
        <v>2114001</v>
      </c>
      <c r="D4084" t="s">
        <v>97</v>
      </c>
      <c r="E4084" t="s">
        <v>1351</v>
      </c>
      <c r="F4084" s="3">
        <v>1955.16</v>
      </c>
      <c r="G4084" s="3">
        <v>0</v>
      </c>
      <c r="H4084" s="3">
        <v>1955.16</v>
      </c>
      <c r="I4084" t="s">
        <v>144</v>
      </c>
    </row>
    <row r="4085" spans="1:9" x14ac:dyDescent="0.35">
      <c r="A4085" s="2">
        <v>45657</v>
      </c>
      <c r="B4085">
        <v>98</v>
      </c>
      <c r="C4085">
        <v>2114010</v>
      </c>
      <c r="D4085" t="s">
        <v>48</v>
      </c>
      <c r="E4085" t="s">
        <v>1352</v>
      </c>
      <c r="F4085" s="3">
        <v>0</v>
      </c>
      <c r="G4085" s="3">
        <v>1955.16</v>
      </c>
      <c r="H4085" s="3">
        <v>-1955.16</v>
      </c>
      <c r="I4085" t="s">
        <v>144</v>
      </c>
    </row>
    <row r="4086" spans="1:9" x14ac:dyDescent="0.35">
      <c r="A4086" s="2">
        <v>45657</v>
      </c>
      <c r="B4086">
        <v>98</v>
      </c>
      <c r="C4086">
        <v>5131015</v>
      </c>
      <c r="D4086" t="s">
        <v>766</v>
      </c>
      <c r="E4086" t="s">
        <v>1353</v>
      </c>
      <c r="F4086" s="3">
        <v>4343.16</v>
      </c>
      <c r="G4086" s="3">
        <v>0</v>
      </c>
      <c r="H4086" s="3">
        <v>4343.16</v>
      </c>
      <c r="I4086" t="s">
        <v>950</v>
      </c>
    </row>
    <row r="4087" spans="1:9" x14ac:dyDescent="0.35">
      <c r="A4087" s="2">
        <v>45657</v>
      </c>
      <c r="B4087">
        <v>98</v>
      </c>
      <c r="C4087">
        <v>2124010</v>
      </c>
      <c r="D4087" t="s">
        <v>769</v>
      </c>
      <c r="E4087" t="s">
        <v>1353</v>
      </c>
      <c r="F4087" s="3">
        <v>0</v>
      </c>
      <c r="G4087" s="3">
        <v>4343.16</v>
      </c>
      <c r="H4087" s="3">
        <v>-4343.16</v>
      </c>
      <c r="I4087" t="s">
        <v>950</v>
      </c>
    </row>
    <row r="4088" spans="1:9" x14ac:dyDescent="0.35">
      <c r="A4088" s="2">
        <v>45657</v>
      </c>
      <c r="B4088">
        <v>98</v>
      </c>
      <c r="C4088">
        <v>6121001</v>
      </c>
      <c r="D4088" t="s">
        <v>1354</v>
      </c>
      <c r="E4088" t="s">
        <v>1355</v>
      </c>
      <c r="F4088" s="3">
        <v>14743.07</v>
      </c>
      <c r="G4088" s="3">
        <v>0</v>
      </c>
      <c r="H4088" s="3">
        <v>14743.07</v>
      </c>
      <c r="I4088" t="s">
        <v>144</v>
      </c>
    </row>
    <row r="4089" spans="1:9" x14ac:dyDescent="0.35">
      <c r="A4089" s="2">
        <v>45657</v>
      </c>
      <c r="B4089">
        <v>98</v>
      </c>
      <c r="C4089">
        <v>6121001</v>
      </c>
      <c r="D4089" t="s">
        <v>1354</v>
      </c>
      <c r="E4089" t="s">
        <v>1356</v>
      </c>
      <c r="F4089" s="3">
        <v>20075.490000000002</v>
      </c>
      <c r="G4089" s="3">
        <v>0</v>
      </c>
      <c r="H4089" s="3">
        <v>20075.490000000002</v>
      </c>
      <c r="I4089" t="s">
        <v>144</v>
      </c>
    </row>
    <row r="4090" spans="1:9" x14ac:dyDescent="0.35">
      <c r="A4090" s="2">
        <v>45657</v>
      </c>
      <c r="B4090">
        <v>98</v>
      </c>
      <c r="C4090">
        <v>6121001</v>
      </c>
      <c r="D4090" t="s">
        <v>1354</v>
      </c>
      <c r="E4090" t="s">
        <v>1357</v>
      </c>
      <c r="F4090" s="3">
        <v>18092.84</v>
      </c>
      <c r="G4090" s="3">
        <v>0</v>
      </c>
      <c r="H4090" s="3">
        <v>18092.84</v>
      </c>
      <c r="I4090" t="s">
        <v>144</v>
      </c>
    </row>
    <row r="4091" spans="1:9" x14ac:dyDescent="0.35">
      <c r="A4091" s="2">
        <v>45657</v>
      </c>
      <c r="B4091">
        <v>98</v>
      </c>
      <c r="C4091">
        <v>6121001</v>
      </c>
      <c r="D4091" t="s">
        <v>1354</v>
      </c>
      <c r="E4091" t="s">
        <v>1358</v>
      </c>
      <c r="F4091" s="3">
        <v>20769.37</v>
      </c>
      <c r="G4091" s="3">
        <v>0</v>
      </c>
      <c r="H4091" s="3">
        <v>20769.37</v>
      </c>
      <c r="I4091" t="s">
        <v>144</v>
      </c>
    </row>
    <row r="4092" spans="1:9" x14ac:dyDescent="0.35">
      <c r="A4092" s="2">
        <v>45657</v>
      </c>
      <c r="B4092">
        <v>98</v>
      </c>
      <c r="C4092">
        <v>6121001</v>
      </c>
      <c r="D4092" t="s">
        <v>1354</v>
      </c>
      <c r="E4092" t="s">
        <v>1359</v>
      </c>
      <c r="F4092" s="3">
        <v>22431.34</v>
      </c>
      <c r="G4092" s="3">
        <v>0</v>
      </c>
      <c r="H4092" s="3">
        <v>22431.34</v>
      </c>
      <c r="I4092" t="s">
        <v>144</v>
      </c>
    </row>
    <row r="4093" spans="1:9" x14ac:dyDescent="0.35">
      <c r="A4093" s="2">
        <v>45657</v>
      </c>
      <c r="B4093">
        <v>98</v>
      </c>
      <c r="C4093">
        <v>6121001</v>
      </c>
      <c r="D4093" t="s">
        <v>1354</v>
      </c>
      <c r="E4093" t="s">
        <v>1360</v>
      </c>
      <c r="F4093" s="3">
        <v>20470.099999999999</v>
      </c>
      <c r="G4093" s="3">
        <v>0</v>
      </c>
      <c r="H4093" s="3">
        <v>20470.099999999999</v>
      </c>
      <c r="I4093" t="s">
        <v>144</v>
      </c>
    </row>
    <row r="4094" spans="1:9" x14ac:dyDescent="0.35">
      <c r="A4094" s="2">
        <v>45657</v>
      </c>
      <c r="B4094">
        <v>98</v>
      </c>
      <c r="C4094">
        <v>6121001</v>
      </c>
      <c r="D4094" t="s">
        <v>1354</v>
      </c>
      <c r="E4094" t="s">
        <v>1361</v>
      </c>
      <c r="F4094" s="3">
        <v>19550.3</v>
      </c>
      <c r="G4094" s="3">
        <v>0</v>
      </c>
      <c r="H4094" s="3">
        <v>19550.3</v>
      </c>
      <c r="I4094" t="s">
        <v>144</v>
      </c>
    </row>
    <row r="4095" spans="1:9" x14ac:dyDescent="0.35">
      <c r="A4095" s="2">
        <v>45657</v>
      </c>
      <c r="B4095">
        <v>98</v>
      </c>
      <c r="C4095">
        <v>6121001</v>
      </c>
      <c r="D4095" t="s">
        <v>1354</v>
      </c>
      <c r="E4095" t="s">
        <v>1362</v>
      </c>
      <c r="F4095" s="3">
        <v>18377.21</v>
      </c>
      <c r="G4095" s="3">
        <v>0</v>
      </c>
      <c r="H4095" s="3">
        <v>18377.21</v>
      </c>
      <c r="I4095" t="s">
        <v>144</v>
      </c>
    </row>
    <row r="4096" spans="1:9" x14ac:dyDescent="0.35">
      <c r="A4096" s="2">
        <v>45657</v>
      </c>
      <c r="B4096">
        <v>98</v>
      </c>
      <c r="C4096">
        <v>6121001</v>
      </c>
      <c r="D4096" t="s">
        <v>1354</v>
      </c>
      <c r="E4096" t="s">
        <v>1363</v>
      </c>
      <c r="F4096" s="3">
        <v>22063.1</v>
      </c>
      <c r="G4096" s="3">
        <v>0</v>
      </c>
      <c r="H4096" s="3">
        <v>22063.1</v>
      </c>
      <c r="I4096" t="s">
        <v>144</v>
      </c>
    </row>
    <row r="4097" spans="1:9" x14ac:dyDescent="0.35">
      <c r="A4097" s="2">
        <v>45657</v>
      </c>
      <c r="B4097">
        <v>98</v>
      </c>
      <c r="C4097">
        <v>6121001</v>
      </c>
      <c r="D4097" t="s">
        <v>1354</v>
      </c>
      <c r="E4097" t="s">
        <v>1364</v>
      </c>
      <c r="F4097" s="3">
        <v>23435.26</v>
      </c>
      <c r="G4097" s="3">
        <v>0</v>
      </c>
      <c r="H4097" s="3">
        <v>23435.26</v>
      </c>
      <c r="I4097" t="s">
        <v>144</v>
      </c>
    </row>
    <row r="4098" spans="1:9" x14ac:dyDescent="0.35">
      <c r="A4098" s="2">
        <v>45657</v>
      </c>
      <c r="B4098">
        <v>98</v>
      </c>
      <c r="C4098">
        <v>6121001</v>
      </c>
      <c r="D4098" t="s">
        <v>1354</v>
      </c>
      <c r="E4098" t="s">
        <v>1365</v>
      </c>
      <c r="F4098" s="3">
        <v>25346.400000000001</v>
      </c>
      <c r="G4098" s="3">
        <v>0</v>
      </c>
      <c r="H4098" s="3">
        <v>25346.400000000001</v>
      </c>
      <c r="I4098" t="s">
        <v>144</v>
      </c>
    </row>
    <row r="4099" spans="1:9" x14ac:dyDescent="0.35">
      <c r="A4099" s="2">
        <v>45657</v>
      </c>
      <c r="B4099">
        <v>98</v>
      </c>
      <c r="C4099">
        <v>6121001</v>
      </c>
      <c r="D4099" t="s">
        <v>1354</v>
      </c>
      <c r="E4099" t="s">
        <v>1366</v>
      </c>
      <c r="F4099" s="3">
        <v>21545.52</v>
      </c>
      <c r="G4099" s="3">
        <v>0</v>
      </c>
      <c r="H4099" s="3">
        <v>21545.52</v>
      </c>
      <c r="I4099" t="s">
        <v>144</v>
      </c>
    </row>
    <row r="4100" spans="1:9" x14ac:dyDescent="0.35">
      <c r="A4100" s="2">
        <v>45657</v>
      </c>
      <c r="B4100">
        <v>98</v>
      </c>
      <c r="C4100">
        <v>2114001</v>
      </c>
      <c r="D4100" t="s">
        <v>97</v>
      </c>
      <c r="E4100" t="s">
        <v>1367</v>
      </c>
      <c r="F4100" s="3">
        <v>0</v>
      </c>
      <c r="G4100" s="3">
        <v>246900</v>
      </c>
      <c r="H4100" s="3">
        <v>-246900</v>
      </c>
      <c r="I4100" t="s">
        <v>144</v>
      </c>
    </row>
    <row r="4101" spans="1:9" x14ac:dyDescent="0.35">
      <c r="A4101" s="2">
        <v>45657</v>
      </c>
      <c r="B4101">
        <v>98</v>
      </c>
      <c r="C4101">
        <v>5131006</v>
      </c>
      <c r="D4101" t="s">
        <v>125</v>
      </c>
      <c r="E4101" t="s">
        <v>1368</v>
      </c>
      <c r="F4101" s="3">
        <v>9565</v>
      </c>
      <c r="G4101" s="3">
        <v>0</v>
      </c>
      <c r="H4101" s="3">
        <v>9565</v>
      </c>
      <c r="I4101" t="s">
        <v>144</v>
      </c>
    </row>
    <row r="4102" spans="1:9" x14ac:dyDescent="0.35">
      <c r="A4102" s="2">
        <v>45657</v>
      </c>
      <c r="B4102">
        <v>98</v>
      </c>
      <c r="C4102">
        <v>5131006</v>
      </c>
      <c r="D4102" t="s">
        <v>125</v>
      </c>
      <c r="E4102" t="s">
        <v>1369</v>
      </c>
      <c r="F4102" s="3">
        <v>13024</v>
      </c>
      <c r="G4102" s="3">
        <v>0</v>
      </c>
      <c r="H4102" s="3">
        <v>13024</v>
      </c>
      <c r="I4102" t="s">
        <v>144</v>
      </c>
    </row>
    <row r="4103" spans="1:9" x14ac:dyDescent="0.35">
      <c r="A4103" s="2">
        <v>45657</v>
      </c>
      <c r="B4103">
        <v>98</v>
      </c>
      <c r="C4103">
        <v>5131006</v>
      </c>
      <c r="D4103" t="s">
        <v>125</v>
      </c>
      <c r="E4103" t="s">
        <v>1370</v>
      </c>
      <c r="F4103" s="3">
        <v>11738</v>
      </c>
      <c r="G4103" s="3">
        <v>0</v>
      </c>
      <c r="H4103" s="3">
        <v>11738</v>
      </c>
      <c r="I4103" t="s">
        <v>144</v>
      </c>
    </row>
    <row r="4104" spans="1:9" x14ac:dyDescent="0.35">
      <c r="A4104" s="2">
        <v>45657</v>
      </c>
      <c r="B4104">
        <v>98</v>
      </c>
      <c r="C4104">
        <v>5131006</v>
      </c>
      <c r="D4104" t="s">
        <v>125</v>
      </c>
      <c r="E4104" t="s">
        <v>1371</v>
      </c>
      <c r="F4104" s="3">
        <v>13474</v>
      </c>
      <c r="G4104" s="3">
        <v>0</v>
      </c>
      <c r="H4104" s="3">
        <v>13474</v>
      </c>
      <c r="I4104" t="s">
        <v>144</v>
      </c>
    </row>
    <row r="4105" spans="1:9" x14ac:dyDescent="0.35">
      <c r="A4105" s="2">
        <v>45657</v>
      </c>
      <c r="B4105">
        <v>98</v>
      </c>
      <c r="C4105">
        <v>5131006</v>
      </c>
      <c r="D4105" t="s">
        <v>125</v>
      </c>
      <c r="E4105" t="s">
        <v>1372</v>
      </c>
      <c r="F4105" s="3">
        <v>14552</v>
      </c>
      <c r="G4105" s="3">
        <v>0</v>
      </c>
      <c r="H4105" s="3">
        <v>14552</v>
      </c>
      <c r="I4105" t="s">
        <v>144</v>
      </c>
    </row>
    <row r="4106" spans="1:9" x14ac:dyDescent="0.35">
      <c r="A4106" s="2">
        <v>45657</v>
      </c>
      <c r="B4106">
        <v>98</v>
      </c>
      <c r="C4106">
        <v>5131006</v>
      </c>
      <c r="D4106" t="s">
        <v>125</v>
      </c>
      <c r="E4106" t="s">
        <v>1373</v>
      </c>
      <c r="F4106" s="3">
        <v>13280</v>
      </c>
      <c r="G4106" s="3">
        <v>0</v>
      </c>
      <c r="H4106" s="3">
        <v>13280</v>
      </c>
      <c r="I4106" t="s">
        <v>144</v>
      </c>
    </row>
    <row r="4107" spans="1:9" x14ac:dyDescent="0.35">
      <c r="A4107" s="2">
        <v>45657</v>
      </c>
      <c r="B4107">
        <v>98</v>
      </c>
      <c r="C4107">
        <v>5131006</v>
      </c>
      <c r="D4107" t="s">
        <v>125</v>
      </c>
      <c r="E4107" t="s">
        <v>1374</v>
      </c>
      <c r="F4107" s="3">
        <v>12683</v>
      </c>
      <c r="G4107" s="3">
        <v>0</v>
      </c>
      <c r="H4107" s="3">
        <v>12683</v>
      </c>
      <c r="I4107" t="s">
        <v>144</v>
      </c>
    </row>
    <row r="4108" spans="1:9" x14ac:dyDescent="0.35">
      <c r="A4108" s="2">
        <v>45657</v>
      </c>
      <c r="B4108">
        <v>98</v>
      </c>
      <c r="C4108">
        <v>5131006</v>
      </c>
      <c r="D4108" t="s">
        <v>125</v>
      </c>
      <c r="E4108" t="s">
        <v>1375</v>
      </c>
      <c r="F4108" s="3">
        <v>11922</v>
      </c>
      <c r="G4108" s="3">
        <v>0</v>
      </c>
      <c r="H4108" s="3">
        <v>11922</v>
      </c>
      <c r="I4108" t="s">
        <v>144</v>
      </c>
    </row>
    <row r="4109" spans="1:9" x14ac:dyDescent="0.35">
      <c r="A4109" s="2">
        <v>45657</v>
      </c>
      <c r="B4109">
        <v>98</v>
      </c>
      <c r="C4109">
        <v>5131006</v>
      </c>
      <c r="D4109" t="s">
        <v>125</v>
      </c>
      <c r="E4109" t="s">
        <v>1376</v>
      </c>
      <c r="F4109" s="3">
        <v>14314</v>
      </c>
      <c r="G4109" s="3">
        <v>0</v>
      </c>
      <c r="H4109" s="3">
        <v>14314</v>
      </c>
      <c r="I4109" t="s">
        <v>144</v>
      </c>
    </row>
    <row r="4110" spans="1:9" x14ac:dyDescent="0.35">
      <c r="A4110" s="2">
        <v>45657</v>
      </c>
      <c r="B4110">
        <v>98</v>
      </c>
      <c r="C4110">
        <v>5131006</v>
      </c>
      <c r="D4110" t="s">
        <v>125</v>
      </c>
      <c r="E4110" t="s">
        <v>1377</v>
      </c>
      <c r="F4110" s="3">
        <v>15204</v>
      </c>
      <c r="G4110" s="3">
        <v>0</v>
      </c>
      <c r="H4110" s="3">
        <v>15204</v>
      </c>
      <c r="I4110" t="s">
        <v>144</v>
      </c>
    </row>
    <row r="4111" spans="1:9" x14ac:dyDescent="0.35">
      <c r="A4111" s="2">
        <v>45657</v>
      </c>
      <c r="B4111">
        <v>98</v>
      </c>
      <c r="C4111">
        <v>5131006</v>
      </c>
      <c r="D4111" t="s">
        <v>125</v>
      </c>
      <c r="E4111" t="s">
        <v>1378</v>
      </c>
      <c r="F4111" s="3">
        <v>16444</v>
      </c>
      <c r="G4111" s="3">
        <v>0</v>
      </c>
      <c r="H4111" s="3">
        <v>16444</v>
      </c>
      <c r="I4111" t="s">
        <v>144</v>
      </c>
    </row>
    <row r="4112" spans="1:9" x14ac:dyDescent="0.35">
      <c r="A4112" s="2">
        <v>45657</v>
      </c>
      <c r="B4112">
        <v>98</v>
      </c>
      <c r="C4112">
        <v>5131006</v>
      </c>
      <c r="D4112" t="s">
        <v>125</v>
      </c>
      <c r="E4112" t="s">
        <v>1379</v>
      </c>
      <c r="F4112" s="3">
        <v>13978</v>
      </c>
      <c r="G4112" s="3">
        <v>0</v>
      </c>
      <c r="H4112" s="3">
        <v>13978</v>
      </c>
      <c r="I4112" t="s">
        <v>144</v>
      </c>
    </row>
    <row r="4113" spans="1:9" x14ac:dyDescent="0.35">
      <c r="A4113" s="2">
        <v>45657</v>
      </c>
      <c r="B4113">
        <v>98</v>
      </c>
      <c r="C4113">
        <v>2114001</v>
      </c>
      <c r="D4113" t="s">
        <v>97</v>
      </c>
      <c r="E4113" t="s">
        <v>1380</v>
      </c>
      <c r="F4113" s="3">
        <v>0</v>
      </c>
      <c r="G4113" s="3">
        <v>160178</v>
      </c>
      <c r="H4113" s="3">
        <v>-160178</v>
      </c>
      <c r="I4113" t="s">
        <v>144</v>
      </c>
    </row>
    <row r="4114" spans="1:9" x14ac:dyDescent="0.35">
      <c r="A4114" s="2">
        <v>45657</v>
      </c>
      <c r="B4114">
        <v>98</v>
      </c>
      <c r="C4114">
        <v>2131002</v>
      </c>
      <c r="D4114" t="s">
        <v>31</v>
      </c>
      <c r="E4114" t="s">
        <v>1381</v>
      </c>
      <c r="F4114" s="3">
        <v>495.43</v>
      </c>
      <c r="G4114" s="3">
        <v>0</v>
      </c>
      <c r="H4114" s="3">
        <v>495.43</v>
      </c>
      <c r="I4114" t="s">
        <v>1382</v>
      </c>
    </row>
    <row r="4115" spans="1:9" x14ac:dyDescent="0.35">
      <c r="A4115" s="2">
        <v>45657</v>
      </c>
      <c r="B4115">
        <v>98</v>
      </c>
      <c r="C4115">
        <v>2131003</v>
      </c>
      <c r="D4115" t="s">
        <v>32</v>
      </c>
      <c r="E4115" t="s">
        <v>1381</v>
      </c>
      <c r="F4115" s="3">
        <v>57.2</v>
      </c>
      <c r="G4115" s="3">
        <v>0</v>
      </c>
      <c r="H4115" s="3">
        <v>57.2</v>
      </c>
      <c r="I4115" t="s">
        <v>1382</v>
      </c>
    </row>
    <row r="4116" spans="1:9" x14ac:dyDescent="0.35">
      <c r="A4116" s="2">
        <v>45657</v>
      </c>
      <c r="B4116">
        <v>98</v>
      </c>
      <c r="C4116">
        <v>2131004</v>
      </c>
      <c r="D4116" t="s">
        <v>33</v>
      </c>
      <c r="E4116" t="s">
        <v>1383</v>
      </c>
      <c r="F4116" s="3">
        <v>149.41</v>
      </c>
      <c r="G4116" s="3">
        <v>0</v>
      </c>
      <c r="H4116" s="3">
        <v>149.41</v>
      </c>
      <c r="I4116" t="s">
        <v>1382</v>
      </c>
    </row>
    <row r="4117" spans="1:9" x14ac:dyDescent="0.35">
      <c r="A4117" s="2">
        <v>45657</v>
      </c>
      <c r="B4117">
        <v>98</v>
      </c>
      <c r="C4117">
        <v>2131005</v>
      </c>
      <c r="D4117" t="s">
        <v>34</v>
      </c>
      <c r="E4117" t="s">
        <v>1384</v>
      </c>
      <c r="F4117" s="3">
        <v>78.3</v>
      </c>
      <c r="G4117" s="3">
        <v>0</v>
      </c>
      <c r="H4117" s="3">
        <v>78.3</v>
      </c>
      <c r="I4117" t="s">
        <v>1382</v>
      </c>
    </row>
    <row r="4118" spans="1:9" x14ac:dyDescent="0.35">
      <c r="A4118" s="2">
        <v>45657</v>
      </c>
      <c r="B4118">
        <v>98</v>
      </c>
      <c r="C4118">
        <v>2141001</v>
      </c>
      <c r="D4118" t="s">
        <v>35</v>
      </c>
      <c r="E4118" t="s">
        <v>1385</v>
      </c>
      <c r="F4118" s="3">
        <v>0</v>
      </c>
      <c r="G4118" s="3">
        <v>781.05</v>
      </c>
      <c r="H4118" s="3">
        <v>-781.05</v>
      </c>
      <c r="I4118" t="s">
        <v>1382</v>
      </c>
    </row>
    <row r="4119" spans="1:9" x14ac:dyDescent="0.35">
      <c r="A4119" s="2">
        <v>45657</v>
      </c>
      <c r="B4119">
        <v>98</v>
      </c>
      <c r="C4119">
        <v>2141002</v>
      </c>
      <c r="D4119" t="s">
        <v>36</v>
      </c>
      <c r="E4119" t="s">
        <v>1386</v>
      </c>
      <c r="F4119" s="3">
        <v>0</v>
      </c>
      <c r="G4119" s="3">
        <v>94.9</v>
      </c>
      <c r="H4119" s="3">
        <v>-94.9</v>
      </c>
      <c r="I4119" t="s">
        <v>1382</v>
      </c>
    </row>
    <row r="4120" spans="1:9" x14ac:dyDescent="0.35">
      <c r="A4120" s="2">
        <v>45657</v>
      </c>
      <c r="B4120">
        <v>98</v>
      </c>
      <c r="C4120">
        <v>2141003</v>
      </c>
      <c r="D4120" t="s">
        <v>37</v>
      </c>
      <c r="E4120" t="s">
        <v>1387</v>
      </c>
      <c r="F4120" s="3">
        <v>0</v>
      </c>
      <c r="G4120" s="3">
        <v>33.44</v>
      </c>
      <c r="H4120" s="3">
        <v>-33.44</v>
      </c>
      <c r="I4120" t="s">
        <v>1382</v>
      </c>
    </row>
    <row r="4121" spans="1:9" x14ac:dyDescent="0.35">
      <c r="A4121" s="2">
        <v>45657</v>
      </c>
      <c r="B4121">
        <v>98</v>
      </c>
      <c r="C4121">
        <v>5131012</v>
      </c>
      <c r="D4121" t="s">
        <v>206</v>
      </c>
      <c r="E4121" t="s">
        <v>1381</v>
      </c>
      <c r="F4121" s="3">
        <v>228.42</v>
      </c>
      <c r="G4121" s="3">
        <v>0</v>
      </c>
      <c r="H4121" s="3">
        <v>228.42</v>
      </c>
      <c r="I4121" t="s">
        <v>1388</v>
      </c>
    </row>
    <row r="4122" spans="1:9" x14ac:dyDescent="0.35">
      <c r="A4122" s="2">
        <v>45657</v>
      </c>
      <c r="B4122">
        <v>98</v>
      </c>
      <c r="C4122">
        <v>5131014</v>
      </c>
      <c r="D4122" t="s">
        <v>207</v>
      </c>
      <c r="E4122" t="s">
        <v>1383</v>
      </c>
      <c r="F4122" s="3">
        <v>0</v>
      </c>
      <c r="G4122" s="3">
        <v>54.51</v>
      </c>
      <c r="H4122" s="3">
        <v>-54.51</v>
      </c>
      <c r="I4122" t="s">
        <v>1388</v>
      </c>
    </row>
    <row r="4123" spans="1:9" x14ac:dyDescent="0.35">
      <c r="A4123" s="2">
        <v>45657</v>
      </c>
      <c r="B4123">
        <v>98</v>
      </c>
      <c r="C4123">
        <v>5131013</v>
      </c>
      <c r="D4123" t="s">
        <v>92</v>
      </c>
      <c r="E4123" t="s">
        <v>1384</v>
      </c>
      <c r="F4123" s="3">
        <v>0</v>
      </c>
      <c r="G4123" s="3">
        <v>44.86</v>
      </c>
      <c r="H4123" s="3">
        <v>-44.86</v>
      </c>
      <c r="I4123" t="s">
        <v>1388</v>
      </c>
    </row>
    <row r="4124" spans="1:9" x14ac:dyDescent="0.35">
      <c r="A4124" s="2">
        <v>45657</v>
      </c>
      <c r="B4124">
        <v>98</v>
      </c>
      <c r="C4124">
        <v>5131008</v>
      </c>
      <c r="D4124" t="s">
        <v>89</v>
      </c>
      <c r="E4124" t="s">
        <v>1819</v>
      </c>
      <c r="F4124" s="3">
        <v>80437.5</v>
      </c>
      <c r="G4124" s="3">
        <v>0</v>
      </c>
      <c r="H4124" s="3">
        <v>80437.5</v>
      </c>
      <c r="I4124" t="s">
        <v>1389</v>
      </c>
    </row>
    <row r="4125" spans="1:9" x14ac:dyDescent="0.35">
      <c r="A4125" s="2">
        <v>45657</v>
      </c>
      <c r="B4125">
        <v>98</v>
      </c>
      <c r="C4125">
        <v>5131008</v>
      </c>
      <c r="D4125" t="s">
        <v>89</v>
      </c>
      <c r="E4125" t="s">
        <v>1820</v>
      </c>
      <c r="F4125" s="3">
        <v>61875</v>
      </c>
      <c r="G4125" s="3">
        <v>0</v>
      </c>
      <c r="H4125" s="3">
        <v>61875</v>
      </c>
      <c r="I4125" t="s">
        <v>1389</v>
      </c>
    </row>
    <row r="4126" spans="1:9" x14ac:dyDescent="0.35">
      <c r="A4126" s="2">
        <v>45657</v>
      </c>
      <c r="B4126">
        <v>98</v>
      </c>
      <c r="C4126">
        <v>5131008</v>
      </c>
      <c r="D4126" t="s">
        <v>89</v>
      </c>
      <c r="E4126" t="s">
        <v>1821</v>
      </c>
      <c r="F4126" s="3">
        <v>37125</v>
      </c>
      <c r="G4126" s="3">
        <v>0</v>
      </c>
      <c r="H4126" s="3">
        <v>37125</v>
      </c>
      <c r="I4126" t="s">
        <v>1389</v>
      </c>
    </row>
    <row r="4127" spans="1:9" x14ac:dyDescent="0.35">
      <c r="A4127" s="2">
        <v>45657</v>
      </c>
      <c r="B4127">
        <v>98</v>
      </c>
      <c r="C4127">
        <v>5131008</v>
      </c>
      <c r="D4127" t="s">
        <v>89</v>
      </c>
      <c r="E4127" t="s">
        <v>1822</v>
      </c>
      <c r="F4127" s="3">
        <v>48262.5</v>
      </c>
      <c r="G4127" s="3">
        <v>0</v>
      </c>
      <c r="H4127" s="3">
        <v>48262.5</v>
      </c>
      <c r="I4127" t="s">
        <v>1389</v>
      </c>
    </row>
    <row r="4128" spans="1:9" x14ac:dyDescent="0.35">
      <c r="A4128" s="2">
        <v>45657</v>
      </c>
      <c r="B4128">
        <v>98</v>
      </c>
      <c r="C4128">
        <v>5131008</v>
      </c>
      <c r="D4128" t="s">
        <v>89</v>
      </c>
      <c r="E4128" t="s">
        <v>1823</v>
      </c>
      <c r="F4128" s="3">
        <v>24750</v>
      </c>
      <c r="G4128" s="3">
        <v>0</v>
      </c>
      <c r="H4128" s="3">
        <v>24750</v>
      </c>
      <c r="I4128" t="s">
        <v>1389</v>
      </c>
    </row>
    <row r="4129" spans="1:9" x14ac:dyDescent="0.35">
      <c r="A4129" s="2">
        <v>45657</v>
      </c>
      <c r="B4129">
        <v>98</v>
      </c>
      <c r="C4129">
        <v>5131008</v>
      </c>
      <c r="D4129" t="s">
        <v>89</v>
      </c>
      <c r="E4129" t="s">
        <v>1824</v>
      </c>
      <c r="F4129" s="3">
        <v>32175</v>
      </c>
      <c r="G4129" s="3">
        <v>0</v>
      </c>
      <c r="H4129" s="3">
        <v>32175</v>
      </c>
      <c r="I4129" t="s">
        <v>1389</v>
      </c>
    </row>
    <row r="4130" spans="1:9" x14ac:dyDescent="0.35">
      <c r="A4130" s="2">
        <v>45657</v>
      </c>
      <c r="B4130">
        <v>98</v>
      </c>
      <c r="C4130">
        <v>2241001</v>
      </c>
      <c r="D4130" t="s">
        <v>40</v>
      </c>
      <c r="E4130" t="s">
        <v>1819</v>
      </c>
      <c r="F4130" s="3">
        <v>0</v>
      </c>
      <c r="G4130" s="3">
        <v>80437.5</v>
      </c>
      <c r="H4130" s="3">
        <v>-80437.5</v>
      </c>
      <c r="I4130" t="s">
        <v>1389</v>
      </c>
    </row>
    <row r="4131" spans="1:9" x14ac:dyDescent="0.35">
      <c r="A4131" s="2">
        <v>45657</v>
      </c>
      <c r="B4131">
        <v>98</v>
      </c>
      <c r="C4131">
        <v>2241001</v>
      </c>
      <c r="D4131" t="s">
        <v>40</v>
      </c>
      <c r="E4131" t="s">
        <v>1820</v>
      </c>
      <c r="F4131" s="3">
        <v>0</v>
      </c>
      <c r="G4131" s="3">
        <v>61875</v>
      </c>
      <c r="H4131" s="3">
        <v>-61875</v>
      </c>
      <c r="I4131" t="s">
        <v>1389</v>
      </c>
    </row>
    <row r="4132" spans="1:9" x14ac:dyDescent="0.35">
      <c r="A4132" s="2">
        <v>45657</v>
      </c>
      <c r="B4132">
        <v>98</v>
      </c>
      <c r="C4132">
        <v>2241001</v>
      </c>
      <c r="D4132" t="s">
        <v>40</v>
      </c>
      <c r="E4132" t="s">
        <v>1821</v>
      </c>
      <c r="F4132" s="3">
        <v>0</v>
      </c>
      <c r="G4132" s="3">
        <v>37125</v>
      </c>
      <c r="H4132" s="3">
        <v>-37125</v>
      </c>
      <c r="I4132" t="s">
        <v>1389</v>
      </c>
    </row>
    <row r="4133" spans="1:9" x14ac:dyDescent="0.35">
      <c r="A4133" s="2">
        <v>45657</v>
      </c>
      <c r="B4133">
        <v>98</v>
      </c>
      <c r="C4133">
        <v>2241001</v>
      </c>
      <c r="D4133" t="s">
        <v>40</v>
      </c>
      <c r="E4133" t="s">
        <v>1822</v>
      </c>
      <c r="F4133" s="3">
        <v>0</v>
      </c>
      <c r="G4133" s="3">
        <v>48262.5</v>
      </c>
      <c r="H4133" s="3">
        <v>-48262.5</v>
      </c>
      <c r="I4133" t="s">
        <v>1389</v>
      </c>
    </row>
    <row r="4134" spans="1:9" x14ac:dyDescent="0.35">
      <c r="A4134" s="2">
        <v>45657</v>
      </c>
      <c r="B4134">
        <v>98</v>
      </c>
      <c r="C4134">
        <v>2241001</v>
      </c>
      <c r="D4134" t="s">
        <v>40</v>
      </c>
      <c r="E4134" t="s">
        <v>1823</v>
      </c>
      <c r="F4134" s="3">
        <v>0</v>
      </c>
      <c r="G4134" s="3">
        <v>24750</v>
      </c>
      <c r="H4134" s="3">
        <v>-24750</v>
      </c>
      <c r="I4134" t="s">
        <v>1389</v>
      </c>
    </row>
    <row r="4135" spans="1:9" x14ac:dyDescent="0.35">
      <c r="A4135" s="2">
        <v>45657</v>
      </c>
      <c r="B4135">
        <v>98</v>
      </c>
      <c r="C4135">
        <v>2241001</v>
      </c>
      <c r="D4135" t="s">
        <v>40</v>
      </c>
      <c r="E4135" t="s">
        <v>1824</v>
      </c>
      <c r="F4135" s="3">
        <v>0</v>
      </c>
      <c r="G4135" s="3">
        <v>32175</v>
      </c>
      <c r="H4135" s="3">
        <v>-32175</v>
      </c>
      <c r="I4135" t="s">
        <v>1389</v>
      </c>
    </row>
    <row r="4136" spans="1:9" x14ac:dyDescent="0.35">
      <c r="A4136" s="2">
        <v>45657</v>
      </c>
      <c r="B4136">
        <v>98</v>
      </c>
      <c r="C4136">
        <v>1142001</v>
      </c>
      <c r="D4136" t="s">
        <v>199</v>
      </c>
      <c r="E4136" t="s">
        <v>1390</v>
      </c>
      <c r="F4136" s="3">
        <v>7789.95</v>
      </c>
      <c r="G4136" s="3">
        <v>0</v>
      </c>
      <c r="H4136" s="3">
        <v>7789.95</v>
      </c>
      <c r="I4136" t="s">
        <v>1382</v>
      </c>
    </row>
    <row r="4137" spans="1:9" x14ac:dyDescent="0.35">
      <c r="A4137" s="2">
        <v>45657</v>
      </c>
      <c r="B4137">
        <v>98</v>
      </c>
      <c r="C4137">
        <v>6121040</v>
      </c>
      <c r="D4137" t="s">
        <v>98</v>
      </c>
      <c r="E4137" t="s">
        <v>1390</v>
      </c>
      <c r="F4137" s="3">
        <v>0</v>
      </c>
      <c r="G4137" s="3">
        <v>7789.95</v>
      </c>
      <c r="H4137" s="3">
        <v>-7789.95</v>
      </c>
      <c r="I4137" t="s">
        <v>1382</v>
      </c>
    </row>
    <row r="4138" spans="1:9" x14ac:dyDescent="0.35">
      <c r="A4138" s="2">
        <v>45657</v>
      </c>
      <c r="B4138">
        <v>98</v>
      </c>
      <c r="C4138">
        <v>2124004</v>
      </c>
      <c r="D4138" t="s">
        <v>29</v>
      </c>
      <c r="E4138" t="s">
        <v>1391</v>
      </c>
      <c r="F4138" s="3">
        <v>14.27</v>
      </c>
      <c r="G4138" s="3">
        <v>0</v>
      </c>
      <c r="H4138" s="3">
        <v>14.27</v>
      </c>
      <c r="I4138" t="s">
        <v>1382</v>
      </c>
    </row>
    <row r="4139" spans="1:9" x14ac:dyDescent="0.35">
      <c r="A4139" s="2">
        <v>45657</v>
      </c>
      <c r="B4139">
        <v>98</v>
      </c>
      <c r="C4139">
        <v>1142004</v>
      </c>
      <c r="D4139" t="s">
        <v>83</v>
      </c>
      <c r="E4139" t="s">
        <v>1391</v>
      </c>
      <c r="F4139" s="3">
        <v>0</v>
      </c>
      <c r="G4139" s="3">
        <v>14.27</v>
      </c>
      <c r="H4139" s="3">
        <v>-14.27</v>
      </c>
      <c r="I4139" t="s">
        <v>1382</v>
      </c>
    </row>
    <row r="4140" spans="1:9" x14ac:dyDescent="0.35">
      <c r="A4140" s="2">
        <v>45657</v>
      </c>
      <c r="B4140">
        <v>98</v>
      </c>
      <c r="C4140">
        <v>1123001</v>
      </c>
      <c r="D4140" t="s">
        <v>1392</v>
      </c>
      <c r="E4140" t="s">
        <v>1393</v>
      </c>
      <c r="F4140" s="3">
        <v>436067.36</v>
      </c>
      <c r="G4140" s="3">
        <v>0</v>
      </c>
      <c r="H4140" s="3">
        <v>436067.36</v>
      </c>
      <c r="I4140" t="s">
        <v>1382</v>
      </c>
    </row>
    <row r="4141" spans="1:9" x14ac:dyDescent="0.35">
      <c r="A4141" s="2">
        <v>45657</v>
      </c>
      <c r="B4141">
        <v>98</v>
      </c>
      <c r="C4141">
        <v>2111002</v>
      </c>
      <c r="D4141" t="s">
        <v>424</v>
      </c>
      <c r="E4141" t="s">
        <v>1393</v>
      </c>
      <c r="F4141" s="3">
        <v>0</v>
      </c>
      <c r="G4141" s="3">
        <v>4291.1000000000004</v>
      </c>
      <c r="H4141" s="3">
        <v>-4291.1000000000004</v>
      </c>
      <c r="I4141" t="s">
        <v>1382</v>
      </c>
    </row>
    <row r="4142" spans="1:9" x14ac:dyDescent="0.35">
      <c r="A4142" s="2">
        <v>45657</v>
      </c>
      <c r="B4142">
        <v>98</v>
      </c>
      <c r="C4142">
        <v>2114001</v>
      </c>
      <c r="D4142" t="s">
        <v>97</v>
      </c>
      <c r="E4142" t="s">
        <v>1393</v>
      </c>
      <c r="F4142" s="3">
        <v>0</v>
      </c>
      <c r="G4142" s="3">
        <v>431768.04</v>
      </c>
      <c r="H4142" s="3">
        <v>-431768.04</v>
      </c>
      <c r="I4142" t="s">
        <v>1382</v>
      </c>
    </row>
    <row r="4143" spans="1:9" x14ac:dyDescent="0.35">
      <c r="A4143" s="2">
        <v>45657</v>
      </c>
      <c r="B4143">
        <v>98</v>
      </c>
      <c r="C4143">
        <v>2114010</v>
      </c>
      <c r="D4143" t="s">
        <v>48</v>
      </c>
      <c r="E4143" t="s">
        <v>1393</v>
      </c>
      <c r="F4143" s="3">
        <v>0</v>
      </c>
      <c r="G4143" s="3">
        <v>8.2200000000000006</v>
      </c>
      <c r="H4143" s="3">
        <v>-8.2200000000000006</v>
      </c>
      <c r="I4143" t="s">
        <v>1382</v>
      </c>
    </row>
    <row r="4144" spans="1:9" x14ac:dyDescent="0.35">
      <c r="A4144" s="2">
        <v>45657</v>
      </c>
      <c r="B4144">
        <v>98</v>
      </c>
      <c r="C4144">
        <v>6141001</v>
      </c>
      <c r="D4144" t="s">
        <v>1394</v>
      </c>
      <c r="E4144" t="s">
        <v>1395</v>
      </c>
      <c r="F4144" s="3">
        <v>40371.06</v>
      </c>
      <c r="G4144" s="3">
        <v>0</v>
      </c>
      <c r="H4144" s="3">
        <v>40371.06</v>
      </c>
      <c r="I4144" t="s">
        <v>503</v>
      </c>
    </row>
    <row r="4145" spans="1:9" x14ac:dyDescent="0.35">
      <c r="A4145" s="2">
        <v>45657</v>
      </c>
      <c r="B4145">
        <v>98</v>
      </c>
      <c r="C4145">
        <v>1142001</v>
      </c>
      <c r="D4145" t="s">
        <v>199</v>
      </c>
      <c r="E4145" t="s">
        <v>1395</v>
      </c>
      <c r="F4145" s="3">
        <v>0</v>
      </c>
      <c r="G4145" s="3">
        <v>16277.34</v>
      </c>
      <c r="H4145" s="3">
        <v>-16277.34</v>
      </c>
      <c r="I4145" t="s">
        <v>503</v>
      </c>
    </row>
    <row r="4146" spans="1:9" x14ac:dyDescent="0.35">
      <c r="A4146" s="2">
        <v>45657</v>
      </c>
      <c r="B4146">
        <v>98</v>
      </c>
      <c r="C4146">
        <v>1142003</v>
      </c>
      <c r="D4146" t="s">
        <v>1396</v>
      </c>
      <c r="E4146" t="s">
        <v>1395</v>
      </c>
      <c r="F4146" s="3">
        <v>0</v>
      </c>
      <c r="G4146" s="3">
        <v>498.55</v>
      </c>
      <c r="H4146" s="3">
        <v>-498.55</v>
      </c>
      <c r="I4146" t="s">
        <v>503</v>
      </c>
    </row>
    <row r="4147" spans="1:9" x14ac:dyDescent="0.35">
      <c r="A4147" s="2">
        <v>45657</v>
      </c>
      <c r="B4147">
        <v>98</v>
      </c>
      <c r="C4147">
        <v>1142004</v>
      </c>
      <c r="D4147" t="s">
        <v>83</v>
      </c>
      <c r="E4147" t="s">
        <v>1395</v>
      </c>
      <c r="F4147" s="3">
        <v>0</v>
      </c>
      <c r="G4147" s="3">
        <v>24255</v>
      </c>
      <c r="H4147" s="3">
        <v>-24255</v>
      </c>
      <c r="I4147" t="s">
        <v>503</v>
      </c>
    </row>
    <row r="4148" spans="1:9" x14ac:dyDescent="0.35">
      <c r="A4148" s="2">
        <v>45657</v>
      </c>
      <c r="B4148">
        <v>98</v>
      </c>
      <c r="C4148">
        <v>1142003</v>
      </c>
      <c r="D4148" t="s">
        <v>1396</v>
      </c>
      <c r="E4148" t="s">
        <v>1395</v>
      </c>
      <c r="F4148" s="3">
        <v>659.83</v>
      </c>
      <c r="G4148" s="3">
        <v>0</v>
      </c>
      <c r="H4148" s="3">
        <v>659.83</v>
      </c>
      <c r="I4148" t="s">
        <v>503</v>
      </c>
    </row>
    <row r="4149" spans="1:9" x14ac:dyDescent="0.35">
      <c r="A4149" s="2">
        <v>45657</v>
      </c>
      <c r="B4149">
        <v>99</v>
      </c>
      <c r="C4149">
        <v>1241080</v>
      </c>
      <c r="D4149" t="s">
        <v>25</v>
      </c>
      <c r="E4149" t="s">
        <v>1743</v>
      </c>
      <c r="F4149" s="3">
        <v>97603.62</v>
      </c>
      <c r="G4149" s="3">
        <v>0</v>
      </c>
      <c r="H4149" s="3">
        <v>97603.62</v>
      </c>
      <c r="I4149" t="s">
        <v>1744</v>
      </c>
    </row>
    <row r="4150" spans="1:9" x14ac:dyDescent="0.35">
      <c r="A4150" s="2">
        <v>45657</v>
      </c>
      <c r="B4150">
        <v>99</v>
      </c>
      <c r="C4150">
        <v>1242080</v>
      </c>
      <c r="D4150" t="s">
        <v>26</v>
      </c>
      <c r="E4150" t="s">
        <v>1743</v>
      </c>
      <c r="F4150" s="3">
        <v>0</v>
      </c>
      <c r="G4150" s="3">
        <v>97603.62</v>
      </c>
      <c r="H4150" s="3">
        <v>-97603.62</v>
      </c>
      <c r="I4150" t="s">
        <v>1744</v>
      </c>
    </row>
    <row r="4151" spans="1:9" x14ac:dyDescent="0.35">
      <c r="A4151" s="2">
        <v>45657</v>
      </c>
      <c r="B4151">
        <v>99</v>
      </c>
      <c r="C4151">
        <v>3121080</v>
      </c>
      <c r="D4151" t="s">
        <v>41</v>
      </c>
      <c r="E4151" t="s">
        <v>1743</v>
      </c>
      <c r="F4151" s="3">
        <v>0</v>
      </c>
      <c r="G4151" s="3">
        <v>97603.62</v>
      </c>
      <c r="H4151" s="3">
        <v>-97603.62</v>
      </c>
      <c r="I4151" t="s">
        <v>1744</v>
      </c>
    </row>
    <row r="4152" spans="1:9" x14ac:dyDescent="0.35">
      <c r="A4152" s="2">
        <v>45657</v>
      </c>
      <c r="B4152">
        <v>99</v>
      </c>
      <c r="C4152">
        <v>3141080</v>
      </c>
      <c r="D4152" t="s">
        <v>44</v>
      </c>
      <c r="E4152" t="s">
        <v>1743</v>
      </c>
      <c r="F4152" s="3">
        <v>0</v>
      </c>
      <c r="G4152" s="3">
        <v>9760.36</v>
      </c>
      <c r="H4152" s="3">
        <v>-9760.36</v>
      </c>
      <c r="I4152" t="s">
        <v>1744</v>
      </c>
    </row>
    <row r="4153" spans="1:9" x14ac:dyDescent="0.35">
      <c r="A4153" s="2">
        <v>45657</v>
      </c>
      <c r="B4153">
        <v>99</v>
      </c>
      <c r="C4153">
        <v>3131080</v>
      </c>
      <c r="D4153" t="s">
        <v>43</v>
      </c>
      <c r="E4153" t="s">
        <v>1743</v>
      </c>
      <c r="F4153" s="3">
        <v>98926.49</v>
      </c>
      <c r="G4153" s="3">
        <v>0</v>
      </c>
      <c r="H4153" s="3">
        <v>98926.49</v>
      </c>
      <c r="I4153" t="s">
        <v>1744</v>
      </c>
    </row>
    <row r="4154" spans="1:9" x14ac:dyDescent="0.35">
      <c r="A4154" s="2">
        <v>45657</v>
      </c>
      <c r="B4154">
        <v>99</v>
      </c>
      <c r="C4154">
        <v>4112080</v>
      </c>
      <c r="D4154" t="s">
        <v>1745</v>
      </c>
      <c r="E4154" t="s">
        <v>1743</v>
      </c>
      <c r="F4154" s="3">
        <v>0</v>
      </c>
      <c r="G4154" s="3">
        <v>156730.93</v>
      </c>
      <c r="H4154" s="3">
        <v>-156730.93</v>
      </c>
      <c r="I4154" t="s">
        <v>1744</v>
      </c>
    </row>
    <row r="4155" spans="1:9" x14ac:dyDescent="0.35">
      <c r="A4155" s="2">
        <v>45657</v>
      </c>
      <c r="B4155">
        <v>99</v>
      </c>
      <c r="C4155">
        <v>4141080</v>
      </c>
      <c r="D4155" t="s">
        <v>1746</v>
      </c>
      <c r="E4155" t="s">
        <v>1743</v>
      </c>
      <c r="F4155" s="3">
        <v>0</v>
      </c>
      <c r="G4155" s="3">
        <v>259.95</v>
      </c>
      <c r="H4155" s="3">
        <v>-259.95</v>
      </c>
      <c r="I4155" t="s">
        <v>1744</v>
      </c>
    </row>
    <row r="4156" spans="1:9" x14ac:dyDescent="0.35">
      <c r="A4156" s="2">
        <v>45657</v>
      </c>
      <c r="B4156">
        <v>99</v>
      </c>
      <c r="C4156">
        <v>5131080</v>
      </c>
      <c r="D4156" t="s">
        <v>1747</v>
      </c>
      <c r="E4156" t="s">
        <v>1743</v>
      </c>
      <c r="F4156" s="3">
        <v>29757.81</v>
      </c>
      <c r="G4156" s="3">
        <v>0</v>
      </c>
      <c r="H4156" s="3">
        <v>29757.81</v>
      </c>
      <c r="I4156" t="s">
        <v>1744</v>
      </c>
    </row>
    <row r="4157" spans="1:9" x14ac:dyDescent="0.35">
      <c r="A4157" s="2">
        <v>45657</v>
      </c>
      <c r="B4157">
        <v>99</v>
      </c>
      <c r="C4157">
        <v>5132080</v>
      </c>
      <c r="D4157" t="s">
        <v>1748</v>
      </c>
      <c r="E4157" t="s">
        <v>1743</v>
      </c>
      <c r="F4157" s="3">
        <v>73545.14</v>
      </c>
      <c r="G4157" s="3">
        <v>0</v>
      </c>
      <c r="H4157" s="3">
        <v>73545.14</v>
      </c>
      <c r="I4157" t="s">
        <v>1744</v>
      </c>
    </row>
    <row r="4158" spans="1:9" x14ac:dyDescent="0.35">
      <c r="A4158" s="2">
        <v>45657</v>
      </c>
      <c r="B4158">
        <v>99</v>
      </c>
      <c r="C4158">
        <v>6121080</v>
      </c>
      <c r="D4158" t="s">
        <v>1749</v>
      </c>
      <c r="E4158" t="s">
        <v>1743</v>
      </c>
      <c r="F4158" s="3">
        <v>47891.24</v>
      </c>
      <c r="G4158" s="3">
        <v>0</v>
      </c>
      <c r="H4158" s="3">
        <v>47891.24</v>
      </c>
      <c r="I4158" t="s">
        <v>1744</v>
      </c>
    </row>
    <row r="4159" spans="1:9" x14ac:dyDescent="0.35">
      <c r="A4159" s="2">
        <v>45657</v>
      </c>
      <c r="B4159">
        <v>99</v>
      </c>
      <c r="C4159">
        <v>6121080</v>
      </c>
      <c r="D4159" t="s">
        <v>1749</v>
      </c>
      <c r="E4159" t="s">
        <v>1743</v>
      </c>
      <c r="F4159" s="3">
        <v>5964.67</v>
      </c>
      <c r="G4159" s="3">
        <v>0</v>
      </c>
      <c r="H4159" s="3">
        <v>5964.67</v>
      </c>
      <c r="I4159" t="s">
        <v>1744</v>
      </c>
    </row>
    <row r="4160" spans="1:9" x14ac:dyDescent="0.35">
      <c r="A4160" s="2">
        <v>45657</v>
      </c>
      <c r="B4160">
        <v>99</v>
      </c>
      <c r="C4160">
        <v>6133001</v>
      </c>
      <c r="D4160" t="s">
        <v>1750</v>
      </c>
      <c r="E4160" t="s">
        <v>1743</v>
      </c>
      <c r="F4160" s="3">
        <v>8269.51</v>
      </c>
      <c r="G4160" s="3">
        <v>0</v>
      </c>
      <c r="H4160" s="3">
        <v>8269.51</v>
      </c>
      <c r="I4160" t="s">
        <v>1744</v>
      </c>
    </row>
    <row r="4161" spans="1:9" x14ac:dyDescent="0.35">
      <c r="A4161" s="2"/>
      <c r="F4161" s="4">
        <f>SUBTOTAL(109,TblUsr_Diario[[ DEBE ]])</f>
        <v>13613672.855000025</v>
      </c>
      <c r="G4161" s="4">
        <f>SUBTOTAL(109,TblUsr_Diario[[ HABER ]])</f>
        <v>13613672.860000003</v>
      </c>
      <c r="H4161" s="4">
        <f>SUBTOTAL(109,TblUsr_Diario[Movimiento])</f>
        <v>-4.9999998591374606E-3</v>
      </c>
      <c r="I4161">
        <f>SUBTOTAL(103,TblUsr_Diario[REFERENCIA])</f>
        <v>4159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 startFromScratch="false">
    <tabs>
      <tab id="customTab" label="App">
        <group id="customGroup1" label="Informe">
          <button id="customButton1" label="Actualizar" imageMso="HappyFace" size="large" onAction="Callback1"/>
        </group>
        <group id="customGroup2" label="Emisión">
          <button id="customButton2" label="Emitir Pdf" imageMso="HappyFace" size="large" onAction="Callback2"/>
          <button id="customButton3" label="Enviar Pdf" imageMso="HappyFace" size="large" onAction="Callback3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9A786C-AB41-4C34-9447-12046F269D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14" baseType="lpstr">
      <vt:lpstr>Puc</vt:lpstr>
      <vt:lpstr>Datos</vt:lpstr>
      <vt:lpstr>Informe</vt:lpstr>
      <vt:lpstr>Diario</vt:lpstr>
      <vt:lpstr>Informe!Área_de_impresión</vt:lpstr>
      <vt:lpstr>rngAux_cuentas</vt:lpstr>
      <vt:lpstr>RngAux_Diario</vt:lpstr>
      <vt:lpstr>rngAux_DigitoCuenta</vt:lpstr>
      <vt:lpstr>rngUsr_adjunto</vt:lpstr>
      <vt:lpstr>rngUsr_clave</vt:lpstr>
      <vt:lpstr>rngUsr_destinatario</vt:lpstr>
      <vt:lpstr>rngUsr_email</vt:lpstr>
      <vt:lpstr>rngUsr_FinPeriodo</vt:lpstr>
      <vt:lpstr>rngUsr_InicioPeriodo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2025-03-04T22:22:32Z</cp:lastPrinted>
  <dcterms:created xsi:type="dcterms:W3CDTF">2025-02-24T00:27:36Z</dcterms:created>
  <dcterms:modified xsi:type="dcterms:W3CDTF">2025-03-04T22:37:58Z</dcterms:modified>
</cp:coreProperties>
</file>